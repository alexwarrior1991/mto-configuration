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GUERREROEGI\Downloads\"/>
    </mc:Choice>
  </mc:AlternateContent>
  <xr:revisionPtr revIDLastSave="0" documentId="8_{F240DDCA-89B5-4C84-8AC5-3C97A77E21FF}" xr6:coauthVersionLast="47" xr6:coauthVersionMax="47" xr10:uidLastSave="{00000000-0000-0000-0000-000000000000}"/>
  <bookViews>
    <workbookView xWindow="-110" yWindow="-110" windowWidth="19420" windowHeight="11500" xr2:uid="{9C676213-5424-4DDA-A509-EE9174BC41D9}"/>
  </bookViews>
  <sheets>
    <sheet name="Sinóptico" sheetId="1" r:id="rId1"/>
  </sheets>
  <externalReferences>
    <externalReference r:id="rId2"/>
  </externalReferences>
  <definedNames>
    <definedName name="_xlnm._FilterDatabase" localSheetId="0" hidden="1">Sinóptico!$A$6:$BN$943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942" i="1" l="1"/>
  <c r="BM939" i="1"/>
  <c r="BL939" i="1"/>
  <c r="E939" i="1"/>
  <c r="BM938" i="1"/>
  <c r="AQ938" i="1"/>
  <c r="BM937" i="1"/>
  <c r="BL937" i="1"/>
  <c r="E937" i="1"/>
  <c r="BM936" i="1"/>
  <c r="AQ936" i="1"/>
  <c r="BM935" i="1"/>
  <c r="BL935" i="1"/>
  <c r="E935" i="1"/>
  <c r="BM934" i="1"/>
  <c r="AQ934" i="1"/>
  <c r="BM933" i="1"/>
  <c r="BL933" i="1"/>
  <c r="E933" i="1"/>
  <c r="BM932" i="1"/>
  <c r="AQ932" i="1"/>
  <c r="BM931" i="1"/>
  <c r="BL931" i="1"/>
  <c r="E931" i="1"/>
  <c r="BM930" i="1"/>
  <c r="AQ930" i="1"/>
  <c r="BM929" i="1"/>
  <c r="BL929" i="1"/>
  <c r="E929" i="1"/>
  <c r="BM928" i="1"/>
  <c r="BM927" i="1"/>
  <c r="BL927" i="1"/>
  <c r="E927" i="1"/>
  <c r="BM926" i="1"/>
  <c r="BM925" i="1"/>
  <c r="BL925" i="1"/>
  <c r="E925" i="1"/>
  <c r="BM924" i="1"/>
  <c r="BL924" i="1"/>
  <c r="E924" i="1"/>
  <c r="BM923" i="1"/>
  <c r="BL923" i="1"/>
  <c r="E923" i="1"/>
  <c r="BM922" i="1"/>
  <c r="BM921" i="1"/>
  <c r="BL921" i="1"/>
  <c r="AH921" i="1"/>
  <c r="E921" i="1"/>
  <c r="BM920" i="1"/>
  <c r="BM919" i="1"/>
  <c r="BL919" i="1"/>
  <c r="E919" i="1"/>
  <c r="BM918" i="1"/>
  <c r="BM917" i="1"/>
  <c r="BL917" i="1"/>
  <c r="E917" i="1"/>
  <c r="BM916" i="1"/>
  <c r="BM915" i="1"/>
  <c r="BL915" i="1"/>
  <c r="E915" i="1"/>
  <c r="BM914" i="1"/>
  <c r="BM913" i="1"/>
  <c r="BL913" i="1"/>
  <c r="E913" i="1"/>
  <c r="BM912" i="1"/>
  <c r="BM911" i="1"/>
  <c r="BL911" i="1"/>
  <c r="E911" i="1"/>
  <c r="BM910" i="1"/>
  <c r="BM909" i="1"/>
  <c r="BL909" i="1"/>
  <c r="AH909" i="1"/>
  <c r="E909" i="1"/>
  <c r="BM908" i="1"/>
  <c r="BM907" i="1"/>
  <c r="BL907" i="1"/>
  <c r="E907" i="1"/>
  <c r="BM906" i="1"/>
  <c r="BM905" i="1"/>
  <c r="BL905" i="1"/>
  <c r="E905" i="1"/>
  <c r="BM904" i="1"/>
  <c r="BL904" i="1"/>
  <c r="E904" i="1"/>
  <c r="BM903" i="1"/>
  <c r="BL903" i="1"/>
  <c r="E903" i="1"/>
  <c r="BM902" i="1"/>
  <c r="BM901" i="1"/>
  <c r="BL901" i="1"/>
  <c r="E901" i="1"/>
  <c r="BM900" i="1"/>
  <c r="BM899" i="1"/>
  <c r="BL899" i="1"/>
  <c r="E899" i="1"/>
  <c r="BM898" i="1"/>
  <c r="BM897" i="1"/>
  <c r="BL897" i="1"/>
  <c r="E897" i="1"/>
  <c r="BM896" i="1"/>
  <c r="BM895" i="1"/>
  <c r="BL895" i="1"/>
  <c r="E895" i="1"/>
  <c r="BM894" i="1"/>
  <c r="BM893" i="1"/>
  <c r="BL893" i="1"/>
  <c r="E893" i="1"/>
  <c r="BM892" i="1"/>
  <c r="BM891" i="1"/>
  <c r="BL891" i="1"/>
  <c r="E891" i="1"/>
  <c r="BM890" i="1"/>
  <c r="BM889" i="1"/>
  <c r="BL889" i="1"/>
  <c r="E889" i="1"/>
  <c r="BM888" i="1"/>
  <c r="BM887" i="1"/>
  <c r="BL887" i="1"/>
  <c r="E887" i="1"/>
  <c r="BM886" i="1"/>
  <c r="BM885" i="1"/>
  <c r="BL885" i="1"/>
  <c r="E885" i="1"/>
  <c r="BM884" i="1"/>
  <c r="BM883" i="1"/>
  <c r="BL883" i="1"/>
  <c r="E883" i="1"/>
  <c r="BM882" i="1"/>
  <c r="BM881" i="1"/>
  <c r="BL881" i="1"/>
  <c r="E881" i="1"/>
  <c r="BM880" i="1"/>
  <c r="BM879" i="1"/>
  <c r="BL879" i="1"/>
  <c r="E879" i="1"/>
  <c r="BM878" i="1"/>
  <c r="BM877" i="1"/>
  <c r="BL877" i="1"/>
  <c r="E877" i="1"/>
  <c r="BM876" i="1"/>
  <c r="BM875" i="1"/>
  <c r="BL875" i="1"/>
  <c r="E875" i="1"/>
  <c r="BM874" i="1"/>
  <c r="BM873" i="1"/>
  <c r="BL873" i="1"/>
  <c r="E873" i="1"/>
  <c r="BM872" i="1"/>
  <c r="BM871" i="1"/>
  <c r="BL871" i="1"/>
  <c r="E871" i="1"/>
  <c r="BM870" i="1"/>
  <c r="BM869" i="1"/>
  <c r="BL869" i="1"/>
  <c r="E869" i="1"/>
  <c r="BM868" i="1"/>
  <c r="BM867" i="1"/>
  <c r="BL867" i="1"/>
  <c r="E867" i="1"/>
  <c r="BM866" i="1"/>
  <c r="AH866" i="1"/>
  <c r="BM865" i="1"/>
  <c r="BL865" i="1"/>
  <c r="E865" i="1"/>
  <c r="BM864" i="1"/>
  <c r="BM863" i="1"/>
  <c r="BL863" i="1"/>
  <c r="E863" i="1"/>
  <c r="BM862" i="1"/>
  <c r="BM861" i="1"/>
  <c r="BL861" i="1"/>
  <c r="E861" i="1"/>
  <c r="BM860" i="1"/>
  <c r="BM859" i="1"/>
  <c r="BL859" i="1"/>
  <c r="E859" i="1"/>
  <c r="BM858" i="1"/>
  <c r="BM857" i="1"/>
  <c r="BL857" i="1"/>
  <c r="E857" i="1"/>
  <c r="BM856" i="1"/>
  <c r="BM855" i="1"/>
  <c r="BL855" i="1"/>
  <c r="E855" i="1"/>
  <c r="BM854" i="1"/>
  <c r="BM853" i="1"/>
  <c r="BL853" i="1"/>
  <c r="E853" i="1"/>
  <c r="BM852" i="1"/>
  <c r="BM851" i="1"/>
  <c r="BL851" i="1"/>
  <c r="E851" i="1"/>
  <c r="BM850" i="1"/>
  <c r="BM849" i="1"/>
  <c r="BL849" i="1"/>
  <c r="E849" i="1"/>
  <c r="BM848" i="1"/>
  <c r="BM847" i="1"/>
  <c r="BL847" i="1"/>
  <c r="E847" i="1"/>
  <c r="BM846" i="1"/>
  <c r="BM845" i="1"/>
  <c r="BL845" i="1"/>
  <c r="E845" i="1"/>
  <c r="BM844" i="1"/>
  <c r="BM843" i="1"/>
  <c r="BL843" i="1"/>
  <c r="E843" i="1"/>
  <c r="BM842" i="1"/>
  <c r="BM841" i="1"/>
  <c r="BL841" i="1"/>
  <c r="E841" i="1"/>
  <c r="BM840" i="1"/>
  <c r="BM839" i="1"/>
  <c r="BL839" i="1"/>
  <c r="E839" i="1"/>
  <c r="BM838" i="1"/>
  <c r="BM837" i="1"/>
  <c r="BL837" i="1"/>
  <c r="E837" i="1"/>
  <c r="BM836" i="1"/>
  <c r="BM835" i="1"/>
  <c r="BL835" i="1"/>
  <c r="E835" i="1"/>
  <c r="BM834" i="1"/>
  <c r="BM833" i="1"/>
  <c r="BL833" i="1"/>
  <c r="E833" i="1"/>
  <c r="BM832" i="1"/>
  <c r="BM831" i="1"/>
  <c r="BL831" i="1"/>
  <c r="E831" i="1"/>
  <c r="BM830" i="1"/>
  <c r="BM829" i="1"/>
  <c r="BL829" i="1"/>
  <c r="E829" i="1"/>
  <c r="BM828" i="1"/>
  <c r="BM827" i="1"/>
  <c r="BL827" i="1"/>
  <c r="E827" i="1"/>
  <c r="BM826" i="1"/>
  <c r="BM825" i="1"/>
  <c r="BL825" i="1"/>
  <c r="E825" i="1"/>
  <c r="BM824" i="1"/>
  <c r="BM823" i="1"/>
  <c r="BL823" i="1"/>
  <c r="E823" i="1"/>
  <c r="BM822" i="1"/>
  <c r="BM821" i="1"/>
  <c r="BL821" i="1"/>
  <c r="E821" i="1"/>
  <c r="BM820" i="1"/>
  <c r="BM819" i="1"/>
  <c r="BL819" i="1"/>
  <c r="E819" i="1"/>
  <c r="BM818" i="1"/>
  <c r="BM817" i="1"/>
  <c r="BL817" i="1"/>
  <c r="E817" i="1"/>
  <c r="BM816" i="1"/>
  <c r="BM815" i="1"/>
  <c r="BL815" i="1"/>
  <c r="E815" i="1"/>
  <c r="BM814" i="1"/>
  <c r="BM813" i="1"/>
  <c r="BL813" i="1"/>
  <c r="E813" i="1"/>
  <c r="BM812" i="1"/>
  <c r="BM811" i="1"/>
  <c r="BL811" i="1"/>
  <c r="E811" i="1"/>
  <c r="BM810" i="1"/>
  <c r="BM809" i="1"/>
  <c r="BL809" i="1"/>
  <c r="E809" i="1"/>
  <c r="BM808" i="1"/>
  <c r="BM807" i="1"/>
  <c r="BL807" i="1"/>
  <c r="E807" i="1"/>
  <c r="BM806" i="1"/>
  <c r="BM805" i="1"/>
  <c r="BL805" i="1"/>
  <c r="E805" i="1"/>
  <c r="BM804" i="1"/>
  <c r="BM803" i="1"/>
  <c r="BL803" i="1"/>
  <c r="E803" i="1"/>
  <c r="BM802" i="1"/>
  <c r="BM801" i="1"/>
  <c r="BL801" i="1"/>
  <c r="E801" i="1"/>
  <c r="BM800" i="1"/>
  <c r="BM799" i="1"/>
  <c r="BL799" i="1"/>
  <c r="E799" i="1"/>
  <c r="BM798" i="1"/>
  <c r="BM797" i="1"/>
  <c r="BL797" i="1"/>
  <c r="E797" i="1"/>
  <c r="BM796" i="1"/>
  <c r="BM795" i="1"/>
  <c r="BL795" i="1"/>
  <c r="E795" i="1"/>
  <c r="BM794" i="1"/>
  <c r="BM793" i="1"/>
  <c r="BL793" i="1"/>
  <c r="E793" i="1"/>
  <c r="BM792" i="1"/>
  <c r="BM791" i="1"/>
  <c r="BL791" i="1"/>
  <c r="E791" i="1"/>
  <c r="BM790" i="1"/>
  <c r="BM789" i="1"/>
  <c r="BL789" i="1"/>
  <c r="E789" i="1"/>
  <c r="BM788" i="1"/>
  <c r="BM787" i="1"/>
  <c r="BL787" i="1"/>
  <c r="E787" i="1"/>
  <c r="BM786" i="1"/>
  <c r="BM785" i="1"/>
  <c r="BL785" i="1"/>
  <c r="E785" i="1"/>
  <c r="BM784" i="1"/>
  <c r="BM783" i="1"/>
  <c r="BL783" i="1"/>
  <c r="AH783" i="1"/>
  <c r="E783" i="1"/>
  <c r="BM782" i="1"/>
  <c r="BM781" i="1"/>
  <c r="BL781" i="1"/>
  <c r="E781" i="1"/>
  <c r="BM780" i="1"/>
  <c r="BM779" i="1"/>
  <c r="BL779" i="1"/>
  <c r="E779" i="1"/>
  <c r="BM778" i="1"/>
  <c r="BM777" i="1"/>
  <c r="BL777" i="1"/>
  <c r="E777" i="1"/>
  <c r="BM776" i="1"/>
  <c r="BM775" i="1"/>
  <c r="BL775" i="1"/>
  <c r="E775" i="1"/>
  <c r="BM774" i="1"/>
  <c r="BM773" i="1"/>
  <c r="BL773" i="1"/>
  <c r="E773" i="1"/>
  <c r="BM772" i="1"/>
  <c r="BL772" i="1"/>
  <c r="E772" i="1"/>
  <c r="BM771" i="1"/>
  <c r="BL771" i="1"/>
  <c r="E771" i="1"/>
  <c r="BM770" i="1"/>
  <c r="BM769" i="1"/>
  <c r="BL769" i="1"/>
  <c r="E769" i="1"/>
  <c r="BM768" i="1"/>
  <c r="BM767" i="1"/>
  <c r="BL767" i="1"/>
  <c r="E767" i="1"/>
  <c r="BM766" i="1"/>
  <c r="BM765" i="1"/>
  <c r="BL765" i="1"/>
  <c r="E765" i="1"/>
  <c r="BM764" i="1"/>
  <c r="BM763" i="1"/>
  <c r="BL763" i="1"/>
  <c r="E763" i="1"/>
  <c r="BM762" i="1"/>
  <c r="BM761" i="1"/>
  <c r="BL761" i="1"/>
  <c r="E761" i="1"/>
  <c r="BM760" i="1"/>
  <c r="BM759" i="1"/>
  <c r="BL759" i="1"/>
  <c r="E759" i="1"/>
  <c r="BM758" i="1"/>
  <c r="BM757" i="1"/>
  <c r="BL757" i="1"/>
  <c r="E757" i="1"/>
  <c r="BM756" i="1"/>
  <c r="BM755" i="1"/>
  <c r="BL755" i="1"/>
  <c r="AH755" i="1"/>
  <c r="E755" i="1"/>
  <c r="BM754" i="1"/>
  <c r="BL754" i="1"/>
  <c r="E754" i="1"/>
  <c r="BM753" i="1"/>
  <c r="BL753" i="1"/>
  <c r="E753" i="1"/>
  <c r="BM752" i="1"/>
  <c r="BM751" i="1"/>
  <c r="BL751" i="1"/>
  <c r="E751" i="1"/>
  <c r="BM750" i="1"/>
  <c r="BM749" i="1"/>
  <c r="BL749" i="1"/>
  <c r="E749" i="1"/>
  <c r="BM748" i="1"/>
  <c r="BM747" i="1"/>
  <c r="BL747" i="1"/>
  <c r="E747" i="1"/>
  <c r="BM746" i="1"/>
  <c r="BM745" i="1"/>
  <c r="BL745" i="1"/>
  <c r="E745" i="1"/>
  <c r="BM744" i="1"/>
  <c r="BM743" i="1"/>
  <c r="BL743" i="1"/>
  <c r="E743" i="1"/>
  <c r="BM742" i="1"/>
  <c r="BM741" i="1"/>
  <c r="BL741" i="1"/>
  <c r="E741" i="1"/>
  <c r="BM740" i="1"/>
  <c r="BM739" i="1"/>
  <c r="BL739" i="1"/>
  <c r="AH739" i="1"/>
  <c r="E739" i="1"/>
  <c r="BM738" i="1"/>
  <c r="BM737" i="1"/>
  <c r="BL737" i="1"/>
  <c r="E737" i="1"/>
  <c r="BM736" i="1"/>
  <c r="BL736" i="1"/>
  <c r="E736" i="1"/>
  <c r="BM735" i="1"/>
  <c r="BL735" i="1"/>
  <c r="E735" i="1"/>
  <c r="BM734" i="1"/>
  <c r="BM733" i="1"/>
  <c r="BL733" i="1"/>
  <c r="E733" i="1"/>
  <c r="BM732" i="1"/>
  <c r="BM731" i="1"/>
  <c r="BL731" i="1"/>
  <c r="E731" i="1"/>
  <c r="BM730" i="1"/>
  <c r="BM729" i="1"/>
  <c r="BL729" i="1"/>
  <c r="E729" i="1"/>
  <c r="BM728" i="1"/>
  <c r="BM727" i="1"/>
  <c r="BL727" i="1"/>
  <c r="E727" i="1"/>
  <c r="BM726" i="1"/>
  <c r="BM725" i="1"/>
  <c r="BL725" i="1"/>
  <c r="E725" i="1"/>
  <c r="BM724" i="1"/>
  <c r="BM723" i="1"/>
  <c r="BL723" i="1"/>
  <c r="E723" i="1"/>
  <c r="BM722" i="1"/>
  <c r="BM721" i="1"/>
  <c r="BL721" i="1"/>
  <c r="E721" i="1"/>
  <c r="BM720" i="1"/>
  <c r="BM719" i="1"/>
  <c r="BL719" i="1"/>
  <c r="E719" i="1"/>
  <c r="BM718" i="1"/>
  <c r="BM717" i="1"/>
  <c r="BL717" i="1"/>
  <c r="E717" i="1"/>
  <c r="BM716" i="1"/>
  <c r="BM715" i="1"/>
  <c r="BL715" i="1"/>
  <c r="E715" i="1"/>
  <c r="BM714" i="1"/>
  <c r="BM713" i="1"/>
  <c r="BL713" i="1"/>
  <c r="E713" i="1"/>
  <c r="BM712" i="1"/>
  <c r="BM711" i="1"/>
  <c r="BL711" i="1"/>
  <c r="E711" i="1"/>
  <c r="BM710" i="1"/>
  <c r="BM709" i="1"/>
  <c r="BL709" i="1"/>
  <c r="E709" i="1"/>
  <c r="BM708" i="1"/>
  <c r="BM707" i="1"/>
  <c r="BL707" i="1"/>
  <c r="E707" i="1"/>
  <c r="BM706" i="1"/>
  <c r="BM705" i="1"/>
  <c r="BL705" i="1"/>
  <c r="E705" i="1"/>
  <c r="BM704" i="1"/>
  <c r="BM703" i="1"/>
  <c r="BL703" i="1"/>
  <c r="E703" i="1"/>
  <c r="BM702" i="1"/>
  <c r="BM701" i="1"/>
  <c r="BL701" i="1"/>
  <c r="E701" i="1"/>
  <c r="BM700" i="1"/>
  <c r="BM699" i="1"/>
  <c r="BL699" i="1"/>
  <c r="E699" i="1"/>
  <c r="BM698" i="1"/>
  <c r="BM697" i="1"/>
  <c r="BL697" i="1"/>
  <c r="E697" i="1"/>
  <c r="BM696" i="1"/>
  <c r="BM695" i="1"/>
  <c r="BL695" i="1"/>
  <c r="E695" i="1"/>
  <c r="BM694" i="1"/>
  <c r="BM693" i="1"/>
  <c r="BL693" i="1"/>
  <c r="E693" i="1"/>
  <c r="BM692" i="1"/>
  <c r="BM691" i="1"/>
  <c r="BL691" i="1"/>
  <c r="E691" i="1"/>
  <c r="BM690" i="1"/>
  <c r="BM689" i="1"/>
  <c r="BL689" i="1"/>
  <c r="E689" i="1"/>
  <c r="BM688" i="1"/>
  <c r="BM687" i="1"/>
  <c r="BL687" i="1"/>
  <c r="E687" i="1"/>
  <c r="BM686" i="1"/>
  <c r="BM685" i="1"/>
  <c r="BL685" i="1"/>
  <c r="E685" i="1"/>
  <c r="BM684" i="1"/>
  <c r="BM683" i="1"/>
  <c r="BL683" i="1"/>
  <c r="E683" i="1"/>
  <c r="BM682" i="1"/>
  <c r="BM681" i="1"/>
  <c r="BL681" i="1"/>
  <c r="E681" i="1"/>
  <c r="BM680" i="1"/>
  <c r="BM679" i="1"/>
  <c r="BL679" i="1"/>
  <c r="E679" i="1"/>
  <c r="BM678" i="1"/>
  <c r="BM677" i="1"/>
  <c r="BL677" i="1"/>
  <c r="E677" i="1"/>
  <c r="BM676" i="1"/>
  <c r="BM675" i="1"/>
  <c r="BL675" i="1"/>
  <c r="E675" i="1"/>
  <c r="BM674" i="1"/>
  <c r="BM673" i="1"/>
  <c r="BL673" i="1"/>
  <c r="E673" i="1"/>
  <c r="BM672" i="1"/>
  <c r="BM671" i="1"/>
  <c r="BL671" i="1"/>
  <c r="E671" i="1"/>
  <c r="BM670" i="1"/>
  <c r="BM669" i="1"/>
  <c r="BL669" i="1"/>
  <c r="E669" i="1"/>
  <c r="BM668" i="1"/>
  <c r="BM667" i="1"/>
  <c r="BL667" i="1"/>
  <c r="E667" i="1"/>
  <c r="BM666" i="1"/>
  <c r="BM665" i="1"/>
  <c r="BL665" i="1"/>
  <c r="E665" i="1"/>
  <c r="BM664" i="1"/>
  <c r="BM663" i="1"/>
  <c r="BL663" i="1"/>
  <c r="E663" i="1"/>
  <c r="BM662" i="1"/>
  <c r="BM661" i="1"/>
  <c r="BL661" i="1"/>
  <c r="E661" i="1"/>
  <c r="BM660" i="1"/>
  <c r="BM659" i="1"/>
  <c r="BL659" i="1"/>
  <c r="E659" i="1"/>
  <c r="BM658" i="1"/>
  <c r="BM657" i="1"/>
  <c r="BL657" i="1"/>
  <c r="E657" i="1"/>
  <c r="BM656" i="1"/>
  <c r="BM655" i="1"/>
  <c r="BL655" i="1"/>
  <c r="E655" i="1"/>
  <c r="BM654" i="1"/>
  <c r="BM653" i="1"/>
  <c r="BL653" i="1"/>
  <c r="E653" i="1"/>
  <c r="BM652" i="1"/>
  <c r="BM651" i="1"/>
  <c r="BL651" i="1"/>
  <c r="E651" i="1"/>
  <c r="BM650" i="1"/>
  <c r="BM649" i="1"/>
  <c r="BL649" i="1"/>
  <c r="E649" i="1"/>
  <c r="BM648" i="1"/>
  <c r="BM647" i="1"/>
  <c r="BL647" i="1"/>
  <c r="E647" i="1"/>
  <c r="BM646" i="1"/>
  <c r="BM645" i="1"/>
  <c r="BL645" i="1"/>
  <c r="E645" i="1"/>
  <c r="BM644" i="1"/>
  <c r="BM643" i="1"/>
  <c r="BL643" i="1"/>
  <c r="E643" i="1"/>
  <c r="BM642" i="1"/>
  <c r="BM641" i="1"/>
  <c r="BL641" i="1"/>
  <c r="E641" i="1"/>
  <c r="BM640" i="1"/>
  <c r="BM639" i="1"/>
  <c r="BL639" i="1"/>
  <c r="E639" i="1"/>
  <c r="BM638" i="1"/>
  <c r="BM637" i="1"/>
  <c r="BL637" i="1"/>
  <c r="E637" i="1"/>
  <c r="BM636" i="1"/>
  <c r="BM635" i="1"/>
  <c r="BL635" i="1"/>
  <c r="E635" i="1"/>
  <c r="BM634" i="1"/>
  <c r="BM633" i="1"/>
  <c r="BL633" i="1"/>
  <c r="E633" i="1"/>
  <c r="BM632" i="1"/>
  <c r="BM631" i="1"/>
  <c r="BL631" i="1"/>
  <c r="E631" i="1"/>
  <c r="BM630" i="1"/>
  <c r="BM629" i="1"/>
  <c r="BL629" i="1"/>
  <c r="E629" i="1"/>
  <c r="BM628" i="1"/>
  <c r="BM627" i="1"/>
  <c r="BL627" i="1"/>
  <c r="E627" i="1"/>
  <c r="BM626" i="1"/>
  <c r="BM625" i="1"/>
  <c r="BL625" i="1"/>
  <c r="E625" i="1"/>
  <c r="BM624" i="1"/>
  <c r="BM623" i="1"/>
  <c r="BL623" i="1"/>
  <c r="E623" i="1"/>
  <c r="BM622" i="1"/>
  <c r="BM621" i="1"/>
  <c r="BL621" i="1"/>
  <c r="AH621" i="1"/>
  <c r="E621" i="1"/>
  <c r="BM620" i="1"/>
  <c r="BM619" i="1"/>
  <c r="BL619" i="1"/>
  <c r="E619" i="1"/>
  <c r="BM618" i="1"/>
  <c r="BM617" i="1"/>
  <c r="BL617" i="1"/>
  <c r="E617" i="1"/>
  <c r="BM616" i="1"/>
  <c r="BM615" i="1"/>
  <c r="BL615" i="1"/>
  <c r="E615" i="1"/>
  <c r="BM614" i="1"/>
  <c r="BM613" i="1"/>
  <c r="BL613" i="1"/>
  <c r="E613" i="1"/>
  <c r="BM612" i="1"/>
  <c r="BM611" i="1"/>
  <c r="BL611" i="1"/>
  <c r="E611" i="1"/>
  <c r="BM610" i="1"/>
  <c r="BM609" i="1"/>
  <c r="BL609" i="1"/>
  <c r="E609" i="1"/>
  <c r="BM608" i="1"/>
  <c r="BM607" i="1"/>
  <c r="BL607" i="1"/>
  <c r="E607" i="1"/>
  <c r="BM606" i="1"/>
  <c r="BM605" i="1"/>
  <c r="BL605" i="1"/>
  <c r="E605" i="1"/>
  <c r="BM604" i="1"/>
  <c r="BM603" i="1"/>
  <c r="BL603" i="1"/>
  <c r="E603" i="1"/>
  <c r="BM602" i="1"/>
  <c r="BM601" i="1"/>
  <c r="BL601" i="1"/>
  <c r="E601" i="1"/>
  <c r="BM600" i="1"/>
  <c r="BM599" i="1"/>
  <c r="BL599" i="1"/>
  <c r="E599" i="1"/>
  <c r="BM598" i="1"/>
  <c r="BM597" i="1"/>
  <c r="BL597" i="1"/>
  <c r="E597" i="1"/>
  <c r="BM596" i="1"/>
  <c r="BM595" i="1"/>
  <c r="BL595" i="1"/>
  <c r="E595" i="1"/>
  <c r="BM594" i="1"/>
  <c r="BM593" i="1"/>
  <c r="BL593" i="1"/>
  <c r="E593" i="1"/>
  <c r="BM592" i="1"/>
  <c r="BM591" i="1"/>
  <c r="BL591" i="1"/>
  <c r="E591" i="1"/>
  <c r="BM590" i="1"/>
  <c r="BM589" i="1"/>
  <c r="BL589" i="1"/>
  <c r="E589" i="1"/>
  <c r="BM588" i="1"/>
  <c r="BM587" i="1"/>
  <c r="BL587" i="1"/>
  <c r="E587" i="1"/>
  <c r="BM586" i="1"/>
  <c r="BM585" i="1"/>
  <c r="BL585" i="1"/>
  <c r="E585" i="1"/>
  <c r="BM584" i="1"/>
  <c r="BM583" i="1"/>
  <c r="BL583" i="1"/>
  <c r="E583" i="1"/>
  <c r="BM582" i="1"/>
  <c r="BM581" i="1"/>
  <c r="BL581" i="1"/>
  <c r="E581" i="1"/>
  <c r="BM580" i="1"/>
  <c r="BM579" i="1"/>
  <c r="BL579" i="1"/>
  <c r="E579" i="1"/>
  <c r="BM578" i="1"/>
  <c r="BM577" i="1"/>
  <c r="BL577" i="1"/>
  <c r="E577" i="1"/>
  <c r="BM576" i="1"/>
  <c r="BM575" i="1"/>
  <c r="BL575" i="1"/>
  <c r="E575" i="1"/>
  <c r="BM574" i="1"/>
  <c r="BM573" i="1"/>
  <c r="BL573" i="1"/>
  <c r="E573" i="1"/>
  <c r="BM572" i="1"/>
  <c r="BM571" i="1"/>
  <c r="BL571" i="1"/>
  <c r="E571" i="1"/>
  <c r="BM570" i="1"/>
  <c r="BM569" i="1"/>
  <c r="BL569" i="1"/>
  <c r="E569" i="1"/>
  <c r="BM568" i="1"/>
  <c r="BM567" i="1"/>
  <c r="BL567" i="1"/>
  <c r="E567" i="1"/>
  <c r="BM566" i="1"/>
  <c r="BM565" i="1"/>
  <c r="BL565" i="1"/>
  <c r="E565" i="1"/>
  <c r="BM564" i="1"/>
  <c r="BM563" i="1"/>
  <c r="BL563" i="1"/>
  <c r="E563" i="1"/>
  <c r="BM562" i="1"/>
  <c r="BM561" i="1"/>
  <c r="BL561" i="1"/>
  <c r="E561" i="1"/>
  <c r="BM560" i="1"/>
  <c r="BM559" i="1"/>
  <c r="BL559" i="1"/>
  <c r="AH559" i="1"/>
  <c r="E559" i="1"/>
  <c r="BM558" i="1"/>
  <c r="BM557" i="1"/>
  <c r="BL557" i="1"/>
  <c r="E557" i="1"/>
  <c r="BM556" i="1"/>
  <c r="BM555" i="1"/>
  <c r="BL555" i="1"/>
  <c r="E555" i="1"/>
  <c r="BM554" i="1"/>
  <c r="BL554" i="1"/>
  <c r="E554" i="1"/>
  <c r="BM553" i="1"/>
  <c r="BL553" i="1"/>
  <c r="E553" i="1"/>
  <c r="BM552" i="1"/>
  <c r="BM551" i="1"/>
  <c r="BL551" i="1"/>
  <c r="E551" i="1"/>
  <c r="BM550" i="1"/>
  <c r="BM549" i="1"/>
  <c r="BL549" i="1"/>
  <c r="E549" i="1"/>
  <c r="BM548" i="1"/>
  <c r="BM547" i="1"/>
  <c r="BL547" i="1"/>
  <c r="AH547" i="1"/>
  <c r="E547" i="1"/>
  <c r="BM546" i="1"/>
  <c r="BM545" i="1"/>
  <c r="BL545" i="1"/>
  <c r="E545" i="1"/>
  <c r="BM544" i="1"/>
  <c r="BM543" i="1"/>
  <c r="BL543" i="1"/>
  <c r="E543" i="1"/>
  <c r="BM542" i="1"/>
  <c r="BM541" i="1"/>
  <c r="BL541" i="1"/>
  <c r="E541" i="1"/>
  <c r="BM540" i="1"/>
  <c r="BL540" i="1"/>
  <c r="AQ540" i="1"/>
  <c r="E540" i="1"/>
  <c r="BM539" i="1"/>
  <c r="BL539" i="1"/>
  <c r="E539" i="1"/>
  <c r="BM538" i="1"/>
  <c r="AQ538" i="1"/>
  <c r="BM537" i="1"/>
  <c r="BL537" i="1"/>
  <c r="E537" i="1"/>
  <c r="BM536" i="1"/>
  <c r="AQ536" i="1"/>
  <c r="BM535" i="1"/>
  <c r="BL535" i="1"/>
  <c r="E535" i="1"/>
  <c r="BM534" i="1"/>
  <c r="AQ534" i="1"/>
  <c r="BM533" i="1"/>
  <c r="BL533" i="1"/>
  <c r="E533" i="1"/>
  <c r="BM532" i="1"/>
  <c r="AQ532" i="1"/>
  <c r="BM531" i="1"/>
  <c r="BL531" i="1"/>
  <c r="E531" i="1"/>
  <c r="BM530" i="1"/>
  <c r="AQ530" i="1"/>
  <c r="BM529" i="1"/>
  <c r="BL529" i="1"/>
  <c r="E529" i="1"/>
  <c r="BM528" i="1"/>
  <c r="AQ528" i="1"/>
  <c r="BM527" i="1"/>
  <c r="BL527" i="1"/>
  <c r="E527" i="1"/>
  <c r="BM526" i="1"/>
  <c r="BM525" i="1"/>
  <c r="BL525" i="1"/>
  <c r="E525" i="1"/>
  <c r="BM524" i="1"/>
  <c r="BM523" i="1"/>
  <c r="BL523" i="1"/>
  <c r="E523" i="1"/>
  <c r="BM522" i="1"/>
  <c r="BL522" i="1"/>
  <c r="E522" i="1"/>
  <c r="BM521" i="1"/>
  <c r="BL521" i="1"/>
  <c r="E521" i="1"/>
  <c r="BM520" i="1"/>
  <c r="BM519" i="1"/>
  <c r="BL519" i="1"/>
  <c r="E519" i="1"/>
  <c r="BM518" i="1"/>
  <c r="BM517" i="1"/>
  <c r="BL517" i="1"/>
  <c r="E517" i="1"/>
  <c r="BM516" i="1"/>
  <c r="BM515" i="1"/>
  <c r="BL515" i="1"/>
  <c r="E515" i="1"/>
  <c r="BM514" i="1"/>
  <c r="BM513" i="1"/>
  <c r="BL513" i="1"/>
  <c r="E513" i="1"/>
  <c r="BM512" i="1"/>
  <c r="BM511" i="1"/>
  <c r="BL511" i="1"/>
  <c r="E511" i="1"/>
  <c r="BM510" i="1"/>
  <c r="BL510" i="1"/>
  <c r="E510" i="1"/>
  <c r="BM509" i="1"/>
  <c r="BL509" i="1"/>
  <c r="E509" i="1"/>
  <c r="BM508" i="1"/>
  <c r="BM507" i="1"/>
  <c r="BL507" i="1"/>
  <c r="E507" i="1"/>
  <c r="BM506" i="1"/>
  <c r="BM505" i="1"/>
  <c r="BL505" i="1"/>
  <c r="E505" i="1"/>
  <c r="BM504" i="1"/>
  <c r="BL504" i="1"/>
  <c r="E504" i="1"/>
  <c r="BM503" i="1"/>
  <c r="BL503" i="1"/>
  <c r="E503" i="1"/>
  <c r="BM502" i="1"/>
  <c r="BM501" i="1"/>
  <c r="BL501" i="1"/>
  <c r="E501" i="1"/>
  <c r="BM500" i="1"/>
  <c r="BL500" i="1"/>
  <c r="E500" i="1"/>
  <c r="BM499" i="1"/>
  <c r="BL499" i="1"/>
  <c r="E499" i="1"/>
  <c r="BM498" i="1"/>
  <c r="BM497" i="1"/>
  <c r="BL497" i="1"/>
  <c r="E497" i="1"/>
  <c r="BM496" i="1"/>
  <c r="BM495" i="1"/>
  <c r="BL495" i="1"/>
  <c r="E495" i="1"/>
  <c r="BM494" i="1"/>
  <c r="BM493" i="1"/>
  <c r="BL493" i="1"/>
  <c r="E493" i="1"/>
  <c r="BM492" i="1"/>
  <c r="BL492" i="1"/>
  <c r="E492" i="1"/>
  <c r="BM491" i="1"/>
  <c r="BL491" i="1"/>
  <c r="AH491" i="1"/>
  <c r="E491" i="1"/>
  <c r="BM490" i="1"/>
  <c r="BM489" i="1"/>
  <c r="BL489" i="1"/>
  <c r="E489" i="1"/>
  <c r="BM488" i="1"/>
  <c r="BL488" i="1"/>
  <c r="E488" i="1"/>
  <c r="BM487" i="1"/>
  <c r="BL487" i="1"/>
  <c r="E487" i="1"/>
  <c r="BM486" i="1"/>
  <c r="BM485" i="1"/>
  <c r="BL485" i="1"/>
  <c r="E485" i="1"/>
  <c r="BM484" i="1"/>
  <c r="BM483" i="1"/>
  <c r="BL483" i="1"/>
  <c r="AH483" i="1"/>
  <c r="E483" i="1"/>
  <c r="BM482" i="1"/>
  <c r="BM481" i="1"/>
  <c r="BL481" i="1"/>
  <c r="E481" i="1"/>
  <c r="BM480" i="1"/>
  <c r="BL480" i="1"/>
  <c r="E480" i="1"/>
  <c r="BM479" i="1"/>
  <c r="BL479" i="1"/>
  <c r="E479" i="1"/>
  <c r="BM478" i="1"/>
  <c r="BM477" i="1"/>
  <c r="BL477" i="1"/>
  <c r="E477" i="1"/>
  <c r="BM476" i="1"/>
  <c r="BL476" i="1"/>
  <c r="E476" i="1"/>
  <c r="BM475" i="1"/>
  <c r="BL475" i="1"/>
  <c r="E475" i="1"/>
  <c r="BM474" i="1"/>
  <c r="BM473" i="1"/>
  <c r="BL473" i="1"/>
  <c r="E473" i="1"/>
  <c r="BM472" i="1"/>
  <c r="BM471" i="1"/>
  <c r="BL471" i="1"/>
  <c r="E471" i="1"/>
  <c r="BM470" i="1"/>
  <c r="BM469" i="1"/>
  <c r="BL469" i="1"/>
  <c r="E469" i="1"/>
  <c r="BM468" i="1"/>
  <c r="BM467" i="1"/>
  <c r="BL467" i="1"/>
  <c r="E467" i="1"/>
  <c r="BM466" i="1"/>
  <c r="BM465" i="1"/>
  <c r="BL465" i="1"/>
  <c r="E465" i="1"/>
  <c r="BM464" i="1"/>
  <c r="BM463" i="1"/>
  <c r="BL463" i="1"/>
  <c r="E463" i="1"/>
  <c r="BM462" i="1"/>
  <c r="BM461" i="1"/>
  <c r="BL461" i="1"/>
  <c r="E461" i="1"/>
  <c r="BM460" i="1"/>
  <c r="BM459" i="1"/>
  <c r="BL459" i="1"/>
  <c r="E459" i="1"/>
  <c r="BM458" i="1"/>
  <c r="BM457" i="1"/>
  <c r="BL457" i="1"/>
  <c r="E457" i="1"/>
  <c r="BM456" i="1"/>
  <c r="BM455" i="1"/>
  <c r="BL455" i="1"/>
  <c r="E455" i="1"/>
  <c r="BM454" i="1"/>
  <c r="BM453" i="1"/>
  <c r="BL453" i="1"/>
  <c r="E453" i="1"/>
  <c r="BM452" i="1"/>
  <c r="BM451" i="1"/>
  <c r="BL451" i="1"/>
  <c r="E451" i="1"/>
  <c r="BM450" i="1"/>
  <c r="BM449" i="1"/>
  <c r="BL449" i="1"/>
  <c r="E449" i="1"/>
  <c r="BM448" i="1"/>
  <c r="BM447" i="1"/>
  <c r="BL447" i="1"/>
  <c r="E447" i="1"/>
  <c r="BM446" i="1"/>
  <c r="BM445" i="1"/>
  <c r="BL445" i="1"/>
  <c r="E445" i="1"/>
  <c r="BM444" i="1"/>
  <c r="BM443" i="1"/>
  <c r="BL443" i="1"/>
  <c r="E443" i="1"/>
  <c r="BM442" i="1"/>
  <c r="BM441" i="1"/>
  <c r="BL441" i="1"/>
  <c r="E441" i="1"/>
  <c r="BM440" i="1"/>
  <c r="BM439" i="1"/>
  <c r="BL439" i="1"/>
  <c r="E439" i="1"/>
  <c r="BM438" i="1"/>
  <c r="BM437" i="1"/>
  <c r="BL437" i="1"/>
  <c r="E437" i="1"/>
  <c r="BM436" i="1"/>
  <c r="BM435" i="1"/>
  <c r="BL435" i="1"/>
  <c r="E435" i="1"/>
  <c r="BM434" i="1"/>
  <c r="BM433" i="1"/>
  <c r="BL433" i="1"/>
  <c r="E433" i="1"/>
  <c r="BM432" i="1"/>
  <c r="BM431" i="1"/>
  <c r="BL431" i="1"/>
  <c r="AH431" i="1"/>
  <c r="E431" i="1"/>
  <c r="BM430" i="1"/>
  <c r="BM429" i="1"/>
  <c r="BL429" i="1"/>
  <c r="E429" i="1"/>
  <c r="BM428" i="1"/>
  <c r="BL428" i="1"/>
  <c r="E428" i="1"/>
  <c r="BM427" i="1"/>
  <c r="BL427" i="1"/>
  <c r="E427" i="1"/>
  <c r="BM426" i="1"/>
  <c r="BM425" i="1"/>
  <c r="BL425" i="1"/>
  <c r="E425" i="1"/>
  <c r="BM424" i="1"/>
  <c r="BM423" i="1"/>
  <c r="BL423" i="1"/>
  <c r="AH423" i="1"/>
  <c r="E423" i="1"/>
  <c r="BM422" i="1"/>
  <c r="BM421" i="1"/>
  <c r="BL421" i="1"/>
  <c r="E421" i="1"/>
  <c r="BM420" i="1"/>
  <c r="BL420" i="1"/>
  <c r="E420" i="1"/>
  <c r="BM419" i="1"/>
  <c r="BL419" i="1"/>
  <c r="E419" i="1"/>
  <c r="BM418" i="1"/>
  <c r="BM417" i="1"/>
  <c r="BL417" i="1"/>
  <c r="E417" i="1"/>
  <c r="BM416" i="1"/>
  <c r="BM415" i="1"/>
  <c r="BL415" i="1"/>
  <c r="E415" i="1"/>
  <c r="BM414" i="1"/>
  <c r="BM413" i="1"/>
  <c r="BL413" i="1"/>
  <c r="E413" i="1"/>
  <c r="BM412" i="1"/>
  <c r="BM411" i="1"/>
  <c r="BL411" i="1"/>
  <c r="E411" i="1"/>
  <c r="BM410" i="1"/>
  <c r="BM409" i="1"/>
  <c r="BL409" i="1"/>
  <c r="E409" i="1"/>
  <c r="BM408" i="1"/>
  <c r="BM407" i="1"/>
  <c r="BL407" i="1"/>
  <c r="E407" i="1"/>
  <c r="BM406" i="1"/>
  <c r="BM405" i="1"/>
  <c r="BL405" i="1"/>
  <c r="E405" i="1"/>
  <c r="BM404" i="1"/>
  <c r="BM403" i="1"/>
  <c r="BL403" i="1"/>
  <c r="E403" i="1"/>
  <c r="BM402" i="1"/>
  <c r="BM401" i="1"/>
  <c r="BL401" i="1"/>
  <c r="E401" i="1"/>
  <c r="BM400" i="1"/>
  <c r="BM399" i="1"/>
  <c r="BL399" i="1"/>
  <c r="E399" i="1"/>
  <c r="BM398" i="1"/>
  <c r="BM397" i="1"/>
  <c r="BL397" i="1"/>
  <c r="E397" i="1"/>
  <c r="BM396" i="1"/>
  <c r="BM395" i="1"/>
  <c r="BL395" i="1"/>
  <c r="E395" i="1"/>
  <c r="BM394" i="1"/>
  <c r="BM393" i="1"/>
  <c r="BL393" i="1"/>
  <c r="E393" i="1"/>
  <c r="BM392" i="1"/>
  <c r="BM391" i="1"/>
  <c r="BL391" i="1"/>
  <c r="E391" i="1"/>
  <c r="BM390" i="1"/>
  <c r="BM389" i="1"/>
  <c r="BL389" i="1"/>
  <c r="E389" i="1"/>
  <c r="BM388" i="1"/>
  <c r="BL388" i="1"/>
  <c r="E388" i="1"/>
  <c r="BM387" i="1"/>
  <c r="BL387" i="1"/>
  <c r="E387" i="1"/>
  <c r="BM386" i="1"/>
  <c r="BM385" i="1"/>
  <c r="BL385" i="1"/>
  <c r="E385" i="1"/>
  <c r="BM384" i="1"/>
  <c r="BM383" i="1"/>
  <c r="BL383" i="1"/>
  <c r="E383" i="1"/>
  <c r="BM382" i="1"/>
  <c r="BM381" i="1"/>
  <c r="BL381" i="1"/>
  <c r="E381" i="1"/>
  <c r="BM380" i="1"/>
  <c r="BM379" i="1"/>
  <c r="BL379" i="1"/>
  <c r="E379" i="1"/>
  <c r="BM378" i="1"/>
  <c r="BM377" i="1"/>
  <c r="BL377" i="1"/>
  <c r="E377" i="1"/>
  <c r="BM376" i="1"/>
  <c r="BM375" i="1"/>
  <c r="BL375" i="1"/>
  <c r="E375" i="1"/>
  <c r="BM374" i="1"/>
  <c r="BM373" i="1"/>
  <c r="BL373" i="1"/>
  <c r="E373" i="1"/>
  <c r="BM372" i="1"/>
  <c r="BM371" i="1"/>
  <c r="BL371" i="1"/>
  <c r="E371" i="1"/>
  <c r="BM370" i="1"/>
  <c r="BM369" i="1"/>
  <c r="BL369" i="1"/>
  <c r="E369" i="1"/>
  <c r="BM368" i="1"/>
  <c r="BL368" i="1"/>
  <c r="E368" i="1"/>
  <c r="BM367" i="1"/>
  <c r="BL367" i="1"/>
  <c r="E367" i="1"/>
  <c r="BM366" i="1"/>
  <c r="BM365" i="1"/>
  <c r="BL365" i="1"/>
  <c r="E365" i="1"/>
  <c r="BM364" i="1"/>
  <c r="BM363" i="1"/>
  <c r="BL363" i="1"/>
  <c r="E363" i="1"/>
  <c r="BM362" i="1"/>
  <c r="BM361" i="1"/>
  <c r="BL361" i="1"/>
  <c r="E361" i="1"/>
  <c r="BM360" i="1"/>
  <c r="BM359" i="1"/>
  <c r="BL359" i="1"/>
  <c r="E359" i="1"/>
  <c r="BM358" i="1"/>
  <c r="BM357" i="1"/>
  <c r="BL357" i="1"/>
  <c r="E357" i="1"/>
  <c r="BM356" i="1"/>
  <c r="BM355" i="1"/>
  <c r="BL355" i="1"/>
  <c r="E355" i="1"/>
  <c r="BM354" i="1"/>
  <c r="BM353" i="1"/>
  <c r="BL353" i="1"/>
  <c r="E353" i="1"/>
  <c r="BM352" i="1"/>
  <c r="BM351" i="1"/>
  <c r="BL351" i="1"/>
  <c r="E351" i="1"/>
  <c r="BM350" i="1"/>
  <c r="BM349" i="1"/>
  <c r="BL349" i="1"/>
  <c r="E349" i="1"/>
  <c r="BM348" i="1"/>
  <c r="BM347" i="1"/>
  <c r="BL347" i="1"/>
  <c r="E347" i="1"/>
  <c r="BM346" i="1"/>
  <c r="BM345" i="1"/>
  <c r="BL345" i="1"/>
  <c r="E345" i="1"/>
  <c r="BM344" i="1"/>
  <c r="BL344" i="1"/>
  <c r="E344" i="1"/>
  <c r="BM343" i="1"/>
  <c r="BL343" i="1"/>
  <c r="E343" i="1"/>
  <c r="BM342" i="1"/>
  <c r="BM341" i="1"/>
  <c r="BL341" i="1"/>
  <c r="E341" i="1"/>
  <c r="BM340" i="1"/>
  <c r="BL340" i="1"/>
  <c r="BM339" i="1"/>
  <c r="BL339" i="1"/>
  <c r="E339" i="1"/>
  <c r="BM338" i="1"/>
  <c r="BM337" i="1"/>
  <c r="BL337" i="1"/>
  <c r="E337" i="1"/>
  <c r="BM336" i="1"/>
  <c r="BM335" i="1"/>
  <c r="BL335" i="1"/>
  <c r="E335" i="1"/>
  <c r="BM334" i="1"/>
  <c r="BL334" i="1"/>
  <c r="E334" i="1"/>
  <c r="BM333" i="1"/>
  <c r="BL333" i="1"/>
  <c r="E333" i="1"/>
  <c r="BM332" i="1"/>
  <c r="BM331" i="1"/>
  <c r="BL331" i="1"/>
  <c r="AH331" i="1"/>
  <c r="E331" i="1"/>
  <c r="BM330" i="1"/>
  <c r="BM329" i="1"/>
  <c r="BL329" i="1"/>
  <c r="E329" i="1"/>
  <c r="BM328" i="1"/>
  <c r="BL328" i="1"/>
  <c r="E328" i="1"/>
  <c r="BM327" i="1"/>
  <c r="BL327" i="1"/>
  <c r="E327" i="1"/>
  <c r="BM326" i="1"/>
  <c r="BM325" i="1"/>
  <c r="BL325" i="1"/>
  <c r="E325" i="1"/>
  <c r="BM324" i="1"/>
  <c r="BM323" i="1"/>
  <c r="BL323" i="1"/>
  <c r="AH323" i="1"/>
  <c r="E323" i="1"/>
  <c r="BM322" i="1"/>
  <c r="BM321" i="1"/>
  <c r="BL321" i="1"/>
  <c r="E321" i="1"/>
  <c r="BM320" i="1"/>
  <c r="BL320" i="1"/>
  <c r="E320" i="1"/>
  <c r="BM319" i="1"/>
  <c r="BL319" i="1"/>
  <c r="AR319" i="1"/>
  <c r="Y319" i="1"/>
  <c r="E319" i="1"/>
  <c r="BM318" i="1"/>
  <c r="BM317" i="1"/>
  <c r="BL317" i="1"/>
  <c r="AR317" i="1"/>
  <c r="Y317" i="1"/>
  <c r="E317" i="1"/>
  <c r="BM316" i="1"/>
  <c r="BL316" i="1"/>
  <c r="E316" i="1"/>
  <c r="BM315" i="1"/>
  <c r="BL315" i="1"/>
  <c r="AH315" i="1"/>
  <c r="E315" i="1"/>
  <c r="BM314" i="1"/>
  <c r="BM313" i="1"/>
  <c r="BL313" i="1"/>
  <c r="E313" i="1"/>
  <c r="BM312" i="1"/>
  <c r="BM311" i="1"/>
  <c r="BL311" i="1"/>
  <c r="E311" i="1"/>
  <c r="BM310" i="1"/>
  <c r="BM309" i="1"/>
  <c r="BL309" i="1"/>
  <c r="E309" i="1"/>
  <c r="BM308" i="1"/>
  <c r="BM307" i="1"/>
  <c r="BL307" i="1"/>
  <c r="E307" i="1"/>
  <c r="BM306" i="1"/>
  <c r="BM305" i="1"/>
  <c r="BL305" i="1"/>
  <c r="E305" i="1"/>
  <c r="BM304" i="1"/>
  <c r="BM303" i="1"/>
  <c r="BL303" i="1"/>
  <c r="E303" i="1"/>
  <c r="BM302" i="1"/>
  <c r="BM301" i="1"/>
  <c r="BL301" i="1"/>
  <c r="E301" i="1"/>
  <c r="BM300" i="1"/>
  <c r="BM299" i="1"/>
  <c r="BL299" i="1"/>
  <c r="E299" i="1"/>
  <c r="BM298" i="1"/>
  <c r="BM297" i="1"/>
  <c r="BL297" i="1"/>
  <c r="E297" i="1"/>
  <c r="BM296" i="1"/>
  <c r="BM295" i="1"/>
  <c r="BL295" i="1"/>
  <c r="E295" i="1"/>
  <c r="BM294" i="1"/>
  <c r="BM293" i="1"/>
  <c r="BL293" i="1"/>
  <c r="E293" i="1"/>
  <c r="BM292" i="1"/>
  <c r="BM291" i="1"/>
  <c r="BL291" i="1"/>
  <c r="E291" i="1"/>
  <c r="BM290" i="1"/>
  <c r="BM289" i="1"/>
  <c r="BL289" i="1"/>
  <c r="E289" i="1"/>
  <c r="BM288" i="1"/>
  <c r="BM287" i="1"/>
  <c r="BL287" i="1"/>
  <c r="E287" i="1"/>
  <c r="BM286" i="1"/>
  <c r="BM285" i="1"/>
  <c r="BL285" i="1"/>
  <c r="E285" i="1"/>
  <c r="BM284" i="1"/>
  <c r="BM283" i="1"/>
  <c r="BL283" i="1"/>
  <c r="E283" i="1"/>
  <c r="BM282" i="1"/>
  <c r="BM281" i="1"/>
  <c r="BL281" i="1"/>
  <c r="E281" i="1"/>
  <c r="BM280" i="1"/>
  <c r="BM279" i="1"/>
  <c r="BL279" i="1"/>
  <c r="E279" i="1"/>
  <c r="BM278" i="1"/>
  <c r="BM277" i="1"/>
  <c r="BL277" i="1"/>
  <c r="E277" i="1"/>
  <c r="BM276" i="1"/>
  <c r="BM275" i="1"/>
  <c r="BL275" i="1"/>
  <c r="E275" i="1"/>
  <c r="BM274" i="1"/>
  <c r="BM273" i="1"/>
  <c r="BL273" i="1"/>
  <c r="E273" i="1"/>
  <c r="BM272" i="1"/>
  <c r="BM271" i="1"/>
  <c r="BL271" i="1"/>
  <c r="E271" i="1"/>
  <c r="BM270" i="1"/>
  <c r="BM269" i="1"/>
  <c r="BL269" i="1"/>
  <c r="E269" i="1"/>
  <c r="BM268" i="1"/>
  <c r="BM267" i="1"/>
  <c r="BL267" i="1"/>
  <c r="E267" i="1"/>
  <c r="BM266" i="1"/>
  <c r="BM265" i="1"/>
  <c r="BL265" i="1"/>
  <c r="E265" i="1"/>
  <c r="BM264" i="1"/>
  <c r="BM263" i="1"/>
  <c r="BL263" i="1"/>
  <c r="E263" i="1"/>
  <c r="BM262" i="1"/>
  <c r="BM261" i="1"/>
  <c r="BL261" i="1"/>
  <c r="E261" i="1"/>
  <c r="BM260" i="1"/>
  <c r="BM259" i="1"/>
  <c r="BL259" i="1"/>
  <c r="E259" i="1"/>
  <c r="BM258" i="1"/>
  <c r="BM257" i="1"/>
  <c r="BL257" i="1"/>
  <c r="E257" i="1"/>
  <c r="BM256" i="1"/>
  <c r="BM255" i="1"/>
  <c r="BL255" i="1"/>
  <c r="E255" i="1"/>
  <c r="BM254" i="1"/>
  <c r="BM253" i="1"/>
  <c r="BL253" i="1"/>
  <c r="E253" i="1"/>
  <c r="BM252" i="1"/>
  <c r="BM251" i="1"/>
  <c r="BL251" i="1"/>
  <c r="E251" i="1"/>
  <c r="BM250" i="1"/>
  <c r="BM249" i="1"/>
  <c r="BL249" i="1"/>
  <c r="E249" i="1"/>
  <c r="BM248" i="1"/>
  <c r="BM247" i="1"/>
  <c r="BL247" i="1"/>
  <c r="E247" i="1"/>
  <c r="BM246" i="1"/>
  <c r="BM245" i="1"/>
  <c r="BL245" i="1"/>
  <c r="E245" i="1"/>
  <c r="BM244" i="1"/>
  <c r="BM243" i="1"/>
  <c r="BL243" i="1"/>
  <c r="E243" i="1"/>
  <c r="BM242" i="1"/>
  <c r="BM241" i="1"/>
  <c r="BL241" i="1"/>
  <c r="E241" i="1"/>
  <c r="BM240" i="1"/>
  <c r="BM239" i="1"/>
  <c r="BL239" i="1"/>
  <c r="E239" i="1"/>
  <c r="BM238" i="1"/>
  <c r="BM237" i="1"/>
  <c r="BL237" i="1"/>
  <c r="E237" i="1"/>
  <c r="BM236" i="1"/>
  <c r="BM235" i="1"/>
  <c r="BL235" i="1"/>
  <c r="E235" i="1"/>
  <c r="BM234" i="1"/>
  <c r="BM233" i="1"/>
  <c r="BL233" i="1"/>
  <c r="E233" i="1"/>
  <c r="BM232" i="1"/>
  <c r="BL232" i="1"/>
  <c r="E232" i="1"/>
  <c r="BM231" i="1"/>
  <c r="BL231" i="1"/>
  <c r="E231" i="1"/>
  <c r="BM230" i="1"/>
  <c r="BM229" i="1"/>
  <c r="BL229" i="1"/>
  <c r="E229" i="1"/>
  <c r="BM228" i="1"/>
  <c r="BM227" i="1"/>
  <c r="BL227" i="1"/>
  <c r="E227" i="1"/>
  <c r="BM226" i="1"/>
  <c r="BM225" i="1"/>
  <c r="BL225" i="1"/>
  <c r="AH225" i="1"/>
  <c r="E225" i="1"/>
  <c r="BM224" i="1"/>
  <c r="BM223" i="1"/>
  <c r="BL223" i="1"/>
  <c r="E223" i="1"/>
  <c r="BM222" i="1"/>
  <c r="BM221" i="1"/>
  <c r="BL221" i="1"/>
  <c r="E221" i="1"/>
  <c r="BM220" i="1"/>
  <c r="BM219" i="1"/>
  <c r="BL219" i="1"/>
  <c r="E219" i="1"/>
  <c r="BM218" i="1"/>
  <c r="BL218" i="1"/>
  <c r="BM217" i="1"/>
  <c r="BM216" i="1"/>
  <c r="BL216" i="1"/>
  <c r="BM215" i="1"/>
  <c r="BL215" i="1"/>
  <c r="E215" i="1"/>
  <c r="BM214" i="1"/>
  <c r="BL214" i="1"/>
  <c r="E214" i="1"/>
  <c r="BM213" i="1"/>
  <c r="BL213" i="1"/>
  <c r="E213" i="1"/>
  <c r="BM212" i="1"/>
  <c r="BM211" i="1"/>
  <c r="BL211" i="1"/>
  <c r="E211" i="1"/>
  <c r="BM210" i="1"/>
  <c r="BM209" i="1"/>
  <c r="BL209" i="1"/>
  <c r="E209" i="1"/>
  <c r="BM208" i="1"/>
  <c r="BM207" i="1"/>
  <c r="BL207" i="1"/>
  <c r="E207" i="1"/>
  <c r="BM206" i="1"/>
  <c r="BM205" i="1"/>
  <c r="BL205" i="1"/>
  <c r="E205" i="1"/>
  <c r="BM204" i="1"/>
  <c r="BM203" i="1"/>
  <c r="BL203" i="1"/>
  <c r="E203" i="1"/>
  <c r="BM202" i="1"/>
  <c r="BL202" i="1"/>
  <c r="E202" i="1"/>
  <c r="BM201" i="1"/>
  <c r="BL201" i="1"/>
  <c r="E201" i="1"/>
  <c r="BM200" i="1"/>
  <c r="BM199" i="1"/>
  <c r="BL199" i="1"/>
  <c r="AH199" i="1"/>
  <c r="E199" i="1"/>
  <c r="BM198" i="1"/>
  <c r="BM197" i="1"/>
  <c r="BL197" i="1"/>
  <c r="E197" i="1"/>
  <c r="BM196" i="1"/>
  <c r="BM195" i="1"/>
  <c r="BL195" i="1"/>
  <c r="E195" i="1"/>
  <c r="BM194" i="1"/>
  <c r="BM193" i="1"/>
  <c r="BL193" i="1"/>
  <c r="E193" i="1"/>
  <c r="BM192" i="1"/>
  <c r="BM191" i="1"/>
  <c r="BL191" i="1"/>
  <c r="E191" i="1"/>
  <c r="BM190" i="1"/>
  <c r="BM189" i="1"/>
  <c r="BL189" i="1"/>
  <c r="E189" i="1"/>
  <c r="BM188" i="1"/>
  <c r="BL188" i="1"/>
  <c r="E188" i="1"/>
  <c r="BM187" i="1"/>
  <c r="BL187" i="1"/>
  <c r="AS187" i="1"/>
  <c r="AS191" i="1" s="1"/>
  <c r="AS195" i="1" s="1"/>
  <c r="AS199" i="1" s="1"/>
  <c r="AS203" i="1" s="1"/>
  <c r="AS207" i="1" s="1"/>
  <c r="AS211" i="1" s="1"/>
  <c r="X187" i="1"/>
  <c r="X191" i="1" s="1"/>
  <c r="X195" i="1" s="1"/>
  <c r="X199" i="1" s="1"/>
  <c r="X203" i="1" s="1"/>
  <c r="X207" i="1" s="1"/>
  <c r="X211" i="1" s="1"/>
  <c r="X213" i="1" s="1"/>
  <c r="E187" i="1"/>
  <c r="BM186" i="1"/>
  <c r="BM185" i="1"/>
  <c r="BL185" i="1"/>
  <c r="AS185" i="1"/>
  <c r="AS189" i="1" s="1"/>
  <c r="AS193" i="1" s="1"/>
  <c r="AS197" i="1" s="1"/>
  <c r="AS201" i="1" s="1"/>
  <c r="AS205" i="1" s="1"/>
  <c r="AS209" i="1" s="1"/>
  <c r="AS213" i="1" s="1"/>
  <c r="AS215" i="1" s="1"/>
  <c r="AS218" i="1" s="1"/>
  <c r="AS221" i="1" s="1"/>
  <c r="AS223" i="1" s="1"/>
  <c r="AS225" i="1" s="1"/>
  <c r="AS227" i="1" s="1"/>
  <c r="AS229" i="1" s="1"/>
  <c r="AS231" i="1" s="1"/>
  <c r="AS233" i="1" s="1"/>
  <c r="AS235" i="1" s="1"/>
  <c r="AS237" i="1" s="1"/>
  <c r="AS239" i="1" s="1"/>
  <c r="AS241" i="1" s="1"/>
  <c r="AS243" i="1" s="1"/>
  <c r="AS245" i="1" s="1"/>
  <c r="AS247" i="1" s="1"/>
  <c r="AS249" i="1" s="1"/>
  <c r="AS251" i="1" s="1"/>
  <c r="AS253" i="1" s="1"/>
  <c r="AS255" i="1" s="1"/>
  <c r="AS257" i="1" s="1"/>
  <c r="AS259" i="1" s="1"/>
  <c r="AS261" i="1" s="1"/>
  <c r="AS263" i="1" s="1"/>
  <c r="AS265" i="1" s="1"/>
  <c r="AS267" i="1" s="1"/>
  <c r="AS269" i="1" s="1"/>
  <c r="AS271" i="1" s="1"/>
  <c r="AS273" i="1" s="1"/>
  <c r="AS275" i="1" s="1"/>
  <c r="AS277" i="1" s="1"/>
  <c r="AS279" i="1" s="1"/>
  <c r="AS281" i="1" s="1"/>
  <c r="AS283" i="1" s="1"/>
  <c r="AS285" i="1" s="1"/>
  <c r="AS287" i="1" s="1"/>
  <c r="AS289" i="1" s="1"/>
  <c r="AS291" i="1" s="1"/>
  <c r="AS293" i="1" s="1"/>
  <c r="AS295" i="1" s="1"/>
  <c r="AS297" i="1" s="1"/>
  <c r="AS299" i="1" s="1"/>
  <c r="AS301" i="1" s="1"/>
  <c r="AS303" i="1" s="1"/>
  <c r="AS305" i="1" s="1"/>
  <c r="AS307" i="1" s="1"/>
  <c r="AS309" i="1" s="1"/>
  <c r="AS311" i="1" s="1"/>
  <c r="AS313" i="1" s="1"/>
  <c r="AS315" i="1" s="1"/>
  <c r="AS317" i="1" s="1"/>
  <c r="AS319" i="1" s="1"/>
  <c r="AS321" i="1" s="1"/>
  <c r="AS323" i="1" s="1"/>
  <c r="AS325" i="1" s="1"/>
  <c r="AS327" i="1" s="1"/>
  <c r="AS329" i="1" s="1"/>
  <c r="AS331" i="1" s="1"/>
  <c r="AS333" i="1" s="1"/>
  <c r="AS335" i="1" s="1"/>
  <c r="AS337" i="1" s="1"/>
  <c r="AS339" i="1" s="1"/>
  <c r="AS341" i="1" s="1"/>
  <c r="AS343" i="1" s="1"/>
  <c r="AS345" i="1" s="1"/>
  <c r="AS347" i="1" s="1"/>
  <c r="AS349" i="1" s="1"/>
  <c r="AS351" i="1" s="1"/>
  <c r="AS353" i="1" s="1"/>
  <c r="AS355" i="1" s="1"/>
  <c r="AS357" i="1" s="1"/>
  <c r="AS359" i="1" s="1"/>
  <c r="AS361" i="1" s="1"/>
  <c r="AS363" i="1" s="1"/>
  <c r="AS365" i="1" s="1"/>
  <c r="AS367" i="1" s="1"/>
  <c r="AS369" i="1" s="1"/>
  <c r="AS371" i="1" s="1"/>
  <c r="AS373" i="1" s="1"/>
  <c r="AS375" i="1" s="1"/>
  <c r="AS377" i="1" s="1"/>
  <c r="AS379" i="1" s="1"/>
  <c r="AS381" i="1" s="1"/>
  <c r="AS383" i="1" s="1"/>
  <c r="AS385" i="1" s="1"/>
  <c r="AS387" i="1" s="1"/>
  <c r="AS389" i="1" s="1"/>
  <c r="AS391" i="1" s="1"/>
  <c r="AS393" i="1" s="1"/>
  <c r="AS395" i="1" s="1"/>
  <c r="AS397" i="1" s="1"/>
  <c r="AS399" i="1" s="1"/>
  <c r="AS401" i="1" s="1"/>
  <c r="AS403" i="1" s="1"/>
  <c r="AS405" i="1" s="1"/>
  <c r="AS407" i="1" s="1"/>
  <c r="AS409" i="1" s="1"/>
  <c r="AS411" i="1" s="1"/>
  <c r="AS413" i="1" s="1"/>
  <c r="AS415" i="1" s="1"/>
  <c r="AS417" i="1" s="1"/>
  <c r="AS419" i="1" s="1"/>
  <c r="AS421" i="1" s="1"/>
  <c r="AS423" i="1" s="1"/>
  <c r="AS425" i="1" s="1"/>
  <c r="AS427" i="1" s="1"/>
  <c r="AS429" i="1" s="1"/>
  <c r="AS431" i="1" s="1"/>
  <c r="AS433" i="1" s="1"/>
  <c r="AS435" i="1" s="1"/>
  <c r="AS437" i="1" s="1"/>
  <c r="AS439" i="1" s="1"/>
  <c r="AS441" i="1" s="1"/>
  <c r="AS443" i="1" s="1"/>
  <c r="AS445" i="1" s="1"/>
  <c r="AS447" i="1" s="1"/>
  <c r="AS449" i="1" s="1"/>
  <c r="AS451" i="1" s="1"/>
  <c r="AS453" i="1" s="1"/>
  <c r="AS455" i="1" s="1"/>
  <c r="AS457" i="1" s="1"/>
  <c r="AS459" i="1" s="1"/>
  <c r="AS461" i="1" s="1"/>
  <c r="AS463" i="1" s="1"/>
  <c r="AS465" i="1" s="1"/>
  <c r="AS467" i="1" s="1"/>
  <c r="AS469" i="1" s="1"/>
  <c r="AS471" i="1" s="1"/>
  <c r="AS473" i="1" s="1"/>
  <c r="AS475" i="1" s="1"/>
  <c r="AS477" i="1" s="1"/>
  <c r="AS479" i="1" s="1"/>
  <c r="AS481" i="1" s="1"/>
  <c r="AS483" i="1" s="1"/>
  <c r="AS485" i="1" s="1"/>
  <c r="AS487" i="1" s="1"/>
  <c r="AS489" i="1" s="1"/>
  <c r="AS491" i="1" s="1"/>
  <c r="AS493" i="1" s="1"/>
  <c r="AS495" i="1" s="1"/>
  <c r="AS497" i="1" s="1"/>
  <c r="AS499" i="1" s="1"/>
  <c r="AS501" i="1" s="1"/>
  <c r="AS503" i="1" s="1"/>
  <c r="AS505" i="1" s="1"/>
  <c r="AS507" i="1" s="1"/>
  <c r="AS509" i="1" s="1"/>
  <c r="AS511" i="1" s="1"/>
  <c r="AS513" i="1" s="1"/>
  <c r="AS515" i="1" s="1"/>
  <c r="AS517" i="1" s="1"/>
  <c r="AS519" i="1" s="1"/>
  <c r="AS521" i="1" s="1"/>
  <c r="AS523" i="1" s="1"/>
  <c r="AS525" i="1" s="1"/>
  <c r="AS527" i="1" s="1"/>
  <c r="AS529" i="1" s="1"/>
  <c r="AS531" i="1" s="1"/>
  <c r="AS533" i="1" s="1"/>
  <c r="AS535" i="1" s="1"/>
  <c r="AS537" i="1" s="1"/>
  <c r="AS539" i="1" s="1"/>
  <c r="AS541" i="1" s="1"/>
  <c r="AS543" i="1" s="1"/>
  <c r="AS545" i="1" s="1"/>
  <c r="AS547" i="1" s="1"/>
  <c r="AS549" i="1" s="1"/>
  <c r="AS551" i="1" s="1"/>
  <c r="AS553" i="1" s="1"/>
  <c r="AS555" i="1" s="1"/>
  <c r="AS557" i="1" s="1"/>
  <c r="AS559" i="1" s="1"/>
  <c r="AS561" i="1" s="1"/>
  <c r="AS563" i="1" s="1"/>
  <c r="AS565" i="1" s="1"/>
  <c r="AS567" i="1" s="1"/>
  <c r="AS569" i="1" s="1"/>
  <c r="AS571" i="1" s="1"/>
  <c r="AS573" i="1" s="1"/>
  <c r="AS575" i="1" s="1"/>
  <c r="AS577" i="1" s="1"/>
  <c r="AS579" i="1" s="1"/>
  <c r="AS581" i="1" s="1"/>
  <c r="AS583" i="1" s="1"/>
  <c r="AS585" i="1" s="1"/>
  <c r="AS587" i="1" s="1"/>
  <c r="AS589" i="1" s="1"/>
  <c r="AS591" i="1" s="1"/>
  <c r="AS593" i="1" s="1"/>
  <c r="AS595" i="1" s="1"/>
  <c r="AS597" i="1" s="1"/>
  <c r="AS599" i="1" s="1"/>
  <c r="AS601" i="1" s="1"/>
  <c r="AS603" i="1" s="1"/>
  <c r="AS605" i="1" s="1"/>
  <c r="AS607" i="1" s="1"/>
  <c r="AS609" i="1" s="1"/>
  <c r="AS611" i="1" s="1"/>
  <c r="AS613" i="1" s="1"/>
  <c r="AS615" i="1" s="1"/>
  <c r="AS617" i="1" s="1"/>
  <c r="AS619" i="1" s="1"/>
  <c r="AS621" i="1" s="1"/>
  <c r="AS623" i="1" s="1"/>
  <c r="AS625" i="1" s="1"/>
  <c r="AS627" i="1" s="1"/>
  <c r="AS629" i="1" s="1"/>
  <c r="AS631" i="1" s="1"/>
  <c r="AS633" i="1" s="1"/>
  <c r="AS635" i="1" s="1"/>
  <c r="AS637" i="1" s="1"/>
  <c r="AS639" i="1" s="1"/>
  <c r="AS641" i="1" s="1"/>
  <c r="AS643" i="1" s="1"/>
  <c r="AS645" i="1" s="1"/>
  <c r="AS647" i="1" s="1"/>
  <c r="AS649" i="1" s="1"/>
  <c r="AS651" i="1" s="1"/>
  <c r="AS653" i="1" s="1"/>
  <c r="AS655" i="1" s="1"/>
  <c r="AS657" i="1" s="1"/>
  <c r="AS659" i="1" s="1"/>
  <c r="AS661" i="1" s="1"/>
  <c r="AS663" i="1" s="1"/>
  <c r="AS665" i="1" s="1"/>
  <c r="AS667" i="1" s="1"/>
  <c r="AS669" i="1" s="1"/>
  <c r="AS671" i="1" s="1"/>
  <c r="AS673" i="1" s="1"/>
  <c r="AS675" i="1" s="1"/>
  <c r="AS677" i="1" s="1"/>
  <c r="AS679" i="1" s="1"/>
  <c r="AS681" i="1" s="1"/>
  <c r="AS683" i="1" s="1"/>
  <c r="AS685" i="1" s="1"/>
  <c r="AS687" i="1" s="1"/>
  <c r="AS689" i="1" s="1"/>
  <c r="AS691" i="1" s="1"/>
  <c r="AS693" i="1" s="1"/>
  <c r="AS695" i="1" s="1"/>
  <c r="AS697" i="1" s="1"/>
  <c r="AS699" i="1" s="1"/>
  <c r="AS701" i="1" s="1"/>
  <c r="AS703" i="1" s="1"/>
  <c r="AS705" i="1" s="1"/>
  <c r="AS707" i="1" s="1"/>
  <c r="AS709" i="1" s="1"/>
  <c r="AS711" i="1" s="1"/>
  <c r="AS713" i="1" s="1"/>
  <c r="AS715" i="1" s="1"/>
  <c r="AS717" i="1" s="1"/>
  <c r="AS719" i="1" s="1"/>
  <c r="AS721" i="1" s="1"/>
  <c r="AS723" i="1" s="1"/>
  <c r="AS725" i="1" s="1"/>
  <c r="AS727" i="1" s="1"/>
  <c r="AS729" i="1" s="1"/>
  <c r="AS731" i="1" s="1"/>
  <c r="AS733" i="1" s="1"/>
  <c r="AS735" i="1" s="1"/>
  <c r="AS737" i="1" s="1"/>
  <c r="AS739" i="1" s="1"/>
  <c r="AS741" i="1" s="1"/>
  <c r="AS743" i="1" s="1"/>
  <c r="AS745" i="1" s="1"/>
  <c r="AS747" i="1" s="1"/>
  <c r="AS749" i="1" s="1"/>
  <c r="AS751" i="1" s="1"/>
  <c r="AS753" i="1" s="1"/>
  <c r="AS755" i="1" s="1"/>
  <c r="AS757" i="1" s="1"/>
  <c r="AS759" i="1" s="1"/>
  <c r="AS761" i="1" s="1"/>
  <c r="AS763" i="1" s="1"/>
  <c r="AS765" i="1" s="1"/>
  <c r="AS767" i="1" s="1"/>
  <c r="AS769" i="1" s="1"/>
  <c r="AS771" i="1" s="1"/>
  <c r="AS773" i="1" s="1"/>
  <c r="AS775" i="1" s="1"/>
  <c r="AS777" i="1" s="1"/>
  <c r="AS779" i="1" s="1"/>
  <c r="AS781" i="1" s="1"/>
  <c r="AS783" i="1" s="1"/>
  <c r="AS785" i="1" s="1"/>
  <c r="AS787" i="1" s="1"/>
  <c r="AS789" i="1" s="1"/>
  <c r="AS791" i="1" s="1"/>
  <c r="AS793" i="1" s="1"/>
  <c r="AS795" i="1" s="1"/>
  <c r="AS797" i="1" s="1"/>
  <c r="AS799" i="1" s="1"/>
  <c r="AS801" i="1" s="1"/>
  <c r="AS803" i="1" s="1"/>
  <c r="AS805" i="1" s="1"/>
  <c r="AS807" i="1" s="1"/>
  <c r="AS809" i="1" s="1"/>
  <c r="AS811" i="1" s="1"/>
  <c r="AS813" i="1" s="1"/>
  <c r="AS815" i="1" s="1"/>
  <c r="AS817" i="1" s="1"/>
  <c r="AS819" i="1" s="1"/>
  <c r="AS821" i="1" s="1"/>
  <c r="AS823" i="1" s="1"/>
  <c r="AS825" i="1" s="1"/>
  <c r="AS827" i="1" s="1"/>
  <c r="AS829" i="1" s="1"/>
  <c r="AS831" i="1" s="1"/>
  <c r="AS833" i="1" s="1"/>
  <c r="AS835" i="1" s="1"/>
  <c r="AS837" i="1" s="1"/>
  <c r="AS839" i="1" s="1"/>
  <c r="AS841" i="1" s="1"/>
  <c r="AS843" i="1" s="1"/>
  <c r="AS845" i="1" s="1"/>
  <c r="AS847" i="1" s="1"/>
  <c r="AS849" i="1" s="1"/>
  <c r="AS851" i="1" s="1"/>
  <c r="AS853" i="1" s="1"/>
  <c r="AS855" i="1" s="1"/>
  <c r="AS857" i="1" s="1"/>
  <c r="AS859" i="1" s="1"/>
  <c r="AS861" i="1" s="1"/>
  <c r="AS863" i="1" s="1"/>
  <c r="AS865" i="1" s="1"/>
  <c r="AS867" i="1" s="1"/>
  <c r="AS869" i="1" s="1"/>
  <c r="AS871" i="1" s="1"/>
  <c r="AS873" i="1" s="1"/>
  <c r="AS875" i="1" s="1"/>
  <c r="AS877" i="1" s="1"/>
  <c r="AS879" i="1" s="1"/>
  <c r="AS881" i="1" s="1"/>
  <c r="AS883" i="1" s="1"/>
  <c r="AS885" i="1" s="1"/>
  <c r="AS887" i="1" s="1"/>
  <c r="AS889" i="1" s="1"/>
  <c r="AS891" i="1" s="1"/>
  <c r="AS893" i="1" s="1"/>
  <c r="AS895" i="1" s="1"/>
  <c r="AS897" i="1" s="1"/>
  <c r="AS899" i="1" s="1"/>
  <c r="AS901" i="1" s="1"/>
  <c r="AS903" i="1" s="1"/>
  <c r="AS905" i="1" s="1"/>
  <c r="AS907" i="1" s="1"/>
  <c r="AS909" i="1" s="1"/>
  <c r="AS911" i="1" s="1"/>
  <c r="AS913" i="1" s="1"/>
  <c r="AS915" i="1" s="1"/>
  <c r="AS917" i="1" s="1"/>
  <c r="AS919" i="1" s="1"/>
  <c r="AS921" i="1" s="1"/>
  <c r="AS923" i="1" s="1"/>
  <c r="AS925" i="1" s="1"/>
  <c r="AS927" i="1" s="1"/>
  <c r="AS929" i="1" s="1"/>
  <c r="AS931" i="1" s="1"/>
  <c r="AS933" i="1" s="1"/>
  <c r="AS935" i="1" s="1"/>
  <c r="AS937" i="1" s="1"/>
  <c r="AS939" i="1" s="1"/>
  <c r="AH185" i="1"/>
  <c r="X185" i="1"/>
  <c r="X189" i="1" s="1"/>
  <c r="X193" i="1" s="1"/>
  <c r="X197" i="1" s="1"/>
  <c r="X201" i="1" s="1"/>
  <c r="X205" i="1" s="1"/>
  <c r="X209" i="1" s="1"/>
  <c r="E185" i="1"/>
  <c r="BM184" i="1"/>
  <c r="BL184" i="1"/>
  <c r="E184" i="1"/>
  <c r="BM183" i="1"/>
  <c r="BL183" i="1"/>
  <c r="AS183" i="1"/>
  <c r="E183" i="1"/>
  <c r="BM182" i="1"/>
  <c r="BM181" i="1"/>
  <c r="BL181" i="1"/>
  <c r="E181" i="1"/>
  <c r="BM180" i="1"/>
  <c r="BM179" i="1"/>
  <c r="BL179" i="1"/>
  <c r="E179" i="1"/>
  <c r="BM178" i="1"/>
  <c r="BM177" i="1"/>
  <c r="BL177" i="1"/>
  <c r="E177" i="1"/>
  <c r="BM176" i="1"/>
  <c r="BM175" i="1"/>
  <c r="BL175" i="1"/>
  <c r="E175" i="1"/>
  <c r="BM174" i="1"/>
  <c r="BM173" i="1"/>
  <c r="BL173" i="1"/>
  <c r="E173" i="1"/>
  <c r="BM172" i="1"/>
  <c r="BM171" i="1"/>
  <c r="BL171" i="1"/>
  <c r="E171" i="1"/>
  <c r="BM170" i="1"/>
  <c r="BM169" i="1"/>
  <c r="BL169" i="1"/>
  <c r="E169" i="1"/>
  <c r="BM168" i="1"/>
  <c r="BM167" i="1"/>
  <c r="BL167" i="1"/>
  <c r="E167" i="1"/>
  <c r="BM166" i="1"/>
  <c r="BM165" i="1"/>
  <c r="BL165" i="1"/>
  <c r="E165" i="1"/>
  <c r="BM164" i="1"/>
  <c r="BM163" i="1"/>
  <c r="BL163" i="1"/>
  <c r="E163" i="1"/>
  <c r="BM162" i="1"/>
  <c r="BM161" i="1"/>
  <c r="BL161" i="1"/>
  <c r="E161" i="1"/>
  <c r="BM160" i="1"/>
  <c r="BM159" i="1"/>
  <c r="BL159" i="1"/>
  <c r="E159" i="1"/>
  <c r="BM158" i="1"/>
  <c r="BM157" i="1"/>
  <c r="BL157" i="1"/>
  <c r="E157" i="1"/>
  <c r="BM156" i="1"/>
  <c r="BM155" i="1"/>
  <c r="BL155" i="1"/>
  <c r="E155" i="1"/>
  <c r="BM154" i="1"/>
  <c r="BM153" i="1"/>
  <c r="BL153" i="1"/>
  <c r="BM152" i="1"/>
  <c r="BM151" i="1"/>
  <c r="BL151" i="1"/>
  <c r="E151" i="1"/>
  <c r="BM150" i="1"/>
  <c r="BM149" i="1"/>
  <c r="BL149" i="1"/>
  <c r="E149" i="1"/>
  <c r="BM148" i="1"/>
  <c r="BM147" i="1"/>
  <c r="BL147" i="1"/>
  <c r="E147" i="1"/>
  <c r="BM146" i="1"/>
  <c r="AH146" i="1"/>
  <c r="BM145" i="1"/>
  <c r="BL145" i="1"/>
  <c r="E145" i="1"/>
  <c r="BM144" i="1"/>
  <c r="BM143" i="1"/>
  <c r="BL143" i="1"/>
  <c r="E143" i="1"/>
  <c r="BM142" i="1"/>
  <c r="BM141" i="1"/>
  <c r="BL141" i="1"/>
  <c r="E141" i="1"/>
  <c r="BM140" i="1"/>
  <c r="BM139" i="1"/>
  <c r="BL139" i="1"/>
  <c r="E139" i="1"/>
  <c r="BM138" i="1"/>
  <c r="BM137" i="1"/>
  <c r="BL137" i="1"/>
  <c r="E137" i="1"/>
  <c r="BM136" i="1"/>
  <c r="BM135" i="1"/>
  <c r="BL135" i="1"/>
  <c r="E135" i="1"/>
  <c r="BM134" i="1"/>
  <c r="BM133" i="1"/>
  <c r="BL133" i="1"/>
  <c r="E133" i="1"/>
  <c r="BM132" i="1"/>
  <c r="BM131" i="1"/>
  <c r="BL131" i="1"/>
  <c r="E131" i="1"/>
  <c r="BM130" i="1"/>
  <c r="BM129" i="1"/>
  <c r="BL129" i="1"/>
  <c r="E129" i="1"/>
  <c r="BM128" i="1"/>
  <c r="BM127" i="1"/>
  <c r="BL127" i="1"/>
  <c r="E127" i="1"/>
  <c r="BM126" i="1"/>
  <c r="BM125" i="1"/>
  <c r="BL125" i="1"/>
  <c r="E125" i="1"/>
  <c r="BM124" i="1"/>
  <c r="BM123" i="1"/>
  <c r="BL123" i="1"/>
  <c r="E123" i="1"/>
  <c r="BM122" i="1"/>
  <c r="BM121" i="1"/>
  <c r="BL121" i="1"/>
  <c r="E121" i="1"/>
  <c r="BM120" i="1"/>
  <c r="BM119" i="1"/>
  <c r="BL119" i="1"/>
  <c r="E119" i="1"/>
  <c r="BM118" i="1"/>
  <c r="BM117" i="1"/>
  <c r="BL117" i="1"/>
  <c r="E117" i="1"/>
  <c r="BM116" i="1"/>
  <c r="BM115" i="1"/>
  <c r="BL115" i="1"/>
  <c r="E115" i="1"/>
  <c r="BM114" i="1"/>
  <c r="BM113" i="1"/>
  <c r="BL113" i="1"/>
  <c r="E113" i="1"/>
  <c r="BM112" i="1"/>
  <c r="BM111" i="1"/>
  <c r="BL111" i="1"/>
  <c r="E111" i="1"/>
  <c r="BM110" i="1"/>
  <c r="BM109" i="1"/>
  <c r="BL109" i="1"/>
  <c r="E109" i="1"/>
  <c r="BM108" i="1"/>
  <c r="BM107" i="1"/>
  <c r="BL107" i="1"/>
  <c r="E107" i="1"/>
  <c r="BM106" i="1"/>
  <c r="BM105" i="1"/>
  <c r="BL105" i="1"/>
  <c r="E105" i="1"/>
  <c r="BM104" i="1"/>
  <c r="BM103" i="1"/>
  <c r="BL103" i="1"/>
  <c r="E103" i="1"/>
  <c r="BM102" i="1"/>
  <c r="BM101" i="1"/>
  <c r="BL101" i="1"/>
  <c r="E101" i="1"/>
  <c r="BM100" i="1"/>
  <c r="BM99" i="1"/>
  <c r="BL99" i="1"/>
  <c r="E99" i="1"/>
  <c r="BM98" i="1"/>
  <c r="BM97" i="1"/>
  <c r="BL97" i="1"/>
  <c r="E97" i="1"/>
  <c r="BM96" i="1"/>
  <c r="BM95" i="1"/>
  <c r="BL95" i="1"/>
  <c r="E95" i="1"/>
  <c r="BM94" i="1"/>
  <c r="BM93" i="1"/>
  <c r="BL93" i="1"/>
  <c r="E93" i="1"/>
  <c r="BM92" i="1"/>
  <c r="BM91" i="1"/>
  <c r="BL91" i="1"/>
  <c r="E91" i="1"/>
  <c r="BM90" i="1"/>
  <c r="BM89" i="1"/>
  <c r="BL89" i="1"/>
  <c r="E89" i="1"/>
  <c r="BM88" i="1"/>
  <c r="BM87" i="1"/>
  <c r="BL87" i="1"/>
  <c r="E87" i="1"/>
  <c r="BM86" i="1"/>
  <c r="BM85" i="1"/>
  <c r="BL85" i="1"/>
  <c r="E85" i="1"/>
  <c r="BM84" i="1"/>
  <c r="BM83" i="1"/>
  <c r="BL83" i="1"/>
  <c r="AH83" i="1"/>
  <c r="E83" i="1"/>
  <c r="BM82" i="1"/>
  <c r="BM81" i="1"/>
  <c r="BL81" i="1"/>
  <c r="E81" i="1"/>
  <c r="BM80" i="1"/>
  <c r="BM79" i="1"/>
  <c r="BL79" i="1"/>
  <c r="E79" i="1"/>
  <c r="BM78" i="1"/>
  <c r="BM77" i="1"/>
  <c r="BL77" i="1"/>
  <c r="E77" i="1"/>
  <c r="BM76" i="1"/>
  <c r="BM75" i="1"/>
  <c r="BL75" i="1"/>
  <c r="E75" i="1"/>
  <c r="BM74" i="1"/>
  <c r="BM73" i="1"/>
  <c r="BL73" i="1"/>
  <c r="E73" i="1"/>
  <c r="BM72" i="1"/>
  <c r="BM71" i="1"/>
  <c r="BL71" i="1"/>
  <c r="E71" i="1"/>
  <c r="BM70" i="1"/>
  <c r="BM69" i="1"/>
  <c r="BL69" i="1"/>
  <c r="E69" i="1"/>
  <c r="BM68" i="1"/>
  <c r="BM67" i="1"/>
  <c r="BL67" i="1"/>
  <c r="E67" i="1"/>
  <c r="BM66" i="1"/>
  <c r="BM65" i="1"/>
  <c r="BL65" i="1"/>
  <c r="E65" i="1"/>
  <c r="BM64" i="1"/>
  <c r="BM63" i="1"/>
  <c r="BL63" i="1"/>
  <c r="E63" i="1"/>
  <c r="BM62" i="1"/>
  <c r="BM61" i="1"/>
  <c r="BL61" i="1"/>
  <c r="E61" i="1"/>
  <c r="BM60" i="1"/>
  <c r="BM59" i="1"/>
  <c r="BL59" i="1"/>
  <c r="E59" i="1"/>
  <c r="BM58" i="1"/>
  <c r="BM57" i="1"/>
  <c r="BL57" i="1"/>
  <c r="E57" i="1"/>
  <c r="BM56" i="1"/>
  <c r="BM55" i="1"/>
  <c r="BL55" i="1"/>
  <c r="AH55" i="1"/>
  <c r="E55" i="1"/>
  <c r="BM54" i="1"/>
  <c r="BM53" i="1"/>
  <c r="BL53" i="1"/>
  <c r="E53" i="1"/>
  <c r="BM52" i="1"/>
  <c r="BM51" i="1"/>
  <c r="BL51" i="1"/>
  <c r="E51" i="1"/>
  <c r="BM50" i="1"/>
  <c r="BM49" i="1"/>
  <c r="BL49" i="1"/>
  <c r="E49" i="1"/>
  <c r="BM48" i="1"/>
  <c r="BM47" i="1"/>
  <c r="BL47" i="1"/>
  <c r="E47" i="1"/>
  <c r="BM46" i="1"/>
  <c r="BM45" i="1"/>
  <c r="BL45" i="1"/>
  <c r="E45" i="1"/>
  <c r="BM44" i="1"/>
  <c r="BM43" i="1"/>
  <c r="BL43" i="1"/>
  <c r="E43" i="1"/>
  <c r="BM42" i="1"/>
  <c r="BM41" i="1"/>
  <c r="BL41" i="1"/>
  <c r="E41" i="1"/>
  <c r="BM40" i="1"/>
  <c r="BM39" i="1"/>
  <c r="BL39" i="1"/>
  <c r="E39" i="1"/>
  <c r="BM38" i="1"/>
  <c r="BM37" i="1"/>
  <c r="BL37" i="1"/>
  <c r="E37" i="1"/>
  <c r="BM36" i="1"/>
  <c r="BM35" i="1"/>
  <c r="BL35" i="1"/>
  <c r="E35" i="1"/>
  <c r="BM34" i="1"/>
  <c r="BM33" i="1"/>
  <c r="BL33" i="1"/>
  <c r="E33" i="1"/>
  <c r="BM32" i="1"/>
  <c r="BM31" i="1"/>
  <c r="BL31" i="1"/>
  <c r="E31" i="1"/>
  <c r="BM30" i="1"/>
  <c r="BM29" i="1"/>
  <c r="BL29" i="1"/>
  <c r="E29" i="1"/>
  <c r="BM28" i="1"/>
  <c r="BM27" i="1"/>
  <c r="BL27" i="1"/>
  <c r="E27" i="1"/>
  <c r="BM26" i="1"/>
  <c r="BM25" i="1"/>
  <c r="BL25" i="1"/>
  <c r="E25" i="1"/>
  <c r="BM24" i="1"/>
  <c r="BM23" i="1"/>
  <c r="BL23" i="1"/>
  <c r="E23" i="1"/>
  <c r="BM22" i="1"/>
  <c r="BM21" i="1"/>
  <c r="BL21" i="1"/>
  <c r="E21" i="1"/>
  <c r="BM20" i="1"/>
  <c r="BM19" i="1"/>
  <c r="BL19" i="1"/>
  <c r="E19" i="1"/>
  <c r="BM18" i="1"/>
  <c r="BL18" i="1"/>
  <c r="E18" i="1"/>
  <c r="BM17" i="1"/>
  <c r="BL17" i="1"/>
  <c r="E17" i="1"/>
  <c r="BM16" i="1"/>
  <c r="BM15" i="1"/>
  <c r="BL15" i="1"/>
  <c r="E15" i="1"/>
  <c r="BM14" i="1"/>
  <c r="BM13" i="1"/>
  <c r="BL13" i="1"/>
  <c r="E13" i="1"/>
  <c r="BM12" i="1"/>
  <c r="BM11" i="1"/>
  <c r="BL11" i="1"/>
  <c r="E11" i="1"/>
  <c r="BM10" i="1"/>
  <c r="BM9" i="1"/>
  <c r="BL9" i="1"/>
  <c r="E9" i="1"/>
  <c r="BM8" i="1"/>
  <c r="BM7" i="1"/>
  <c r="BL7" i="1"/>
  <c r="E7" i="1"/>
</calcChain>
</file>

<file path=xl/sharedStrings.xml><?xml version="1.0" encoding="utf-8"?>
<sst xmlns="http://schemas.openxmlformats.org/spreadsheetml/2006/main" count="11577" uniqueCount="2877">
  <si>
    <t>Linha Rubi: Linha Casa da Música - Santo Ovídio</t>
  </si>
  <si>
    <t>Caderno de Montagem  - CATENÁRIA</t>
  </si>
  <si>
    <t>VIA 2</t>
  </si>
  <si>
    <t>VIA 1</t>
  </si>
  <si>
    <t>Comentarios</t>
  </si>
  <si>
    <t>SUBIDA FEEDER V2</t>
  </si>
  <si>
    <t>Configuraciones</t>
  </si>
  <si>
    <t xml:space="preserve">Equipamentos associados </t>
  </si>
  <si>
    <t>Seccionamento</t>
  </si>
  <si>
    <t>Desalinhamentos (cm)</t>
  </si>
  <si>
    <t>Alt. FC (m)</t>
  </si>
  <si>
    <t>L tubos consola (m)</t>
  </si>
  <si>
    <t>Consolas</t>
  </si>
  <si>
    <t>Maciços</t>
  </si>
  <si>
    <t>Tipo de Suporte</t>
  </si>
  <si>
    <t>Tipologia</t>
  </si>
  <si>
    <t>Implantação (m)</t>
  </si>
  <si>
    <t>Tipología</t>
  </si>
  <si>
    <t>Curve Radius (m)</t>
  </si>
  <si>
    <t>Coord. Y</t>
  </si>
  <si>
    <t>Coord. X</t>
  </si>
  <si>
    <t>P.K.
Abs.vía 1</t>
  </si>
  <si>
    <t>P.K. 
(vía 2)</t>
  </si>
  <si>
    <t>Vão (m)</t>
  </si>
  <si>
    <t>SUPORTE</t>
  </si>
  <si>
    <t>P.K.
(vía 1)</t>
  </si>
  <si>
    <t>L tubos consola</t>
  </si>
  <si>
    <t>SUBIDA FEEDER V1</t>
  </si>
  <si>
    <t>Existente</t>
  </si>
  <si>
    <t>Rígida</t>
  </si>
  <si>
    <t>S</t>
  </si>
  <si>
    <t>??</t>
  </si>
  <si>
    <t>1-00.02</t>
  </si>
  <si>
    <t>SE</t>
  </si>
  <si>
    <t>1-00.01</t>
  </si>
  <si>
    <t>via+A4:W24</t>
  </si>
  <si>
    <t>1-00.04</t>
  </si>
  <si>
    <t>1-00.03</t>
  </si>
  <si>
    <t>1-00.06</t>
  </si>
  <si>
    <t>1-00.05</t>
  </si>
  <si>
    <t>1-00.08</t>
  </si>
  <si>
    <t>1-00.07</t>
  </si>
  <si>
    <t>1-00.10</t>
  </si>
  <si>
    <t>Fin Anden Casa Da Música (00+040)</t>
  </si>
  <si>
    <t>3503CCA02</t>
  </si>
  <si>
    <t>3503CCA01</t>
  </si>
  <si>
    <t>3503CCA04</t>
  </si>
  <si>
    <t>3503CCA03</t>
  </si>
  <si>
    <t>Clo</t>
  </si>
  <si>
    <t>3503CCA06</t>
  </si>
  <si>
    <t>3503CCA05</t>
  </si>
  <si>
    <t>3503CCA08</t>
  </si>
  <si>
    <t>3503CCA07</t>
  </si>
  <si>
    <t>3503CCA10</t>
  </si>
  <si>
    <t>3503CCA09</t>
  </si>
  <si>
    <t>3503CCA12</t>
  </si>
  <si>
    <t>3503CCA11</t>
  </si>
  <si>
    <t>3503CCA14</t>
  </si>
  <si>
    <t>3503CCA13</t>
  </si>
  <si>
    <t>3503CCA16</t>
  </si>
  <si>
    <t>3503CCA15</t>
  </si>
  <si>
    <t>3503CCA18</t>
  </si>
  <si>
    <t>3503CCA17</t>
  </si>
  <si>
    <t>3503CCA20</t>
  </si>
  <si>
    <t>3503CCA19</t>
  </si>
  <si>
    <t>3503CCA22</t>
  </si>
  <si>
    <t>3503CCA21</t>
  </si>
  <si>
    <t>3503CCA24</t>
  </si>
  <si>
    <t>3503CCA23</t>
  </si>
  <si>
    <t>PA80</t>
  </si>
  <si>
    <t>3503CCA26</t>
  </si>
  <si>
    <t>3503CCA25</t>
  </si>
  <si>
    <t>PA50</t>
  </si>
  <si>
    <t>3503CCA28</t>
  </si>
  <si>
    <t>3503CCA27</t>
  </si>
  <si>
    <t>PA30</t>
  </si>
  <si>
    <t>3503CCA30</t>
  </si>
  <si>
    <t>3503CCA29</t>
  </si>
  <si>
    <t>3503CCA32</t>
  </si>
  <si>
    <t>3503CCA31</t>
  </si>
  <si>
    <t>3503CCA34</t>
  </si>
  <si>
    <t>3503CCA33</t>
  </si>
  <si>
    <t>3503CCA36</t>
  </si>
  <si>
    <t>C860-A</t>
  </si>
  <si>
    <t>165559.96</t>
  </si>
  <si>
    <t>-41645.78</t>
  </si>
  <si>
    <t>3503CCA35</t>
  </si>
  <si>
    <t>-41642.72</t>
  </si>
  <si>
    <t>165559.40</t>
  </si>
  <si>
    <t/>
  </si>
  <si>
    <t>CAT R</t>
  </si>
  <si>
    <t>3503CCA38</t>
  </si>
  <si>
    <t>Cantón 192,4 m</t>
  </si>
  <si>
    <t>165553.86</t>
  </si>
  <si>
    <t>-41646.88</t>
  </si>
  <si>
    <t>3503CCA37</t>
  </si>
  <si>
    <t>-41643.83</t>
  </si>
  <si>
    <t>165553.30</t>
  </si>
  <si>
    <t>Cantón 192,4m</t>
  </si>
  <si>
    <t>3503CCA40</t>
  </si>
  <si>
    <t>C859-A</t>
  </si>
  <si>
    <t>165541.80</t>
  </si>
  <si>
    <t>-41649.07</t>
  </si>
  <si>
    <t>3503CCA39</t>
  </si>
  <si>
    <t>-41646.02</t>
  </si>
  <si>
    <t>165541.25</t>
  </si>
  <si>
    <t>3503CCA42</t>
  </si>
  <si>
    <t>165530.00</t>
  </si>
  <si>
    <t>-41651.21</t>
  </si>
  <si>
    <t>3503CCA41</t>
  </si>
  <si>
    <t>-41648.16</t>
  </si>
  <si>
    <t>165529.44</t>
  </si>
  <si>
    <t>3503CCA44</t>
  </si>
  <si>
    <t>+4</t>
  </si>
  <si>
    <t>165518.19</t>
  </si>
  <si>
    <t>-41653.35</t>
  </si>
  <si>
    <t>3503CCA43</t>
  </si>
  <si>
    <t>-41650.30</t>
  </si>
  <si>
    <t>165517.64</t>
  </si>
  <si>
    <t>3503CCA46</t>
  </si>
  <si>
    <t>+12</t>
  </si>
  <si>
    <t>165506.38</t>
  </si>
  <si>
    <t>-41655.50</t>
  </si>
  <si>
    <t>3503CCA45</t>
  </si>
  <si>
    <t>-41652.45</t>
  </si>
  <si>
    <t>165505.83</t>
  </si>
  <si>
    <t>3503CCA48</t>
  </si>
  <si>
    <t>+20</t>
  </si>
  <si>
    <t>165494.58</t>
  </si>
  <si>
    <t>-41657.64</t>
  </si>
  <si>
    <t>3503CCA47</t>
  </si>
  <si>
    <t>-41654.59</t>
  </si>
  <si>
    <t>165494.02</t>
  </si>
  <si>
    <t>3503CCA50</t>
  </si>
  <si>
    <t>165482.77</t>
  </si>
  <si>
    <t>-41659.78</t>
  </si>
  <si>
    <t>3503CCA49</t>
  </si>
  <si>
    <t>-41656.73</t>
  </si>
  <si>
    <t>165482.22</t>
  </si>
  <si>
    <t>3503CCA52</t>
  </si>
  <si>
    <t>C863-A</t>
  </si>
  <si>
    <t>PF</t>
  </si>
  <si>
    <t>165470.96</t>
  </si>
  <si>
    <t>-41661.92</t>
  </si>
  <si>
    <t>3503CCA51</t>
  </si>
  <si>
    <t>-41658.87</t>
  </si>
  <si>
    <t>165470.41</t>
  </si>
  <si>
    <t>3503CCA54</t>
  </si>
  <si>
    <t>165459.15</t>
  </si>
  <si>
    <t>-41664.07</t>
  </si>
  <si>
    <t>3503CCA53</t>
  </si>
  <si>
    <t>-41661.02</t>
  </si>
  <si>
    <t>165458.60</t>
  </si>
  <si>
    <t>3503CCA56</t>
  </si>
  <si>
    <t>165447.35</t>
  </si>
  <si>
    <t>-41666.21</t>
  </si>
  <si>
    <t>3503CCA55</t>
  </si>
  <si>
    <t>-41663.16</t>
  </si>
  <si>
    <t>165446.79</t>
  </si>
  <si>
    <t>3503CCA58</t>
  </si>
  <si>
    <t>165435.54</t>
  </si>
  <si>
    <t>-41668.35</t>
  </si>
  <si>
    <t>3503CCA57</t>
  </si>
  <si>
    <t>-41665.30</t>
  </si>
  <si>
    <t>165434.99</t>
  </si>
  <si>
    <t>3503CCA60</t>
  </si>
  <si>
    <t>165423.73</t>
  </si>
  <si>
    <t>-41670.49</t>
  </si>
  <si>
    <t>3503CCA59</t>
  </si>
  <si>
    <t>-41667.44</t>
  </si>
  <si>
    <t>165423.18</t>
  </si>
  <si>
    <t>3503CCA62</t>
  </si>
  <si>
    <t>165411.92</t>
  </si>
  <si>
    <t>-41672.63</t>
  </si>
  <si>
    <t>3503CCA61</t>
  </si>
  <si>
    <t>-41669.58</t>
  </si>
  <si>
    <t>165411.37</t>
  </si>
  <si>
    <t>3503CCA64</t>
  </si>
  <si>
    <t>165400.12</t>
  </si>
  <si>
    <t>-41674.78</t>
  </si>
  <si>
    <t>3503CCA63</t>
  </si>
  <si>
    <t>-41671.73</t>
  </si>
  <si>
    <t>165399.56</t>
  </si>
  <si>
    <t>3503CCA66</t>
  </si>
  <si>
    <t>-</t>
  </si>
  <si>
    <t>165388.32</t>
  </si>
  <si>
    <t>-41676.92</t>
  </si>
  <si>
    <t>3503CCA65</t>
  </si>
  <si>
    <t>-41673.87</t>
  </si>
  <si>
    <t>165387.76</t>
  </si>
  <si>
    <t>3503CCA68</t>
  </si>
  <si>
    <t>165376.52</t>
  </si>
  <si>
    <t>-41679.12</t>
  </si>
  <si>
    <t>3503CCA67</t>
  </si>
  <si>
    <t>-41676.10</t>
  </si>
  <si>
    <t>165375.97</t>
  </si>
  <si>
    <t>3503CCA70</t>
  </si>
  <si>
    <t>Cantón 396,4 m</t>
  </si>
  <si>
    <t>165370.44</t>
  </si>
  <si>
    <t>-41680.35</t>
  </si>
  <si>
    <t>3503CCA69</t>
  </si>
  <si>
    <t>-41677.30</t>
  </si>
  <si>
    <t>165369.89</t>
  </si>
  <si>
    <t>Cantón 396,1 m</t>
  </si>
  <si>
    <t>3503CCA72</t>
  </si>
  <si>
    <t>165358.71</t>
  </si>
  <si>
    <t>-41682.85</t>
  </si>
  <si>
    <t>3503CCA71</t>
  </si>
  <si>
    <t>-41679.80</t>
  </si>
  <si>
    <t>165358.16</t>
  </si>
  <si>
    <t>3503CCA74</t>
  </si>
  <si>
    <t>165347.06</t>
  </si>
  <si>
    <t>-41685.64</t>
  </si>
  <si>
    <t>3503CCA73</t>
  </si>
  <si>
    <t>-41682.60</t>
  </si>
  <si>
    <t>165346.44</t>
  </si>
  <si>
    <t>3503CCA76</t>
  </si>
  <si>
    <t>165335.48</t>
  </si>
  <si>
    <t>-41688.81</t>
  </si>
  <si>
    <t>3503CCA75</t>
  </si>
  <si>
    <t>-41685.77</t>
  </si>
  <si>
    <t>165334.82</t>
  </si>
  <si>
    <t>3503CCA78</t>
  </si>
  <si>
    <t>+10</t>
  </si>
  <si>
    <t>165324.03</t>
  </si>
  <si>
    <t>-41692.38</t>
  </si>
  <si>
    <t>3503CCA77</t>
  </si>
  <si>
    <t>-41689.35</t>
  </si>
  <si>
    <t>165323.32</t>
  </si>
  <si>
    <t>3503CCA80</t>
  </si>
  <si>
    <t>165312.70</t>
  </si>
  <si>
    <t>-41696.35</t>
  </si>
  <si>
    <t>3503CCA79</t>
  </si>
  <si>
    <t>-41693.33</t>
  </si>
  <si>
    <t>165311.95</t>
  </si>
  <si>
    <t>3503CCA82</t>
  </si>
  <si>
    <t>165301.49</t>
  </si>
  <si>
    <t>-41700.62</t>
  </si>
  <si>
    <t>3503CCA81</t>
  </si>
  <si>
    <t>-41697.70</t>
  </si>
  <si>
    <t>165300.73</t>
  </si>
  <si>
    <t>3503CCA84</t>
  </si>
  <si>
    <t>165290.48</t>
  </si>
  <si>
    <t>-41705.39</t>
  </si>
  <si>
    <t>3503CCA83</t>
  </si>
  <si>
    <t>-41702.45</t>
  </si>
  <si>
    <t>165289.66</t>
  </si>
  <si>
    <t>3503CCA86</t>
  </si>
  <si>
    <t>165279.66</t>
  </si>
  <si>
    <t>-41710.59</t>
  </si>
  <si>
    <t>3503CCA85</t>
  </si>
  <si>
    <t>-41707.59</t>
  </si>
  <si>
    <t>165278.76</t>
  </si>
  <si>
    <t>3503CCA88</t>
  </si>
  <si>
    <t>165269.01</t>
  </si>
  <si>
    <t>-41716.11</t>
  </si>
  <si>
    <t>3503CCA87</t>
  </si>
  <si>
    <t>-41713.11</t>
  </si>
  <si>
    <t>165268.05</t>
  </si>
  <si>
    <t>3503CCA90</t>
  </si>
  <si>
    <t>165258.55</t>
  </si>
  <si>
    <t>-41721.99</t>
  </si>
  <si>
    <t>3503CCA89</t>
  </si>
  <si>
    <t>-41718.99</t>
  </si>
  <si>
    <t>165257.54</t>
  </si>
  <si>
    <t>3503CCA92</t>
  </si>
  <si>
    <t>165248.30</t>
  </si>
  <si>
    <t>-41728.23</t>
  </si>
  <si>
    <t>3503CCA91</t>
  </si>
  <si>
    <t>-41725.23</t>
  </si>
  <si>
    <t>165247.24</t>
  </si>
  <si>
    <t>3503CCA94</t>
  </si>
  <si>
    <t>165238.27</t>
  </si>
  <si>
    <t>-41734.83</t>
  </si>
  <si>
    <t>3503CCA93</t>
  </si>
  <si>
    <t>-41731.83</t>
  </si>
  <si>
    <t>165237.16</t>
  </si>
  <si>
    <t>3503CCA96</t>
  </si>
  <si>
    <t>165228.42</t>
  </si>
  <si>
    <t>-41741.68</t>
  </si>
  <si>
    <t>3503CCA95</t>
  </si>
  <si>
    <t>-41738.78</t>
  </si>
  <si>
    <t>165227.32</t>
  </si>
  <si>
    <t>3503CCA98</t>
  </si>
  <si>
    <t>165218.94</t>
  </si>
  <si>
    <t>-41749.04</t>
  </si>
  <si>
    <t>3503CCA97</t>
  </si>
  <si>
    <t>-41746.05</t>
  </si>
  <si>
    <t>165217.71</t>
  </si>
  <si>
    <t>3503CCA100</t>
  </si>
  <si>
    <t>165209.69</t>
  </si>
  <si>
    <t>-41756.64</t>
  </si>
  <si>
    <t>3503CCA99</t>
  </si>
  <si>
    <t>-41753.67</t>
  </si>
  <si>
    <t>165208.38</t>
  </si>
  <si>
    <t>3503CCA102</t>
  </si>
  <si>
    <t>165200.67</t>
  </si>
  <si>
    <t>-41764.56</t>
  </si>
  <si>
    <t>3503CCA101</t>
  </si>
  <si>
    <t>-41761.60</t>
  </si>
  <si>
    <t>165199.31</t>
  </si>
  <si>
    <t>3503CCA104</t>
  </si>
  <si>
    <t>165191.86</t>
  </si>
  <si>
    <t>-41772.83</t>
  </si>
  <si>
    <t>3503CCA103</t>
  </si>
  <si>
    <t>-41769.78</t>
  </si>
  <si>
    <t>165190.47</t>
  </si>
  <si>
    <t>3503CCA106</t>
  </si>
  <si>
    <t>165183.19</t>
  </si>
  <si>
    <t>-41781.13</t>
  </si>
  <si>
    <t>3503CCA105</t>
  </si>
  <si>
    <t>-41778.15</t>
  </si>
  <si>
    <t>165181.80</t>
  </si>
  <si>
    <t>3503CCA108</t>
  </si>
  <si>
    <t>165174.69</t>
  </si>
  <si>
    <t>-41789.56</t>
  </si>
  <si>
    <t>3503CCA107</t>
  </si>
  <si>
    <t>-41786.60</t>
  </si>
  <si>
    <t>165173.22</t>
  </si>
  <si>
    <t>3503CCA110</t>
  </si>
  <si>
    <t>165166.25</t>
  </si>
  <si>
    <t>-41798.03</t>
  </si>
  <si>
    <t>3503CCA109</t>
  </si>
  <si>
    <t>-41795.13</t>
  </si>
  <si>
    <t>165164.78</t>
  </si>
  <si>
    <t>3503CCA112</t>
  </si>
  <si>
    <t>165157.79</t>
  </si>
  <si>
    <t>-41806.51</t>
  </si>
  <si>
    <t>3503CCA111</t>
  </si>
  <si>
    <t>-41803.65</t>
  </si>
  <si>
    <t>165156.29</t>
  </si>
  <si>
    <t>3503CCA114</t>
  </si>
  <si>
    <t>165149.34</t>
  </si>
  <si>
    <t>-41814.95</t>
  </si>
  <si>
    <t>3503CCA113</t>
  </si>
  <si>
    <t>-41812.11</t>
  </si>
  <si>
    <t>165147.81</t>
  </si>
  <si>
    <t>3503CCA116</t>
  </si>
  <si>
    <t>165140.86</t>
  </si>
  <si>
    <t>-41823.36</t>
  </si>
  <si>
    <t>3503CCA115</t>
  </si>
  <si>
    <t>-41820.52</t>
  </si>
  <si>
    <t>165139.26</t>
  </si>
  <si>
    <t>3503CCA118</t>
  </si>
  <si>
    <t>165132.12</t>
  </si>
  <si>
    <t>-41831.52</t>
  </si>
  <si>
    <t>3503CCA117</t>
  </si>
  <si>
    <t>-41828.77</t>
  </si>
  <si>
    <t>165130.54</t>
  </si>
  <si>
    <t>3503CCA120</t>
  </si>
  <si>
    <t>165123.29</t>
  </si>
  <si>
    <t>-41839.58</t>
  </si>
  <si>
    <t>3503CCA119</t>
  </si>
  <si>
    <t>-41836.87</t>
  </si>
  <si>
    <t>165121.69</t>
  </si>
  <si>
    <t>3503CCA122</t>
  </si>
  <si>
    <t>165114.16</t>
  </si>
  <si>
    <t>-41847.26</t>
  </si>
  <si>
    <t>3503CCA121</t>
  </si>
  <si>
    <t>-41844.57</t>
  </si>
  <si>
    <t>165112.49</t>
  </si>
  <si>
    <t>3503CCA124</t>
  </si>
  <si>
    <t>165104.81</t>
  </si>
  <si>
    <t>-41854.70</t>
  </si>
  <si>
    <t>3503CCA123</t>
  </si>
  <si>
    <t>-41852.04</t>
  </si>
  <si>
    <t>165103.09</t>
  </si>
  <si>
    <t>3503CCA126</t>
  </si>
  <si>
    <t>165095.18</t>
  </si>
  <si>
    <t>-41861.66</t>
  </si>
  <si>
    <t>3503CCA125</t>
  </si>
  <si>
    <t>-41859.12</t>
  </si>
  <si>
    <t>165093.41</t>
  </si>
  <si>
    <t>3503CCA128</t>
  </si>
  <si>
    <t>165085.28</t>
  </si>
  <si>
    <t>-41868.48</t>
  </si>
  <si>
    <t>3503CCA127</t>
  </si>
  <si>
    <t>-41865.93</t>
  </si>
  <si>
    <t>165083.53</t>
  </si>
  <si>
    <t>3503CCA130</t>
  </si>
  <si>
    <t>165075.19</t>
  </si>
  <si>
    <t>-41874.89</t>
  </si>
  <si>
    <t>3503CCA129</t>
  </si>
  <si>
    <t>-41872.36</t>
  </si>
  <si>
    <t>165073.39</t>
  </si>
  <si>
    <t>3503CCA132</t>
  </si>
  <si>
    <t>165064.87</t>
  </si>
  <si>
    <t>-41881.02</t>
  </si>
  <si>
    <t>3503CCA131</t>
  </si>
  <si>
    <t>-41878.48</t>
  </si>
  <si>
    <t>165063.07</t>
  </si>
  <si>
    <t>3503CCA134</t>
  </si>
  <si>
    <t>FA</t>
  </si>
  <si>
    <t>165054.42</t>
  </si>
  <si>
    <t>-41886.99</t>
  </si>
  <si>
    <t>3503CCA133</t>
  </si>
  <si>
    <t>-41884.28</t>
  </si>
  <si>
    <t>165052.91</t>
  </si>
  <si>
    <t>3503CCA136</t>
  </si>
  <si>
    <t>Caix. Imped.</t>
  </si>
  <si>
    <t>Caix. Secc. e Con.</t>
  </si>
  <si>
    <t>Cantón 260 m</t>
  </si>
  <si>
    <t>165049.01</t>
  </si>
  <si>
    <t>-41890.02</t>
  </si>
  <si>
    <t>3503CCA135</t>
  </si>
  <si>
    <t>-41887.31</t>
  </si>
  <si>
    <t>165047.50</t>
  </si>
  <si>
    <t>3503CCA138</t>
  </si>
  <si>
    <t>165038.48</t>
  </si>
  <si>
    <t>-41895.78</t>
  </si>
  <si>
    <t>3503CCA137</t>
  </si>
  <si>
    <t>-41893.08</t>
  </si>
  <si>
    <t>165036.98</t>
  </si>
  <si>
    <t>3503CCA140</t>
  </si>
  <si>
    <t>165027.96</t>
  </si>
  <si>
    <t>-41901.55</t>
  </si>
  <si>
    <t>3503CCA139</t>
  </si>
  <si>
    <t>-41898.84</t>
  </si>
  <si>
    <t>165026.45</t>
  </si>
  <si>
    <t>3503CCA142</t>
  </si>
  <si>
    <t>165017.43</t>
  </si>
  <si>
    <t>-41907.30</t>
  </si>
  <si>
    <t>3503CCA141</t>
  </si>
  <si>
    <t>-41904.60</t>
  </si>
  <si>
    <t>165015.92</t>
  </si>
  <si>
    <t>3503CCA144</t>
  </si>
  <si>
    <t>165006.90</t>
  </si>
  <si>
    <t>-41913.06</t>
  </si>
  <si>
    <t>3503CCA143</t>
  </si>
  <si>
    <t>-41910.35</t>
  </si>
  <si>
    <t>165005.39</t>
  </si>
  <si>
    <t>3503CCA146</t>
  </si>
  <si>
    <t>164996.37</t>
  </si>
  <si>
    <t>-41918.81</t>
  </si>
  <si>
    <t>3503CCA145</t>
  </si>
  <si>
    <t>-41916.11</t>
  </si>
  <si>
    <t>164994.86</t>
  </si>
  <si>
    <t>3503CCA148</t>
  </si>
  <si>
    <t>164985.84</t>
  </si>
  <si>
    <t>-41924.57</t>
  </si>
  <si>
    <t>3503CCA147</t>
  </si>
  <si>
    <t>-41921.86</t>
  </si>
  <si>
    <t>164984.33</t>
  </si>
  <si>
    <t>3503CCA150</t>
  </si>
  <si>
    <t>164975.31</t>
  </si>
  <si>
    <t>-41930.33</t>
  </si>
  <si>
    <t>3503CCA149</t>
  </si>
  <si>
    <t>-41927.62</t>
  </si>
  <si>
    <t>164973.80</t>
  </si>
  <si>
    <t>3503CCA152</t>
  </si>
  <si>
    <t>164964.78</t>
  </si>
  <si>
    <t>-41936.08</t>
  </si>
  <si>
    <t>3503CCA151</t>
  </si>
  <si>
    <t>-41933.37</t>
  </si>
  <si>
    <t>164963.28</t>
  </si>
  <si>
    <t>3503CCA154</t>
  </si>
  <si>
    <t>164954.25</t>
  </si>
  <si>
    <t>-41941.84</t>
  </si>
  <si>
    <t>3503CCA153</t>
  </si>
  <si>
    <t>-41939.13</t>
  </si>
  <si>
    <t>164952.75</t>
  </si>
  <si>
    <t>3503CCA156</t>
  </si>
  <si>
    <t>164943.72</t>
  </si>
  <si>
    <t>-41947.59</t>
  </si>
  <si>
    <t>3503CCA155</t>
  </si>
  <si>
    <t>-41944.89</t>
  </si>
  <si>
    <t>164942.22</t>
  </si>
  <si>
    <t>3503CCA158</t>
  </si>
  <si>
    <t>164933.19</t>
  </si>
  <si>
    <t>-41953.35</t>
  </si>
  <si>
    <t>3503CCA157</t>
  </si>
  <si>
    <t>-41950.64</t>
  </si>
  <si>
    <t>164931.69</t>
  </si>
  <si>
    <t>3503CCA160</t>
  </si>
  <si>
    <t>164922.66</t>
  </si>
  <si>
    <t>-41959.10</t>
  </si>
  <si>
    <t>3503CCA159</t>
  </si>
  <si>
    <t>-41956.40</t>
  </si>
  <si>
    <t>164921.16</t>
  </si>
  <si>
    <t>3503CCA162</t>
  </si>
  <si>
    <t>164912.13</t>
  </si>
  <si>
    <t>-41964.86</t>
  </si>
  <si>
    <t>3503CCA161</t>
  </si>
  <si>
    <t>-41962.15</t>
  </si>
  <si>
    <t>164910.63</t>
  </si>
  <si>
    <t>3503CCA164</t>
  </si>
  <si>
    <t>164901.60</t>
  </si>
  <si>
    <t>-41970.61</t>
  </si>
  <si>
    <t>3503CCA163</t>
  </si>
  <si>
    <t>-41967.91</t>
  </si>
  <si>
    <t>164900.10</t>
  </si>
  <si>
    <t>3503CCA166</t>
  </si>
  <si>
    <t>164891.07</t>
  </si>
  <si>
    <t>-41976.37</t>
  </si>
  <si>
    <t>3503CCA165</t>
  </si>
  <si>
    <t>-41974.02</t>
  </si>
  <si>
    <t>164889.93</t>
  </si>
  <si>
    <t>Inic. Est. Campo Alegre (00+966)</t>
  </si>
  <si>
    <t>3504CCA02</t>
  </si>
  <si>
    <t>164881.64</t>
  </si>
  <si>
    <t>3504CCA01</t>
  </si>
  <si>
    <t>-41978.81</t>
  </si>
  <si>
    <t>164880.15</t>
  </si>
  <si>
    <t>3504CCA04</t>
  </si>
  <si>
    <t>164872.86</t>
  </si>
  <si>
    <t>-41986.32</t>
  </si>
  <si>
    <t>3504CCA03</t>
  </si>
  <si>
    <t>-41983.60</t>
  </si>
  <si>
    <t>164871.38</t>
  </si>
  <si>
    <t>Inic. Anden Campo Alegre</t>
  </si>
  <si>
    <t>3504CCA06</t>
  </si>
  <si>
    <t>Parafil</t>
  </si>
  <si>
    <t>164864.09</t>
  </si>
  <si>
    <t>-41991.12</t>
  </si>
  <si>
    <t>3504CCA05</t>
  </si>
  <si>
    <t>-41988.40</t>
  </si>
  <si>
    <t>164862.60</t>
  </si>
  <si>
    <t>3504CCA08</t>
  </si>
  <si>
    <t>164855.31</t>
  </si>
  <si>
    <t>-41995.92</t>
  </si>
  <si>
    <t>3504CCA07</t>
  </si>
  <si>
    <t>-41993.20</t>
  </si>
  <si>
    <t>164853.83</t>
  </si>
  <si>
    <t>3504CCA10</t>
  </si>
  <si>
    <t>164846.54</t>
  </si>
  <si>
    <t>-42000.71</t>
  </si>
  <si>
    <t>3504CCA09</t>
  </si>
  <si>
    <t>-41997.99</t>
  </si>
  <si>
    <t>164848.45</t>
  </si>
  <si>
    <t>3504CCA12</t>
  </si>
  <si>
    <t>164837.76</t>
  </si>
  <si>
    <t>-42005.51</t>
  </si>
  <si>
    <t>3504CCA11</t>
  </si>
  <si>
    <t>-42002.79</t>
  </si>
  <si>
    <t>164836.28</t>
  </si>
  <si>
    <t>3504CCA14</t>
  </si>
  <si>
    <t>164828.99</t>
  </si>
  <si>
    <t>-42010.31</t>
  </si>
  <si>
    <t>3504CCA13</t>
  </si>
  <si>
    <t>-42007.59</t>
  </si>
  <si>
    <t>164827.50</t>
  </si>
  <si>
    <t>3504CCA16</t>
  </si>
  <si>
    <t>164820.22</t>
  </si>
  <si>
    <t>-42015.10</t>
  </si>
  <si>
    <t>3504CCA15</t>
  </si>
  <si>
    <t>-42012.38</t>
  </si>
  <si>
    <t>164818.73</t>
  </si>
  <si>
    <t>3504CCA18</t>
  </si>
  <si>
    <t>164811.44</t>
  </si>
  <si>
    <t>-42019.90</t>
  </si>
  <si>
    <t>3504CCA17</t>
  </si>
  <si>
    <t>-42017.18</t>
  </si>
  <si>
    <t>164809.95</t>
  </si>
  <si>
    <t>Fin. Anden Campo Alegre</t>
  </si>
  <si>
    <t>3504CCA20</t>
  </si>
  <si>
    <t>Cantón 290 m</t>
  </si>
  <si>
    <t>164802.67</t>
  </si>
  <si>
    <t>-42024.70</t>
  </si>
  <si>
    <t>3504CCA19</t>
  </si>
  <si>
    <t>-42021.97</t>
  </si>
  <si>
    <t>164801.18</t>
  </si>
  <si>
    <t>3504CCA22</t>
  </si>
  <si>
    <t>Cantón 456,8 m</t>
  </si>
  <si>
    <t>164793.90</t>
  </si>
  <si>
    <t>-42029.49</t>
  </si>
  <si>
    <t>3504CCA21</t>
  </si>
  <si>
    <t>-42026.77</t>
  </si>
  <si>
    <t>164792.40</t>
  </si>
  <si>
    <t>Cantón 457 m</t>
  </si>
  <si>
    <t>3504CCA24</t>
  </si>
  <si>
    <t>-42034.29</t>
  </si>
  <si>
    <t>3504CCA23</t>
  </si>
  <si>
    <t>-42031.57</t>
  </si>
  <si>
    <t>164783.63</t>
  </si>
  <si>
    <t>3504CCA26</t>
  </si>
  <si>
    <t>164777.45</t>
  </si>
  <si>
    <t>-42038.48</t>
  </si>
  <si>
    <t>3504CCA25</t>
  </si>
  <si>
    <t>3504CCA28</t>
  </si>
  <si>
    <t>164769.81</t>
  </si>
  <si>
    <t>-42042.65</t>
  </si>
  <si>
    <t>3504CCA27</t>
  </si>
  <si>
    <t>-42039.94</t>
  </si>
  <si>
    <t>164768.31</t>
  </si>
  <si>
    <t>3504CCA30</t>
  </si>
  <si>
    <t>A/S</t>
  </si>
  <si>
    <t>164760.58</t>
  </si>
  <si>
    <t>-42048.32</t>
  </si>
  <si>
    <t>3504CCA29</t>
  </si>
  <si>
    <t>-42045.12</t>
  </si>
  <si>
    <t>164758.84</t>
  </si>
  <si>
    <t>Fin. Est. Campo Alegre (01+110) (Fin. Soterra.)</t>
  </si>
  <si>
    <t>Disp. Transic.</t>
  </si>
  <si>
    <t>Transição Catenaria</t>
  </si>
  <si>
    <t>Fin Est. Campo Alegre (1+110)Fin. Soterra.</t>
  </si>
  <si>
    <t>3505CCA02</t>
  </si>
  <si>
    <t>B. Fun.</t>
  </si>
  <si>
    <t>Anc. Sot.</t>
  </si>
  <si>
    <t>Pendulo 140</t>
  </si>
  <si>
    <t>Consola</t>
  </si>
  <si>
    <t>1,5</t>
  </si>
  <si>
    <t>164751.70</t>
  </si>
  <si>
    <t>-42054.21</t>
  </si>
  <si>
    <t>1+118,8</t>
  </si>
  <si>
    <t>3505CCA01A</t>
  </si>
  <si>
    <t>-42048.72</t>
  </si>
  <si>
    <t>164749.20</t>
  </si>
  <si>
    <t>Elev.</t>
  </si>
  <si>
    <t>3505CCA01</t>
  </si>
  <si>
    <t>-42051.57</t>
  </si>
  <si>
    <t>164750.27</t>
  </si>
  <si>
    <t>3505CCA03A</t>
  </si>
  <si>
    <t>-42054.13</t>
  </si>
  <si>
    <t>164739.70</t>
  </si>
  <si>
    <t>3505CCA04</t>
  </si>
  <si>
    <t>164742.43</t>
  </si>
  <si>
    <t>-42059.21</t>
  </si>
  <si>
    <t>3505CCA03</t>
  </si>
  <si>
    <t>-42056.72</t>
  </si>
  <si>
    <t>164741.07</t>
  </si>
  <si>
    <t>3505CCA06</t>
  </si>
  <si>
    <t>Delta</t>
  </si>
  <si>
    <t>Fixação Muro</t>
  </si>
  <si>
    <t>Funicular</t>
  </si>
  <si>
    <t>2,65</t>
  </si>
  <si>
    <t>Aislad.</t>
  </si>
  <si>
    <t>164736.04</t>
  </si>
  <si>
    <t>-42064.13</t>
  </si>
  <si>
    <t>3505CCA05</t>
  </si>
  <si>
    <t>-42056.79</t>
  </si>
  <si>
    <t>164731.97</t>
  </si>
  <si>
    <t>3505CCA08</t>
  </si>
  <si>
    <t>164729.08</t>
  </si>
  <si>
    <t>-42067.94</t>
  </si>
  <si>
    <t>3505CCA07</t>
  </si>
  <si>
    <t>-42060.58</t>
  </si>
  <si>
    <t>164725.03</t>
  </si>
  <si>
    <t>3505CCA10</t>
  </si>
  <si>
    <t>Poste parede</t>
  </si>
  <si>
    <t>HEA 240</t>
  </si>
  <si>
    <t>2,2</t>
  </si>
  <si>
    <t>164719.27</t>
  </si>
  <si>
    <t>-42072.97</t>
  </si>
  <si>
    <t>3505CCA09</t>
  </si>
  <si>
    <t>-42066.10</t>
  </si>
  <si>
    <t>164715.52</t>
  </si>
  <si>
    <t>-5</t>
  </si>
  <si>
    <t>3505CCA12</t>
  </si>
  <si>
    <t>164705.02</t>
  </si>
  <si>
    <t>-42080.48</t>
  </si>
  <si>
    <t>3505CCA11</t>
  </si>
  <si>
    <t>-42073.40</t>
  </si>
  <si>
    <t>164701.69</t>
  </si>
  <si>
    <t>3505CCA14</t>
  </si>
  <si>
    <t>M7</t>
  </si>
  <si>
    <t>Ø300/Ø180/e16</t>
  </si>
  <si>
    <t>164686.08</t>
  </si>
  <si>
    <t>-42088.00</t>
  </si>
  <si>
    <t>3505CCA13</t>
  </si>
  <si>
    <t>-42081.75</t>
  </si>
  <si>
    <t>164683.84</t>
  </si>
  <si>
    <t>M2</t>
  </si>
  <si>
    <t>3505CCA16</t>
  </si>
  <si>
    <t>164666.66</t>
  </si>
  <si>
    <t>-42093.76</t>
  </si>
  <si>
    <t>3505CCA15</t>
  </si>
  <si>
    <t>-42087.35</t>
  </si>
  <si>
    <t>164664.93</t>
  </si>
  <si>
    <t>Inic. Ponte (01+225)</t>
  </si>
  <si>
    <t>3600CCA02</t>
  </si>
  <si>
    <t>Anc. Corrente</t>
  </si>
  <si>
    <t>164647.33</t>
  </si>
  <si>
    <t>-42098.96</t>
  </si>
  <si>
    <t>3600CCA01</t>
  </si>
  <si>
    <t>-42092.54</t>
  </si>
  <si>
    <t>164645.62</t>
  </si>
  <si>
    <t>3600CCA04</t>
  </si>
  <si>
    <t>164627.60</t>
  </si>
  <si>
    <t>-42103.56</t>
  </si>
  <si>
    <t>3600CCA03</t>
  </si>
  <si>
    <t>-42097.02</t>
  </si>
  <si>
    <t>164626.40</t>
  </si>
  <si>
    <t>3600CCA06</t>
  </si>
  <si>
    <t>164607.39</t>
  </si>
  <si>
    <t>-42106.10</t>
  </si>
  <si>
    <t>3600CCA05</t>
  </si>
  <si>
    <t>-42099.48</t>
  </si>
  <si>
    <t>164606.92</t>
  </si>
  <si>
    <t>1,77</t>
  </si>
  <si>
    <t>3600CCA08</t>
  </si>
  <si>
    <t>164587.02</t>
  </si>
  <si>
    <t>-42106.39</t>
  </si>
  <si>
    <t>3600CCA07</t>
  </si>
  <si>
    <t>-42099.76</t>
  </si>
  <si>
    <t>164587.29</t>
  </si>
  <si>
    <t>3600CCA10</t>
  </si>
  <si>
    <t>-10</t>
  </si>
  <si>
    <t>164566.81</t>
  </si>
  <si>
    <t>-42104.53</t>
  </si>
  <si>
    <t>3600CCA09</t>
  </si>
  <si>
    <t>-42097.95</t>
  </si>
  <si>
    <t>164567.66</t>
  </si>
  <si>
    <t>3600CCA12</t>
  </si>
  <si>
    <t>164546.98</t>
  </si>
  <si>
    <t>-42101.91</t>
  </si>
  <si>
    <t>3600CCA11</t>
  </si>
  <si>
    <t>-42095.32</t>
  </si>
  <si>
    <t>164547.85</t>
  </si>
  <si>
    <t>3600CCA14</t>
  </si>
  <si>
    <t>164527.23</t>
  </si>
  <si>
    <t>-42099.54</t>
  </si>
  <si>
    <t>3600CCA13</t>
  </si>
  <si>
    <t>-42092.93</t>
  </si>
  <si>
    <t>164527.89</t>
  </si>
  <si>
    <t>3600CCA16</t>
  </si>
  <si>
    <t>164507.56</t>
  </si>
  <si>
    <t>-42098.42</t>
  </si>
  <si>
    <t>3600CCA15</t>
  </si>
  <si>
    <t>-42091.78</t>
  </si>
  <si>
    <t>164507.61</t>
  </si>
  <si>
    <t>1PEAD D110mm ou 2PEAD D63mm+ 1PEAD 32mm</t>
  </si>
  <si>
    <t>3600CCA18</t>
  </si>
  <si>
    <t>FR</t>
  </si>
  <si>
    <t>164487.92</t>
  </si>
  <si>
    <t>-42099.25</t>
  </si>
  <si>
    <t>3600CCA17</t>
  </si>
  <si>
    <t>-42092.64</t>
  </si>
  <si>
    <t>164487.29</t>
  </si>
  <si>
    <t>1PEAD D110mm ou 2PEAD D63mm</t>
  </si>
  <si>
    <t>3600CCA20</t>
  </si>
  <si>
    <t>164468.41</t>
  </si>
  <si>
    <t>-42102.02</t>
  </si>
  <si>
    <t>3600CCA19</t>
  </si>
  <si>
    <t>-42095.49</t>
  </si>
  <si>
    <t>164467.19</t>
  </si>
  <si>
    <t>3600CCA22</t>
  </si>
  <si>
    <t>Ancoraem 1HC</t>
  </si>
  <si>
    <t>Anc. Ancoragem.</t>
  </si>
  <si>
    <t>164448.94</t>
  </si>
  <si>
    <t>3600CCA21</t>
  </si>
  <si>
    <t>-42099.62</t>
  </si>
  <si>
    <t>164447.50</t>
  </si>
  <si>
    <t>Anc. Ancoragem</t>
  </si>
  <si>
    <t>Cantón 486,8 m</t>
  </si>
  <si>
    <t>Cantón457 m</t>
  </si>
  <si>
    <t>3600CCA24</t>
  </si>
  <si>
    <t>S/E A/S</t>
  </si>
  <si>
    <t>164429.42</t>
  </si>
  <si>
    <t>-42110.43</t>
  </si>
  <si>
    <t>3600CCA23</t>
  </si>
  <si>
    <t>-42103.95</t>
  </si>
  <si>
    <t>164427.99</t>
  </si>
  <si>
    <t>3600CCA26</t>
  </si>
  <si>
    <t>E</t>
  </si>
  <si>
    <t>164409.90</t>
  </si>
  <si>
    <t>-42114.77</t>
  </si>
  <si>
    <t>3600CCA25</t>
  </si>
  <si>
    <t>-42108.29</t>
  </si>
  <si>
    <t>164408.46</t>
  </si>
  <si>
    <t>3600CCA28</t>
  </si>
  <si>
    <t>164390.37</t>
  </si>
  <si>
    <t>-42119.10</t>
  </si>
  <si>
    <t>3600CCA27</t>
  </si>
  <si>
    <t>-42112.62</t>
  </si>
  <si>
    <t>164388.93</t>
  </si>
  <si>
    <t>3600CCA30</t>
  </si>
  <si>
    <t>164370.85</t>
  </si>
  <si>
    <t>-42123.44</t>
  </si>
  <si>
    <t>3600CCA29</t>
  </si>
  <si>
    <t>-42116.95</t>
  </si>
  <si>
    <t>164369.41</t>
  </si>
  <si>
    <t>Cantón 420 m</t>
  </si>
  <si>
    <t>Cantón420 m</t>
  </si>
  <si>
    <t>3600CCA32</t>
  </si>
  <si>
    <t>-20</t>
  </si>
  <si>
    <t>164351.33</t>
  </si>
  <si>
    <t>-42127.77</t>
  </si>
  <si>
    <t>3600CCA31</t>
  </si>
  <si>
    <t>-42121.28</t>
  </si>
  <si>
    <t>164349.88</t>
  </si>
  <si>
    <t>3600CCA34</t>
  </si>
  <si>
    <t>164331.80</t>
  </si>
  <si>
    <t>-42132.10</t>
  </si>
  <si>
    <t>3600CCA33</t>
  </si>
  <si>
    <t>-42125.61</t>
  </si>
  <si>
    <t>164330.36</t>
  </si>
  <si>
    <t>3600CCA36</t>
  </si>
  <si>
    <t>164312.28</t>
  </si>
  <si>
    <t>-42136.44</t>
  </si>
  <si>
    <t>3600CCA35</t>
  </si>
  <si>
    <t>-42129.95</t>
  </si>
  <si>
    <t>164310.83</t>
  </si>
  <si>
    <t>3600CCA38</t>
  </si>
  <si>
    <t>164292.75</t>
  </si>
  <si>
    <t>-42140.77</t>
  </si>
  <si>
    <t>3600CCA37</t>
  </si>
  <si>
    <t>-42134.29</t>
  </si>
  <si>
    <t>164291.31</t>
  </si>
  <si>
    <t>3600CCA40</t>
  </si>
  <si>
    <t>164273.23</t>
  </si>
  <si>
    <t>-42145.11</t>
  </si>
  <si>
    <t>3600CCA39</t>
  </si>
  <si>
    <t>-42137.79</t>
  </si>
  <si>
    <t>164271.60</t>
  </si>
  <si>
    <t>3600CCA42</t>
  </si>
  <si>
    <t>164253.70</t>
  </si>
  <si>
    <t>-42149.44</t>
  </si>
  <si>
    <t>3600CCA41</t>
  </si>
  <si>
    <t>-42142.13</t>
  </si>
  <si>
    <t>164252.08</t>
  </si>
  <si>
    <t>3600CCA44</t>
  </si>
  <si>
    <t>164234.18</t>
  </si>
  <si>
    <t>-42153,77</t>
  </si>
  <si>
    <t>3600CCA43</t>
  </si>
  <si>
    <t>-42146.46</t>
  </si>
  <si>
    <t>164232.55</t>
  </si>
  <si>
    <t>3600CCA46</t>
  </si>
  <si>
    <t>164214.65</t>
  </si>
  <si>
    <t>-42158.11</t>
  </si>
  <si>
    <t>3600CCA45</t>
  </si>
  <si>
    <t>-42151.63</t>
  </si>
  <si>
    <t>164213.21</t>
  </si>
  <si>
    <t>3600CCA48</t>
  </si>
  <si>
    <t>164195.13</t>
  </si>
  <si>
    <t>-42162.44</t>
  </si>
  <si>
    <t>3600CCA47</t>
  </si>
  <si>
    <t>-42155.96</t>
  </si>
  <si>
    <t>164193.69</t>
  </si>
  <si>
    <t>3600CCA50</t>
  </si>
  <si>
    <t>164175.60</t>
  </si>
  <si>
    <t>-42166.78</t>
  </si>
  <si>
    <t>3600CCA49</t>
  </si>
  <si>
    <t>-42160.29</t>
  </si>
  <si>
    <t>164174.16</t>
  </si>
  <si>
    <t>3600CCA52</t>
  </si>
  <si>
    <t>164156.08</t>
  </si>
  <si>
    <t>-42171.11</t>
  </si>
  <si>
    <t>3600CCA51</t>
  </si>
  <si>
    <t>-42164.63</t>
  </si>
  <si>
    <t>164154.64</t>
  </si>
  <si>
    <t>3600CCA54</t>
  </si>
  <si>
    <t>164136.55</t>
  </si>
  <si>
    <t>-42175.44</t>
  </si>
  <si>
    <t>3600CCA53</t>
  </si>
  <si>
    <t>-42168.96</t>
  </si>
  <si>
    <t>164135.11</t>
  </si>
  <si>
    <t>3600CCA56</t>
  </si>
  <si>
    <t>164117.03</t>
  </si>
  <si>
    <t>-42179.78</t>
  </si>
  <si>
    <t>3600CCA55</t>
  </si>
  <si>
    <t>-42173.28</t>
  </si>
  <si>
    <t>164115.59</t>
  </si>
  <si>
    <t>3600CCA58</t>
  </si>
  <si>
    <t>164097.50</t>
  </si>
  <si>
    <t>-42184.11</t>
  </si>
  <si>
    <t>3600CCA57</t>
  </si>
  <si>
    <t>-42177.62</t>
  </si>
  <si>
    <t>164096.06</t>
  </si>
  <si>
    <t>3600CCA60</t>
  </si>
  <si>
    <t>164077.98</t>
  </si>
  <si>
    <t>-42188.45</t>
  </si>
  <si>
    <t>3600CCA59</t>
  </si>
  <si>
    <t>-42181.95</t>
  </si>
  <si>
    <t>164076.54</t>
  </si>
  <si>
    <t>3600CCA62</t>
  </si>
  <si>
    <t>164058.45</t>
  </si>
  <si>
    <t>-42192.78</t>
  </si>
  <si>
    <t>3600CCA61</t>
  </si>
  <si>
    <t>-42186.30</t>
  </si>
  <si>
    <t>164057.02</t>
  </si>
  <si>
    <t>B. Fun</t>
  </si>
  <si>
    <t>Cantón 639 m</t>
  </si>
  <si>
    <t>3600CCA64</t>
  </si>
  <si>
    <t>164038.92</t>
  </si>
  <si>
    <t>-42197.12</t>
  </si>
  <si>
    <t>3600CCA63</t>
  </si>
  <si>
    <t>-42190.63</t>
  </si>
  <si>
    <t>164037.49</t>
  </si>
  <si>
    <t>Cantón 634 m</t>
  </si>
  <si>
    <t>3600CCA66</t>
  </si>
  <si>
    <t>164019.40</t>
  </si>
  <si>
    <t>-42201.44</t>
  </si>
  <si>
    <t>3600CCA65</t>
  </si>
  <si>
    <t>-42194.96</t>
  </si>
  <si>
    <t>164017.96</t>
  </si>
  <si>
    <t>3600CCA68</t>
  </si>
  <si>
    <t>163999.70</t>
  </si>
  <si>
    <t>-42205.51</t>
  </si>
  <si>
    <t>3600CCA67</t>
  </si>
  <si>
    <t>-42198.97</t>
  </si>
  <si>
    <t>163998.49</t>
  </si>
  <si>
    <t>3600CCA70</t>
  </si>
  <si>
    <t>163979.67</t>
  </si>
  <si>
    <t>-42208.44</t>
  </si>
  <si>
    <t>3600CCA69</t>
  </si>
  <si>
    <t>-42201.84</t>
  </si>
  <si>
    <t>163978.94</t>
  </si>
  <si>
    <t>3600CCA72</t>
  </si>
  <si>
    <t>163959.46</t>
  </si>
  <si>
    <t>-42209.85</t>
  </si>
  <si>
    <t>3600CCA71</t>
  </si>
  <si>
    <t>-42203.22</t>
  </si>
  <si>
    <t>163959.25</t>
  </si>
  <si>
    <t>3600CCA74</t>
  </si>
  <si>
    <t>163939.22</t>
  </si>
  <si>
    <t>-42209.74</t>
  </si>
  <si>
    <t>3600CCA73</t>
  </si>
  <si>
    <t>-42203.11</t>
  </si>
  <si>
    <t>163939.49</t>
  </si>
  <si>
    <t>3600CCA76</t>
  </si>
  <si>
    <t>163919.03</t>
  </si>
  <si>
    <t>-42208.10</t>
  </si>
  <si>
    <t>3600CCA75</t>
  </si>
  <si>
    <t>-42201.51</t>
  </si>
  <si>
    <t>163919.82</t>
  </si>
  <si>
    <t>3600CCA78</t>
  </si>
  <si>
    <t>163899.02</t>
  </si>
  <si>
    <t>-42204.94</t>
  </si>
  <si>
    <t>3600CCA77</t>
  </si>
  <si>
    <t>-42198.42</t>
  </si>
  <si>
    <t>163900.30</t>
  </si>
  <si>
    <t>3600CCA80</t>
  </si>
  <si>
    <t>163879.31</t>
  </si>
  <si>
    <t>-42200.28</t>
  </si>
  <si>
    <t>3600CCA79</t>
  </si>
  <si>
    <t>-42193.88</t>
  </si>
  <si>
    <t>163881.09</t>
  </si>
  <si>
    <t>3600CCA82</t>
  </si>
  <si>
    <t>163860.04</t>
  </si>
  <si>
    <t>-42194.17</t>
  </si>
  <si>
    <t>3600CCA81</t>
  </si>
  <si>
    <t>-42187.92</t>
  </si>
  <si>
    <t>163862.29</t>
  </si>
  <si>
    <t>3600CCA84</t>
  </si>
  <si>
    <t>163841.26</t>
  </si>
  <si>
    <t>-42186.98</t>
  </si>
  <si>
    <t>3600CCA83</t>
  </si>
  <si>
    <t>-42180.81</t>
  </si>
  <si>
    <t>163843.72</t>
  </si>
  <si>
    <t>Fin. Ponte (02+059)</t>
  </si>
  <si>
    <t xml:space="preserve"> CAT D</t>
  </si>
  <si>
    <t>3701CCA02</t>
  </si>
  <si>
    <t>M1</t>
  </si>
  <si>
    <t>163819.74</t>
  </si>
  <si>
    <t>-42178.86</t>
  </si>
  <si>
    <t>3701CCA01</t>
  </si>
  <si>
    <t>-42171.91</t>
  </si>
  <si>
    <t>163822.51</t>
  </si>
  <si>
    <t>Aislador 2HC</t>
  </si>
  <si>
    <t>3701CCA04</t>
  </si>
  <si>
    <t>163810.79</t>
  </si>
  <si>
    <t>-42175.15</t>
  </si>
  <si>
    <t>3701CCA03</t>
  </si>
  <si>
    <t>-42168.20</t>
  </si>
  <si>
    <t>163813.58</t>
  </si>
  <si>
    <t>Inic. Est./Anden Campo Arrábida (02+112)</t>
  </si>
  <si>
    <t>3702CCA02</t>
  </si>
  <si>
    <t>Marquise</t>
  </si>
  <si>
    <t>4,15</t>
  </si>
  <si>
    <t>163773.97</t>
  </si>
  <si>
    <t>-42162.06</t>
  </si>
  <si>
    <t>3702CCA01</t>
  </si>
  <si>
    <t>-42152.26</t>
  </si>
  <si>
    <t>163777.89</t>
  </si>
  <si>
    <t>3702CCA04</t>
  </si>
  <si>
    <t>163757.88</t>
  </si>
  <si>
    <t>-42155.83</t>
  </si>
  <si>
    <t>3702CCA03</t>
  </si>
  <si>
    <t>-42145.85</t>
  </si>
  <si>
    <t>163761.88</t>
  </si>
  <si>
    <t>3702CCA06</t>
  </si>
  <si>
    <t>163741.86</t>
  </si>
  <si>
    <t>-42149.43</t>
  </si>
  <si>
    <t>3702CCA05</t>
  </si>
  <si>
    <t>-42139.44</t>
  </si>
  <si>
    <t>163745.86</t>
  </si>
  <si>
    <t>3702CCA08</t>
  </si>
  <si>
    <t>163725.85</t>
  </si>
  <si>
    <t>-42143.02</t>
  </si>
  <si>
    <t>3702CCA07</t>
  </si>
  <si>
    <t>-42133.03</t>
  </si>
  <si>
    <t>163729.84</t>
  </si>
  <si>
    <t>Fin. Est./Anden Campo Arrábida (02+183)</t>
  </si>
  <si>
    <t>3PEAD D63mm ou 1PEAD D125mm + PEAD D40mm</t>
  </si>
  <si>
    <t>3703CCA02</t>
  </si>
  <si>
    <t>3,0</t>
  </si>
  <si>
    <t>163702.94</t>
  </si>
  <si>
    <t>-42132.96</t>
  </si>
  <si>
    <t>3703CCA01</t>
  </si>
  <si>
    <t>-42124.50</t>
  </si>
  <si>
    <t>163706.28</t>
  </si>
  <si>
    <t>3PEAD D63mm ou 1PEAD D125mm</t>
  </si>
  <si>
    <t>3703CCA04</t>
  </si>
  <si>
    <t>2,7</t>
  </si>
  <si>
    <t>163684.14</t>
  </si>
  <si>
    <t>-42124.06</t>
  </si>
  <si>
    <t>3703CCA03</t>
  </si>
  <si>
    <t>-42117.17</t>
  </si>
  <si>
    <t>163687.30</t>
  </si>
  <si>
    <t>3703CCA06</t>
  </si>
  <si>
    <t>163666.12</t>
  </si>
  <si>
    <t>-42114.67</t>
  </si>
  <si>
    <t>3703CCA05</t>
  </si>
  <si>
    <t>-42107.47</t>
  </si>
  <si>
    <t>163670.71</t>
  </si>
  <si>
    <t>Inic. Viaducto Arrábida (02+248,27)</t>
  </si>
  <si>
    <t>3703CCA08</t>
  </si>
  <si>
    <t>Sin Valor de anchura de marquise</t>
  </si>
  <si>
    <t>Anc. Ponte</t>
  </si>
  <si>
    <t>HEA 300</t>
  </si>
  <si>
    <t>163649.89</t>
  </si>
  <si>
    <t>-42102.35</t>
  </si>
  <si>
    <t>3703CCA07</t>
  </si>
  <si>
    <t>-42095.98</t>
  </si>
  <si>
    <t>163655.29</t>
  </si>
  <si>
    <t>2,6</t>
  </si>
  <si>
    <t>3703CCA10</t>
  </si>
  <si>
    <t>163635.40</t>
  </si>
  <si>
    <t>-42088.08</t>
  </si>
  <si>
    <t>3703CCA09</t>
  </si>
  <si>
    <t>-42082.45</t>
  </si>
  <si>
    <t>163641.56</t>
  </si>
  <si>
    <t>3703CCA12</t>
  </si>
  <si>
    <t>163621.47</t>
  </si>
  <si>
    <t>-42072.29</t>
  </si>
  <si>
    <t>3703CCA11</t>
  </si>
  <si>
    <t>-42066.80</t>
  </si>
  <si>
    <t>163627.77</t>
  </si>
  <si>
    <t>Fin. Viaducto Arrábida (02+323,52)</t>
  </si>
  <si>
    <t>3703CCA14</t>
  </si>
  <si>
    <t>Ancoraem 2HC</t>
  </si>
  <si>
    <t>HEM 320</t>
  </si>
  <si>
    <t>2,8</t>
  </si>
  <si>
    <t>163604.92</t>
  </si>
  <si>
    <t>-42053.55</t>
  </si>
  <si>
    <t>3703CCA13</t>
  </si>
  <si>
    <t>-42048.85</t>
  </si>
  <si>
    <t>163611.49</t>
  </si>
  <si>
    <t>Cantón 656 m</t>
  </si>
  <si>
    <t>Cantón 659 m</t>
  </si>
  <si>
    <t>3703CCA16</t>
  </si>
  <si>
    <t>163591.02</t>
  </si>
  <si>
    <t>-42036.33</t>
  </si>
  <si>
    <t>3703CCA15</t>
  </si>
  <si>
    <t>-42031.54</t>
  </si>
  <si>
    <t>163596.89</t>
  </si>
  <si>
    <t>Fin. Viaducto Arrábida (02+365,52)</t>
  </si>
  <si>
    <t>3703CCA18</t>
  </si>
  <si>
    <t>B.Fun.</t>
  </si>
  <si>
    <t>M4</t>
  </si>
  <si>
    <t>HEA 280</t>
  </si>
  <si>
    <t>163578.91</t>
  </si>
  <si>
    <t>-42019.94</t>
  </si>
  <si>
    <t>3703CCA17</t>
  </si>
  <si>
    <t>-42015.76</t>
  </si>
  <si>
    <t>163585.06</t>
  </si>
  <si>
    <t>3703CCA20</t>
  </si>
  <si>
    <t>163568.49</t>
  </si>
  <si>
    <t>-42002.45</t>
  </si>
  <si>
    <t>3703CCA19</t>
  </si>
  <si>
    <t>-41998.90</t>
  </si>
  <si>
    <t>163575.18</t>
  </si>
  <si>
    <t>Cantón 985,4m</t>
  </si>
  <si>
    <t>Cantón 983,7 m</t>
  </si>
  <si>
    <t>3703CCA22</t>
  </si>
  <si>
    <t>A/S-A/S</t>
  </si>
  <si>
    <t>163559.66</t>
  </si>
  <si>
    <t>-41984.22</t>
  </si>
  <si>
    <t>3703CCA21</t>
  </si>
  <si>
    <t>-41981.13</t>
  </si>
  <si>
    <t>163566.59</t>
  </si>
  <si>
    <t>3703CCA24</t>
  </si>
  <si>
    <t>163551.49</t>
  </si>
  <si>
    <t>-41965.96</t>
  </si>
  <si>
    <t>3703CCA23</t>
  </si>
  <si>
    <t>-41962.88</t>
  </si>
  <si>
    <t>163558.42</t>
  </si>
  <si>
    <t>+30</t>
  </si>
  <si>
    <t>3703CCA26</t>
  </si>
  <si>
    <t>163543.32</t>
  </si>
  <si>
    <t>-41947.71</t>
  </si>
  <si>
    <t>3703CCA25</t>
  </si>
  <si>
    <t>-41944.62</t>
  </si>
  <si>
    <t>163550.25</t>
  </si>
  <si>
    <t>3703CCA28</t>
  </si>
  <si>
    <t>163536.98</t>
  </si>
  <si>
    <t>-41933.55</t>
  </si>
  <si>
    <t>3703CCA27</t>
  </si>
  <si>
    <t>-41930.47</t>
  </si>
  <si>
    <t>163543.91</t>
  </si>
  <si>
    <t>3703CCA30</t>
  </si>
  <si>
    <t>Aislador 1HC</t>
  </si>
  <si>
    <t>163533.69</t>
  </si>
  <si>
    <t>-41926.20</t>
  </si>
  <si>
    <t>3703CCA29</t>
  </si>
  <si>
    <t>-41923.11</t>
  </si>
  <si>
    <t>163540.62</t>
  </si>
  <si>
    <t>3703CCA32</t>
  </si>
  <si>
    <t>163530.33</t>
  </si>
  <si>
    <t>-41918.88</t>
  </si>
  <si>
    <t>3703CCA31</t>
  </si>
  <si>
    <t>-41915.74</t>
  </si>
  <si>
    <t>163537.40</t>
  </si>
  <si>
    <t>3703CCA34</t>
  </si>
  <si>
    <t>+5</t>
  </si>
  <si>
    <t>163521.74</t>
  </si>
  <si>
    <t>-41899.72</t>
  </si>
  <si>
    <t>3703CCA33</t>
  </si>
  <si>
    <t>-41896.42</t>
  </si>
  <si>
    <t>163529.24</t>
  </si>
  <si>
    <t>3703CCA36</t>
  </si>
  <si>
    <t>C3- C.L.</t>
  </si>
  <si>
    <t>Cons. Dob.</t>
  </si>
  <si>
    <t>3703CCA35</t>
  </si>
  <si>
    <t>-41874.28</t>
  </si>
  <si>
    <t>163519.83</t>
  </si>
  <si>
    <t>A/S - Elev</t>
  </si>
  <si>
    <t>2,95</t>
  </si>
  <si>
    <t>M6</t>
  </si>
  <si>
    <t>3703CCA38</t>
  </si>
  <si>
    <t>3703CCA37</t>
  </si>
  <si>
    <t>-41853.07</t>
  </si>
  <si>
    <t>163510.30</t>
  </si>
  <si>
    <t>3703CCA40</t>
  </si>
  <si>
    <t>3703CCA39</t>
  </si>
  <si>
    <t>-41834.83</t>
  </si>
  <si>
    <t>163502.00</t>
  </si>
  <si>
    <t>Inic. Viaduto A1</t>
  </si>
  <si>
    <t>3703CCA42</t>
  </si>
  <si>
    <t>3703CCA41</t>
  </si>
  <si>
    <t>-41816.71</t>
  </si>
  <si>
    <t>163493.94</t>
  </si>
  <si>
    <t>3703CCA44</t>
  </si>
  <si>
    <t>3703CCA43</t>
  </si>
  <si>
    <t>-41798.43</t>
  </si>
  <si>
    <t>163485.59</t>
  </si>
  <si>
    <t>3703CCA46</t>
  </si>
  <si>
    <t>3703CCA45</t>
  </si>
  <si>
    <t>-41780.24</t>
  </si>
  <si>
    <t>163475.88</t>
  </si>
  <si>
    <t>3703CCA48</t>
  </si>
  <si>
    <t>3703CCA47</t>
  </si>
  <si>
    <t>-41762.80</t>
  </si>
  <si>
    <t>163465.24</t>
  </si>
  <si>
    <t>3703CCA50</t>
  </si>
  <si>
    <t>3703CCA49</t>
  </si>
  <si>
    <t>-41746.62</t>
  </si>
  <si>
    <t>163453.79</t>
  </si>
  <si>
    <t>3703CCA52</t>
  </si>
  <si>
    <t>3703CCA51</t>
  </si>
  <si>
    <t>-41731.01</t>
  </si>
  <si>
    <t>163441.26</t>
  </si>
  <si>
    <t>3703CCA54</t>
  </si>
  <si>
    <t>3703CCA53</t>
  </si>
  <si>
    <t>-41715.76</t>
  </si>
  <si>
    <t>163427.22</t>
  </si>
  <si>
    <t>3703CCA56</t>
  </si>
  <si>
    <t>3703CCA55</t>
  </si>
  <si>
    <t>-41701.74</t>
  </si>
  <si>
    <t>163412.59</t>
  </si>
  <si>
    <t>3703CCA58</t>
  </si>
  <si>
    <t>3703CCA57</t>
  </si>
  <si>
    <t>-41688.83</t>
  </si>
  <si>
    <t>163397.26</t>
  </si>
  <si>
    <t>3703CCA60</t>
  </si>
  <si>
    <t>3703CCA59</t>
  </si>
  <si>
    <t>-41676.69</t>
  </si>
  <si>
    <t>163380.71</t>
  </si>
  <si>
    <t>Fin. Viaduto A1</t>
  </si>
  <si>
    <t>3703CCA62</t>
  </si>
  <si>
    <t>3703CCA61</t>
  </si>
  <si>
    <t>-41665.57</t>
  </si>
  <si>
    <t>163363.45</t>
  </si>
  <si>
    <t>3703CCA64</t>
  </si>
  <si>
    <t>3703CCA63</t>
  </si>
  <si>
    <t>-41655.77</t>
  </si>
  <si>
    <t>163345.70</t>
  </si>
  <si>
    <t>3703CCA66</t>
  </si>
  <si>
    <t>3703CCA65</t>
  </si>
  <si>
    <t>-41647.10</t>
  </si>
  <si>
    <t>163327.25</t>
  </si>
  <si>
    <t>3703CCA68</t>
  </si>
  <si>
    <t>163305.29</t>
  </si>
  <si>
    <t>-41648.28</t>
  </si>
  <si>
    <t>3703CCA67</t>
  </si>
  <si>
    <t>-41639.89</t>
  </si>
  <si>
    <t>163308.44</t>
  </si>
  <si>
    <t>3703CCA70</t>
  </si>
  <si>
    <t>3,4</t>
  </si>
  <si>
    <t>163286.42</t>
  </si>
  <si>
    <t>-41642.69</t>
  </si>
  <si>
    <t>3703CCA69</t>
  </si>
  <si>
    <t>-41633.21</t>
  </si>
  <si>
    <t>163289.08</t>
  </si>
  <si>
    <t>3703CCA72</t>
  </si>
  <si>
    <t>3,35</t>
  </si>
  <si>
    <t>163268,23</t>
  </si>
  <si>
    <t>-41637.78</t>
  </si>
  <si>
    <t>3703CCA71</t>
  </si>
  <si>
    <t>-41628.11</t>
  </si>
  <si>
    <t>163270.90</t>
  </si>
  <si>
    <t>3,5</t>
  </si>
  <si>
    <t>3703CCA74</t>
  </si>
  <si>
    <t>3,3</t>
  </si>
  <si>
    <t>163247.39</t>
  </si>
  <si>
    <t>-41632.25</t>
  </si>
  <si>
    <t>3703CCA73</t>
  </si>
  <si>
    <t>-41622.78</t>
  </si>
  <si>
    <t>163250.05</t>
  </si>
  <si>
    <t>3703CCA76</t>
  </si>
  <si>
    <t>163227.89</t>
  </si>
  <si>
    <t>-41626.99</t>
  </si>
  <si>
    <t>3703CCA75</t>
  </si>
  <si>
    <t>-41617.52</t>
  </si>
  <si>
    <t>163230.55</t>
  </si>
  <si>
    <t>3703CCA78</t>
  </si>
  <si>
    <t>163208.33</t>
  </si>
  <si>
    <t>-41621.38</t>
  </si>
  <si>
    <t>3703CCA77</t>
  </si>
  <si>
    <t>-41611.99</t>
  </si>
  <si>
    <t>163211.24</t>
  </si>
  <si>
    <t>3703CCA80</t>
  </si>
  <si>
    <t>163189.02</t>
  </si>
  <si>
    <t>-41615.56</t>
  </si>
  <si>
    <t>3703CCA79</t>
  </si>
  <si>
    <t>-41606.16</t>
  </si>
  <si>
    <t>163191.92</t>
  </si>
  <si>
    <t>3703CCA82</t>
  </si>
  <si>
    <t>HEA 220</t>
  </si>
  <si>
    <t>163169.72</t>
  </si>
  <si>
    <t>-41609.68</t>
  </si>
  <si>
    <t>3703CCA81</t>
  </si>
  <si>
    <t>-41600.28</t>
  </si>
  <si>
    <t>163172.63</t>
  </si>
  <si>
    <t>3703CCA84</t>
  </si>
  <si>
    <t>163150.43</t>
  </si>
  <si>
    <t>-41603.79</t>
  </si>
  <si>
    <t>3703CCA83</t>
  </si>
  <si>
    <t>-41594.39</t>
  </si>
  <si>
    <t>163153.33</t>
  </si>
  <si>
    <t>3703CCA86</t>
  </si>
  <si>
    <t>163127.45</t>
  </si>
  <si>
    <t>-41596.78</t>
  </si>
  <si>
    <t>3703CCA85</t>
  </si>
  <si>
    <t>-41587.38</t>
  </si>
  <si>
    <t>163130.35</t>
  </si>
  <si>
    <t>3703CCA88</t>
  </si>
  <si>
    <t>163104.01</t>
  </si>
  <si>
    <t>-41589.60</t>
  </si>
  <si>
    <t>3703CCA87</t>
  </si>
  <si>
    <t>-41580.20</t>
  </si>
  <si>
    <t>163106.92</t>
  </si>
  <si>
    <t>3703CCA90</t>
  </si>
  <si>
    <t>163089.63</t>
  </si>
  <si>
    <t>-41585.98</t>
  </si>
  <si>
    <t>3703CCA89</t>
  </si>
  <si>
    <t>-41575.45</t>
  </si>
  <si>
    <t>163092,88</t>
  </si>
  <si>
    <t>3703CCA92</t>
  </si>
  <si>
    <t>4,75</t>
  </si>
  <si>
    <t>163075.28</t>
  </si>
  <si>
    <t>-41581.61</t>
  </si>
  <si>
    <t>3703CCA91</t>
  </si>
  <si>
    <t>-41571.08</t>
  </si>
  <si>
    <t>163078,53</t>
  </si>
  <si>
    <t>Inic. Est./Anden Candal (03+096)</t>
  </si>
  <si>
    <t>3704CCA02</t>
  </si>
  <si>
    <t>4,0</t>
  </si>
  <si>
    <t>163056.49</t>
  </si>
  <si>
    <t>-41575.79</t>
  </si>
  <si>
    <t>3704CCA01</t>
  </si>
  <si>
    <t>-41565.26</t>
  </si>
  <si>
    <t>163059.74</t>
  </si>
  <si>
    <t>3704CCA04</t>
  </si>
  <si>
    <t>163039.99</t>
  </si>
  <si>
    <t>-41570.76</t>
  </si>
  <si>
    <t>3704CCA03</t>
  </si>
  <si>
    <t>-41560.23</t>
  </si>
  <si>
    <t>163043.24</t>
  </si>
  <si>
    <t>3704CCA06</t>
  </si>
  <si>
    <t>163023.49</t>
  </si>
  <si>
    <t>-41565.73</t>
  </si>
  <si>
    <t>3704CCA05</t>
  </si>
  <si>
    <t>-41555.19</t>
  </si>
  <si>
    <t>163026.74</t>
  </si>
  <si>
    <t>3704CCA08</t>
  </si>
  <si>
    <t>163006.99</t>
  </si>
  <si>
    <t>-41560.70</t>
  </si>
  <si>
    <t>3704CCA07</t>
  </si>
  <si>
    <t>-41550.16</t>
  </si>
  <si>
    <t>163010.24</t>
  </si>
  <si>
    <t>Fin. Est./Anden Candal (03+168)</t>
  </si>
  <si>
    <t>3705CCA02</t>
  </si>
  <si>
    <t>162988,76</t>
  </si>
  <si>
    <t>-41555,11</t>
  </si>
  <si>
    <t>3705CCA01</t>
  </si>
  <si>
    <t>-41544.59</t>
  </si>
  <si>
    <t>162991,99</t>
  </si>
  <si>
    <t>3705CCA04</t>
  </si>
  <si>
    <t>162974,39</t>
  </si>
  <si>
    <t>-41550,75</t>
  </si>
  <si>
    <t>3705CCA03</t>
  </si>
  <si>
    <t>-41540.23</t>
  </si>
  <si>
    <t>162977.66</t>
  </si>
  <si>
    <t>3705CCA06</t>
  </si>
  <si>
    <t>162959.80</t>
  </si>
  <si>
    <t>-41545.74</t>
  </si>
  <si>
    <t>3705CCA05</t>
  </si>
  <si>
    <t>-41536.22</t>
  </si>
  <si>
    <t>162962.74</t>
  </si>
  <si>
    <t>3705CCA08</t>
  </si>
  <si>
    <t>162939.13</t>
  </si>
  <si>
    <t>-41539.40</t>
  </si>
  <si>
    <t>3705CCA07</t>
  </si>
  <si>
    <t>-41529.88</t>
  </si>
  <si>
    <t>162942.07</t>
  </si>
  <si>
    <t>3705CCA10</t>
  </si>
  <si>
    <t>162920.00</t>
  </si>
  <si>
    <t>-41533.57</t>
  </si>
  <si>
    <t>3705CCA09</t>
  </si>
  <si>
    <t>-41524.05</t>
  </si>
  <si>
    <t>162922.94</t>
  </si>
  <si>
    <t>3705CCA12</t>
  </si>
  <si>
    <t>162900.87</t>
  </si>
  <si>
    <t>-41527.74</t>
  </si>
  <si>
    <t>3705CCA11</t>
  </si>
  <si>
    <t>-41518.22</t>
  </si>
  <si>
    <t>162903.81</t>
  </si>
  <si>
    <t>Cantón 883,5m</t>
  </si>
  <si>
    <t>Cantón 887,1 m</t>
  </si>
  <si>
    <t>3705CCA14</t>
  </si>
  <si>
    <t>162881.74</t>
  </si>
  <si>
    <t>-41521.90</t>
  </si>
  <si>
    <t>3705CCA13</t>
  </si>
  <si>
    <t>-41512.38</t>
  </si>
  <si>
    <t>162884.68</t>
  </si>
  <si>
    <t>3705CCA16</t>
  </si>
  <si>
    <t>162862.61</t>
  </si>
  <si>
    <t>-41516.07</t>
  </si>
  <si>
    <t>3705CCA15</t>
  </si>
  <si>
    <t>-41506.55</t>
  </si>
  <si>
    <t>162865.55</t>
  </si>
  <si>
    <t>3705CCA18</t>
  </si>
  <si>
    <t>162843.48</t>
  </si>
  <si>
    <t>-41510.24</t>
  </si>
  <si>
    <t>3705CCA17</t>
  </si>
  <si>
    <t>-41500.72</t>
  </si>
  <si>
    <t>162846.42</t>
  </si>
  <si>
    <t>3705CCA20</t>
  </si>
  <si>
    <t>162824.35</t>
  </si>
  <si>
    <t>-41504.41</t>
  </si>
  <si>
    <t>3705CCA19</t>
  </si>
  <si>
    <t>-41494.88</t>
  </si>
  <si>
    <t>162827.29</t>
  </si>
  <si>
    <t>3705CCA22</t>
  </si>
  <si>
    <t>162802.03</t>
  </si>
  <si>
    <t>-41497.57</t>
  </si>
  <si>
    <t>3705CCA21</t>
  </si>
  <si>
    <t>-41488.04</t>
  </si>
  <si>
    <t>162804.97</t>
  </si>
  <si>
    <t>3705CCA24</t>
  </si>
  <si>
    <t>162780.98</t>
  </si>
  <si>
    <t>-41491.18</t>
  </si>
  <si>
    <t>3705CCA23</t>
  </si>
  <si>
    <t>-41481.66</t>
  </si>
  <si>
    <t>162783.92</t>
  </si>
  <si>
    <t>3705CCA26</t>
  </si>
  <si>
    <t>162765.68</t>
  </si>
  <si>
    <t>-41486.56</t>
  </si>
  <si>
    <t>3705CCA25</t>
  </si>
  <si>
    <t>-41477.04</t>
  </si>
  <si>
    <t>162768.60</t>
  </si>
  <si>
    <t>3705CCA28</t>
  </si>
  <si>
    <t>162746.55</t>
  </si>
  <si>
    <t>-41480.71</t>
  </si>
  <si>
    <t>3705CCA27</t>
  </si>
  <si>
    <t>-41471.18</t>
  </si>
  <si>
    <t>162749.47</t>
  </si>
  <si>
    <t>3705CCA30</t>
  </si>
  <si>
    <t>162727.43</t>
  </si>
  <si>
    <t>-41474.87</t>
  </si>
  <si>
    <t>3705CCA29</t>
  </si>
  <si>
    <t>-41465.34</t>
  </si>
  <si>
    <t>162730.35</t>
  </si>
  <si>
    <t>3705CCA32</t>
  </si>
  <si>
    <t>162708.29</t>
  </si>
  <si>
    <t>-41469.03</t>
  </si>
  <si>
    <t>3705CCA31</t>
  </si>
  <si>
    <t>-41459.51</t>
  </si>
  <si>
    <t>162711.22</t>
  </si>
  <si>
    <t>3705CCA34</t>
  </si>
  <si>
    <t>162689.16</t>
  </si>
  <si>
    <t>-41463.20</t>
  </si>
  <si>
    <t>3705CCA33</t>
  </si>
  <si>
    <t>-41453.67</t>
  </si>
  <si>
    <t>162692.09</t>
  </si>
  <si>
    <t>3705CCA36</t>
  </si>
  <si>
    <t>162670.03</t>
  </si>
  <si>
    <t>-41457.37</t>
  </si>
  <si>
    <t>3705CCA35</t>
  </si>
  <si>
    <t>-41447.84</t>
  </si>
  <si>
    <t>162672.96</t>
  </si>
  <si>
    <t>3705CCA38</t>
  </si>
  <si>
    <t>M5</t>
  </si>
  <si>
    <t>162650.90</t>
  </si>
  <si>
    <t>-41451.53</t>
  </si>
  <si>
    <t>3705CCA37</t>
  </si>
  <si>
    <t>-41442.01</t>
  </si>
  <si>
    <t>162653.83</t>
  </si>
  <si>
    <t>3705CCA40</t>
  </si>
  <si>
    <t>162631.77</t>
  </si>
  <si>
    <t>-41445.70</t>
  </si>
  <si>
    <t>3705CCA39</t>
  </si>
  <si>
    <t>-41436.17</t>
  </si>
  <si>
    <t>162634.70</t>
  </si>
  <si>
    <t>3705CCA42</t>
  </si>
  <si>
    <t>162612.64</t>
  </si>
  <si>
    <t>-41439.87</t>
  </si>
  <si>
    <t>3705CCA41</t>
  </si>
  <si>
    <t>-41430.34</t>
  </si>
  <si>
    <t>162615.57</t>
  </si>
  <si>
    <t>3705CCA44</t>
  </si>
  <si>
    <t>10</t>
  </si>
  <si>
    <t>162589.62</t>
  </si>
  <si>
    <t>-41432.83</t>
  </si>
  <si>
    <t>3705CCA43</t>
  </si>
  <si>
    <t>-41423.30</t>
  </si>
  <si>
    <t>162592.57</t>
  </si>
  <si>
    <t>3705CCA46</t>
  </si>
  <si>
    <t>162581.96</t>
  </si>
  <si>
    <t>-41430.50</t>
  </si>
  <si>
    <t>3705CCA45</t>
  </si>
  <si>
    <t>-41420.98</t>
  </si>
  <si>
    <t>162584.90</t>
  </si>
  <si>
    <t>3705CCA48</t>
  </si>
  <si>
    <t>162574.26</t>
  </si>
  <si>
    <t>-41428.15</t>
  </si>
  <si>
    <t>3705CCA47</t>
  </si>
  <si>
    <t>-41418.63</t>
  </si>
  <si>
    <t>162577.20</t>
  </si>
  <si>
    <t>Inic. Soterramiento</t>
  </si>
  <si>
    <t>3705CCA50</t>
  </si>
  <si>
    <t>162555.21</t>
  </si>
  <si>
    <t>-41422.34</t>
  </si>
  <si>
    <t>3705CCA49</t>
  </si>
  <si>
    <t>-41412.82</t>
  </si>
  <si>
    <t>162558.15</t>
  </si>
  <si>
    <t>3705CCA52</t>
  </si>
  <si>
    <t>IPE 120</t>
  </si>
  <si>
    <t>162536.08</t>
  </si>
  <si>
    <t>-41416.51</t>
  </si>
  <si>
    <t>3705CCA51</t>
  </si>
  <si>
    <t>-41406.99</t>
  </si>
  <si>
    <t>162539.02</t>
  </si>
  <si>
    <t>Fin. Soterramiento / Inic. Est./Anden Rotunda (03+666)</t>
  </si>
  <si>
    <t>3706CCA02</t>
  </si>
  <si>
    <t>162511.98</t>
  </si>
  <si>
    <t>-41409.75</t>
  </si>
  <si>
    <t>3706CCA01</t>
  </si>
  <si>
    <t>-41399.22</t>
  </si>
  <si>
    <t>162515.19</t>
  </si>
  <si>
    <t>3706CCA04</t>
  </si>
  <si>
    <t>162495.48</t>
  </si>
  <si>
    <t>-41404.72</t>
  </si>
  <si>
    <t>3706CCA03</t>
  </si>
  <si>
    <t>-41394.19</t>
  </si>
  <si>
    <t>162498.69</t>
  </si>
  <si>
    <t>3706CCA06</t>
  </si>
  <si>
    <t>162478.98</t>
  </si>
  <si>
    <t>-41399.69</t>
  </si>
  <si>
    <t>3706CCA05</t>
  </si>
  <si>
    <t>-41389.16</t>
  </si>
  <si>
    <t>162482.19</t>
  </si>
  <si>
    <t>3706CCA08</t>
  </si>
  <si>
    <t>162462.48</t>
  </si>
  <si>
    <t>-41394.66</t>
  </si>
  <si>
    <t>3706CCA07</t>
  </si>
  <si>
    <t>-41384.13</t>
  </si>
  <si>
    <t>162465.69</t>
  </si>
  <si>
    <t>Fin. Est./Anden Rotunda (03+736)</t>
  </si>
  <si>
    <t>3PEAD D63mm ou 1PEAD D125mm + D40mm</t>
  </si>
  <si>
    <t>3707CCA02</t>
  </si>
  <si>
    <t>162439.10</t>
  </si>
  <si>
    <t>-41386.84</t>
  </si>
  <si>
    <t>3707CCA01</t>
  </si>
  <si>
    <t>-41377.45</t>
  </si>
  <si>
    <t>162442.00</t>
  </si>
  <si>
    <t>3707CCA04</t>
  </si>
  <si>
    <t>162421.77</t>
  </si>
  <si>
    <t>-41381.23</t>
  </si>
  <si>
    <t>3707CCA03</t>
  </si>
  <si>
    <t>-41371.90</t>
  </si>
  <si>
    <t>162424.68</t>
  </si>
  <si>
    <t>Inic. Soterramiento (03+785)</t>
  </si>
  <si>
    <t>3707CCA06</t>
  </si>
  <si>
    <t>2,5</t>
  </si>
  <si>
    <t>162403.01</t>
  </si>
  <si>
    <t>-41373.33</t>
  </si>
  <si>
    <t>3707CCA05</t>
  </si>
  <si>
    <t>-41365.96</t>
  </si>
  <si>
    <t>162406.36</t>
  </si>
  <si>
    <t>3707CCA08</t>
  </si>
  <si>
    <t>162385.19</t>
  </si>
  <si>
    <t>-41363.50</t>
  </si>
  <si>
    <t>3707CCA07</t>
  </si>
  <si>
    <t>-41356.76</t>
  </si>
  <si>
    <t>162389.53</t>
  </si>
  <si>
    <t>3707CCA10</t>
  </si>
  <si>
    <t>162368.94</t>
  </si>
  <si>
    <t>-41351.19</t>
  </si>
  <si>
    <t>3707CCA09</t>
  </si>
  <si>
    <t>-41345.17</t>
  </si>
  <si>
    <t>162374.24</t>
  </si>
  <si>
    <t>3707CCA12</t>
  </si>
  <si>
    <t>2,55</t>
  </si>
  <si>
    <t>162354.69</t>
  </si>
  <si>
    <t>-41336.64</t>
  </si>
  <si>
    <t>3707CCA11</t>
  </si>
  <si>
    <t>-41331.47</t>
  </si>
  <si>
    <t>162360.82</t>
  </si>
  <si>
    <t>Fin. Soterramiento (03+865)</t>
  </si>
  <si>
    <t>3707CCA14</t>
  </si>
  <si>
    <t>162344.80</t>
  </si>
  <si>
    <t>-41322,52</t>
  </si>
  <si>
    <t>3707CCA13</t>
  </si>
  <si>
    <t>-41317.94</t>
  </si>
  <si>
    <t>162351.21</t>
  </si>
  <si>
    <t>3707CCA16</t>
  </si>
  <si>
    <t>2,9</t>
  </si>
  <si>
    <t>162335.90</t>
  </si>
  <si>
    <t>-41308.33</t>
  </si>
  <si>
    <t>3707CCA15</t>
  </si>
  <si>
    <t>-41306.93</t>
  </si>
  <si>
    <t>162344.66</t>
  </si>
  <si>
    <t>Cruce Vial</t>
  </si>
  <si>
    <t>3707CCA18</t>
  </si>
  <si>
    <t>162328,47</t>
  </si>
  <si>
    <t>-41290,46</t>
  </si>
  <si>
    <t>3707CCA17</t>
  </si>
  <si>
    <t>-41287,84</t>
  </si>
  <si>
    <t>162336,77</t>
  </si>
  <si>
    <t>3707CCA20</t>
  </si>
  <si>
    <t>162323.59</t>
  </si>
  <si>
    <t>-41270.38</t>
  </si>
  <si>
    <t>3707CCA19</t>
  </si>
  <si>
    <t>-41269,10</t>
  </si>
  <si>
    <t>162331,97</t>
  </si>
  <si>
    <t>3707CCA22</t>
  </si>
  <si>
    <t>162320,76</t>
  </si>
  <si>
    <t>-41245,19</t>
  </si>
  <si>
    <t>3707CCA21</t>
  </si>
  <si>
    <t>-41244,21</t>
  </si>
  <si>
    <t>162329.18</t>
  </si>
  <si>
    <t>Inic. Viaduto B (03+963)</t>
  </si>
  <si>
    <t>3707CCA24</t>
  </si>
  <si>
    <t>162319.05</t>
  </si>
  <si>
    <t>-41220.25</t>
  </si>
  <si>
    <t>3707CCA23</t>
  </si>
  <si>
    <t>-41219.67</t>
  </si>
  <si>
    <t>162327.43</t>
  </si>
  <si>
    <t>3707CCA26</t>
  </si>
  <si>
    <t>162317,32</t>
  </si>
  <si>
    <t>-41195,31</t>
  </si>
  <si>
    <t>3707CCA25</t>
  </si>
  <si>
    <t>-41199.72</t>
  </si>
  <si>
    <t>162325,70</t>
  </si>
  <si>
    <t>3707CCA28</t>
  </si>
  <si>
    <t>162315.58</t>
  </si>
  <si>
    <t>-41170,37</t>
  </si>
  <si>
    <t>3707CCA27</t>
  </si>
  <si>
    <t>-41169.78</t>
  </si>
  <si>
    <t>162323.96</t>
  </si>
  <si>
    <t>3707CCA30</t>
  </si>
  <si>
    <t>162314.19</t>
  </si>
  <si>
    <t>-41150.49</t>
  </si>
  <si>
    <t>3707CCA29</t>
  </si>
  <si>
    <t>-41149.91</t>
  </si>
  <si>
    <t>162322.57</t>
  </si>
  <si>
    <t>3707CCA32</t>
  </si>
  <si>
    <t>162313.12</t>
  </si>
  <si>
    <t>-41135.54</t>
  </si>
  <si>
    <t>3707CCA31</t>
  </si>
  <si>
    <t>-41134.96</t>
  </si>
  <si>
    <t>162321.50</t>
  </si>
  <si>
    <t>3707CCA34</t>
  </si>
  <si>
    <t>162312.27</t>
  </si>
  <si>
    <t>-41121.57</t>
  </si>
  <si>
    <t>3707CCA33</t>
  </si>
  <si>
    <t>-41120.99</t>
  </si>
  <si>
    <t>162320.52</t>
  </si>
  <si>
    <t xml:space="preserve">Fin.Viaduto B ( 
Inic. Soterramento 04+064) </t>
  </si>
  <si>
    <t>3707CCA36</t>
  </si>
  <si>
    <t>162314.10</t>
  </si>
  <si>
    <t>-41111.04</t>
  </si>
  <si>
    <t>3707CCA35</t>
  </si>
  <si>
    <t>-40995.62</t>
  </si>
  <si>
    <t>162277.84</t>
  </si>
  <si>
    <t>3707CCA38</t>
  </si>
  <si>
    <t>162313.41</t>
  </si>
  <si>
    <t>-41101.11</t>
  </si>
  <si>
    <t>3707CCA37</t>
  </si>
  <si>
    <t>-41100.88</t>
  </si>
  <si>
    <t>162316.50</t>
  </si>
  <si>
    <t>3707CCA40</t>
  </si>
  <si>
    <t>162312.58</t>
  </si>
  <si>
    <t>-41089.14</t>
  </si>
  <si>
    <t>3707CCA39</t>
  </si>
  <si>
    <t>-41088.90</t>
  </si>
  <si>
    <t>162315.67</t>
  </si>
  <si>
    <t>3707CCA42</t>
  </si>
  <si>
    <t>162311.74</t>
  </si>
  <si>
    <t>-41077.17</t>
  </si>
  <si>
    <t>3707CCA41</t>
  </si>
  <si>
    <t>-41076.97</t>
  </si>
  <si>
    <t>162314.82</t>
  </si>
  <si>
    <t>3707CCA44</t>
  </si>
  <si>
    <t>162310.91</t>
  </si>
  <si>
    <t>-41065.20</t>
  </si>
  <si>
    <t>3707CCA43</t>
  </si>
  <si>
    <t>-41064.96</t>
  </si>
  <si>
    <t>162314.00</t>
  </si>
  <si>
    <t>3707CCA46</t>
  </si>
  <si>
    <t>162310.08</t>
  </si>
  <si>
    <t>-41041.26</t>
  </si>
  <si>
    <t>3707CCA45</t>
  </si>
  <si>
    <t>-41052.99</t>
  </si>
  <si>
    <t>162313.18</t>
  </si>
  <si>
    <t>3707CCA48</t>
  </si>
  <si>
    <t>162309.24</t>
  </si>
  <si>
    <t>3707CCA47</t>
  </si>
  <si>
    <t>-41041.02</t>
  </si>
  <si>
    <t>162312.33</t>
  </si>
  <si>
    <t>3707CCA50</t>
  </si>
  <si>
    <t>162308.41</t>
  </si>
  <si>
    <t>-41029.29</t>
  </si>
  <si>
    <t>3707CCA49</t>
  </si>
  <si>
    <t>-41029.04</t>
  </si>
  <si>
    <t>162311.50</t>
  </si>
  <si>
    <t>3707CCA52</t>
  </si>
  <si>
    <t>Cantón 110,6 m</t>
  </si>
  <si>
    <t>162307.55</t>
  </si>
  <si>
    <t>-41017.32</t>
  </si>
  <si>
    <t>3707CCA51</t>
  </si>
  <si>
    <t>-41017.08</t>
  </si>
  <si>
    <t>Inic. Estação Devesas (04+174)</t>
  </si>
  <si>
    <t>3708CCA02</t>
  </si>
  <si>
    <t>Cantón 394,6 m</t>
  </si>
  <si>
    <t>162307.15</t>
  </si>
  <si>
    <t>-41011.13</t>
  </si>
  <si>
    <t>3708CCA01</t>
  </si>
  <si>
    <t>-41010.89</t>
  </si>
  <si>
    <t>162310.24</t>
  </si>
  <si>
    <t>3708CCA04</t>
  </si>
  <si>
    <t>162306.44</t>
  </si>
  <si>
    <t>-41000.89</t>
  </si>
  <si>
    <t>3708CCA03</t>
  </si>
  <si>
    <t>-41000.64</t>
  </si>
  <si>
    <t>162309.54</t>
  </si>
  <si>
    <t>3708CCA06</t>
  </si>
  <si>
    <t>162305.60</t>
  </si>
  <si>
    <t>-40988.91</t>
  </si>
  <si>
    <t>3708CCA05</t>
  </si>
  <si>
    <t>-40988.67</t>
  </si>
  <si>
    <t>162308.71</t>
  </si>
  <si>
    <t>3708CCA08</t>
  </si>
  <si>
    <t>162304.77</t>
  </si>
  <si>
    <t>-40976.94</t>
  </si>
  <si>
    <t>3708CCA07</t>
  </si>
  <si>
    <t>-40976.69</t>
  </si>
  <si>
    <t>162307.88</t>
  </si>
  <si>
    <t>3708CCA10</t>
  </si>
  <si>
    <t>162303.94</t>
  </si>
  <si>
    <t>-40964.96</t>
  </si>
  <si>
    <t>3708CCA09</t>
  </si>
  <si>
    <t>-40964.72</t>
  </si>
  <si>
    <t>162307.05</t>
  </si>
  <si>
    <t>3708CCA12</t>
  </si>
  <si>
    <t>162303.10</t>
  </si>
  <si>
    <t>-40952.98</t>
  </si>
  <si>
    <t>3708CCA11</t>
  </si>
  <si>
    <t>-40952.74</t>
  </si>
  <si>
    <t>162306.20</t>
  </si>
  <si>
    <t>3708CCA14</t>
  </si>
  <si>
    <t>162302.27</t>
  </si>
  <si>
    <t>-40941.01</t>
  </si>
  <si>
    <t>3708CCA13</t>
  </si>
  <si>
    <t>-40940.77</t>
  </si>
  <si>
    <t>162305.37</t>
  </si>
  <si>
    <t>Fin. Estação Devesas (04+263)</t>
  </si>
  <si>
    <t>3709CCA02</t>
  </si>
  <si>
    <t>162301.43</t>
  </si>
  <si>
    <t>-40929.03</t>
  </si>
  <si>
    <t>3709CCA01</t>
  </si>
  <si>
    <t>-40928.79</t>
  </si>
  <si>
    <t>162304.54</t>
  </si>
  <si>
    <t>3709CCA04</t>
  </si>
  <si>
    <t>162300.60</t>
  </si>
  <si>
    <t>-40917.06</t>
  </si>
  <si>
    <t>3709CCA03</t>
  </si>
  <si>
    <t>-40916.81</t>
  </si>
  <si>
    <t>162303.71</t>
  </si>
  <si>
    <t>3709CCA06</t>
  </si>
  <si>
    <t>162299.76</t>
  </si>
  <si>
    <t>-40905.08</t>
  </si>
  <si>
    <t>3709CCA05</t>
  </si>
  <si>
    <t>-40904.84</t>
  </si>
  <si>
    <t>162302.87</t>
  </si>
  <si>
    <t>3709CCA08</t>
  </si>
  <si>
    <t>162298.92</t>
  </si>
  <si>
    <t>-40893.11</t>
  </si>
  <si>
    <t>3709CCA07</t>
  </si>
  <si>
    <t>-40892.86</t>
  </si>
  <si>
    <t>162302.03</t>
  </si>
  <si>
    <t>3709CCA10</t>
  </si>
  <si>
    <t>162297.93</t>
  </si>
  <si>
    <t>-40881.15</t>
  </si>
  <si>
    <t>3709CCA09</t>
  </si>
  <si>
    <t>-40880.91</t>
  </si>
  <si>
    <t>162301.00</t>
  </si>
  <si>
    <t>3709CCA12</t>
  </si>
  <si>
    <t>162296.29</t>
  </si>
  <si>
    <t>-40869.26</t>
  </si>
  <si>
    <t>3709CCA11</t>
  </si>
  <si>
    <t>-40869.04</t>
  </si>
  <si>
    <t>162299.42</t>
  </si>
  <si>
    <t>3709CCA14</t>
  </si>
  <si>
    <t>162293.80</t>
  </si>
  <si>
    <t>-40857.54</t>
  </si>
  <si>
    <t>3709CCA13</t>
  </si>
  <si>
    <t>-40857.30</t>
  </si>
  <si>
    <t>162296.95</t>
  </si>
  <si>
    <t>3709CCA16</t>
  </si>
  <si>
    <t>162290.36</t>
  </si>
  <si>
    <t>-40846.05</t>
  </si>
  <si>
    <t>3709CCA15</t>
  </si>
  <si>
    <t>-40845.79</t>
  </si>
  <si>
    <t>162293.56</t>
  </si>
  <si>
    <t>3709CCA18</t>
  </si>
  <si>
    <t>162286.00</t>
  </si>
  <si>
    <t>-40834.87</t>
  </si>
  <si>
    <t>3709CCA17</t>
  </si>
  <si>
    <t>-40834.58</t>
  </si>
  <si>
    <t>162289.27</t>
  </si>
  <si>
    <t>3709CCA20</t>
  </si>
  <si>
    <t>162280.75</t>
  </si>
  <si>
    <t>-40824.07</t>
  </si>
  <si>
    <t>3709CCA19</t>
  </si>
  <si>
    <t>-40823.75</t>
  </si>
  <si>
    <t>162284.11</t>
  </si>
  <si>
    <t>3709CCA22</t>
  </si>
  <si>
    <t>162274.65</t>
  </si>
  <si>
    <t>-40813.74</t>
  </si>
  <si>
    <t>3709CCA21</t>
  </si>
  <si>
    <t>-40813.36</t>
  </si>
  <si>
    <t>162278.11</t>
  </si>
  <si>
    <t>3709CCA24</t>
  </si>
  <si>
    <t>162267.74</t>
  </si>
  <si>
    <t>-40803.93</t>
  </si>
  <si>
    <t>3709CCA23</t>
  </si>
  <si>
    <t>-40803.47</t>
  </si>
  <si>
    <t>162271.30</t>
  </si>
  <si>
    <t>3709CCA26</t>
  </si>
  <si>
    <t>162260.05</t>
  </si>
  <si>
    <t>-40794.72</t>
  </si>
  <si>
    <t>3709CCA25</t>
  </si>
  <si>
    <t>-40794.16</t>
  </si>
  <si>
    <t>162263.73</t>
  </si>
  <si>
    <t>3709CCA28</t>
  </si>
  <si>
    <t>162251.65</t>
  </si>
  <si>
    <t>-40786.15</t>
  </si>
  <si>
    <t>3709CCA27</t>
  </si>
  <si>
    <t>-40785.47</t>
  </si>
  <si>
    <t>162255.45</t>
  </si>
  <si>
    <t>3709CCA30</t>
  </si>
  <si>
    <t>162242.58</t>
  </si>
  <si>
    <t>-40778.29</t>
  </si>
  <si>
    <t>3709CCA29</t>
  </si>
  <si>
    <t>-40777.47</t>
  </si>
  <si>
    <t>162246.51</t>
  </si>
  <si>
    <t>3709CCA32</t>
  </si>
  <si>
    <t>162232.90</t>
  </si>
  <si>
    <t>-40771.19</t>
  </si>
  <si>
    <t>3709CCA31</t>
  </si>
  <si>
    <t>-40770.20</t>
  </si>
  <si>
    <t>162236.97</t>
  </si>
  <si>
    <t>3709CCA34</t>
  </si>
  <si>
    <t>162225.33</t>
  </si>
  <si>
    <t>-40766.39</t>
  </si>
  <si>
    <t>3709CCA33</t>
  </si>
  <si>
    <t>-40763.68</t>
  </si>
  <si>
    <t>162226.84</t>
  </si>
  <si>
    <t>3709CCA36</t>
  </si>
  <si>
    <t>162214.90</t>
  </si>
  <si>
    <t>-40760.47</t>
  </si>
  <si>
    <t>3709CCA35</t>
  </si>
  <si>
    <t>-40757.75</t>
  </si>
  <si>
    <t>162216.41</t>
  </si>
  <si>
    <t>3709CCA38</t>
  </si>
  <si>
    <t>162204.34</t>
  </si>
  <si>
    <t>-40754.77</t>
  </si>
  <si>
    <t>3709CCA37</t>
  </si>
  <si>
    <t>-40752.08</t>
  </si>
  <si>
    <t>162205.85</t>
  </si>
  <si>
    <t>3709CCA40</t>
  </si>
  <si>
    <t>162193.75</t>
  </si>
  <si>
    <t>-40749.13</t>
  </si>
  <si>
    <t>3709CCA39</t>
  </si>
  <si>
    <t>-40746.43</t>
  </si>
  <si>
    <t>162195.26</t>
  </si>
  <si>
    <t>3709CCA42</t>
  </si>
  <si>
    <t>162183.16</t>
  </si>
  <si>
    <t>-40743.48</t>
  </si>
  <si>
    <t>3709CCA41</t>
  </si>
  <si>
    <t>-40740.78</t>
  </si>
  <si>
    <t>162184.67</t>
  </si>
  <si>
    <t>3709CCA44</t>
  </si>
  <si>
    <t>162172.58</t>
  </si>
  <si>
    <t>-40737.83</t>
  </si>
  <si>
    <t>3709CCA43</t>
  </si>
  <si>
    <t>-40735.13</t>
  </si>
  <si>
    <t>162174.08</t>
  </si>
  <si>
    <t>3709CCA46</t>
  </si>
  <si>
    <t>162161.99</t>
  </si>
  <si>
    <t>-40732.17</t>
  </si>
  <si>
    <t>3709CCA45</t>
  </si>
  <si>
    <t>-40729.48</t>
  </si>
  <si>
    <t>162163.50</t>
  </si>
  <si>
    <t>3709CCA48</t>
  </si>
  <si>
    <t>162151.40</t>
  </si>
  <si>
    <t>-40726.53</t>
  </si>
  <si>
    <t>3709CCA47</t>
  </si>
  <si>
    <t>-40723.83</t>
  </si>
  <si>
    <t>162152.91</t>
  </si>
  <si>
    <t>3709CCA50</t>
  </si>
  <si>
    <t>162140.82</t>
  </si>
  <si>
    <t>-40720.88</t>
  </si>
  <si>
    <t>3709CCA49</t>
  </si>
  <si>
    <t>-40718.18</t>
  </si>
  <si>
    <t>162142.32</t>
  </si>
  <si>
    <t>3709CCA52</t>
  </si>
  <si>
    <t>162130.40</t>
  </si>
  <si>
    <t>-40715.40</t>
  </si>
  <si>
    <t>3709CCA51</t>
  </si>
  <si>
    <t>-40712.70</t>
  </si>
  <si>
    <t>162131.92</t>
  </si>
  <si>
    <t>3709CCA54</t>
  </si>
  <si>
    <t>162124.94</t>
  </si>
  <si>
    <t>-40712.46</t>
  </si>
  <si>
    <t>3709CCA53</t>
  </si>
  <si>
    <t>-40709.76</t>
  </si>
  <si>
    <t>162126.45</t>
  </si>
  <si>
    <t>3709CCA56</t>
  </si>
  <si>
    <t>162114.13</t>
  </si>
  <si>
    <t>-40706.66</t>
  </si>
  <si>
    <t>3709CCA55</t>
  </si>
  <si>
    <t>-40703.96</t>
  </si>
  <si>
    <t>162115.64</t>
  </si>
  <si>
    <t>3709CCA58</t>
  </si>
  <si>
    <t>162103.54</t>
  </si>
  <si>
    <t>-40701.01</t>
  </si>
  <si>
    <t>3709CCA57</t>
  </si>
  <si>
    <t>-40698.29</t>
  </si>
  <si>
    <t>162105.06</t>
  </si>
  <si>
    <t>3709CCA60</t>
  </si>
  <si>
    <t>162092.96</t>
  </si>
  <si>
    <t>-40695.37</t>
  </si>
  <si>
    <t>3709CCA59</t>
  </si>
  <si>
    <t>-40692.66</t>
  </si>
  <si>
    <t>162094.48</t>
  </si>
  <si>
    <t>3709CCA62</t>
  </si>
  <si>
    <t>162082.37</t>
  </si>
  <si>
    <t>-40689.72</t>
  </si>
  <si>
    <t>3709CCA61</t>
  </si>
  <si>
    <t>-40687.01</t>
  </si>
  <si>
    <t>162083.89</t>
  </si>
  <si>
    <t>3709CCA64</t>
  </si>
  <si>
    <t>162071.79</t>
  </si>
  <si>
    <t>-40684.07</t>
  </si>
  <si>
    <t>3709CCA63</t>
  </si>
  <si>
    <t>-40681.37</t>
  </si>
  <si>
    <t>162073.30</t>
  </si>
  <si>
    <t>3709CCA66</t>
  </si>
  <si>
    <t>162061.20</t>
  </si>
  <si>
    <t>-40678.42</t>
  </si>
  <si>
    <t>3709CCA65</t>
  </si>
  <si>
    <t>-40675.72</t>
  </si>
  <si>
    <t>162062.72</t>
  </si>
  <si>
    <t>3709CCA68</t>
  </si>
  <si>
    <t>162050.61</t>
  </si>
  <si>
    <t>-40672.77</t>
  </si>
  <si>
    <t>3709CCA67</t>
  </si>
  <si>
    <t>-40670.07</t>
  </si>
  <si>
    <t>162052.13</t>
  </si>
  <si>
    <t>3709CCA70</t>
  </si>
  <si>
    <t>162040.03</t>
  </si>
  <si>
    <t>-40667.12</t>
  </si>
  <si>
    <t>3709CCA69</t>
  </si>
  <si>
    <t>-40664.42</t>
  </si>
  <si>
    <t>162041.54</t>
  </si>
  <si>
    <t>3709CCA72</t>
  </si>
  <si>
    <t>162029.44</t>
  </si>
  <si>
    <t>-40661.47</t>
  </si>
  <si>
    <t>3709CCA71</t>
  </si>
  <si>
    <t>-40658.77</t>
  </si>
  <si>
    <t>162030.96</t>
  </si>
  <si>
    <t>3709CCA74</t>
  </si>
  <si>
    <t>162018.85</t>
  </si>
  <si>
    <t>-40655.82</t>
  </si>
  <si>
    <t>3709CCA73</t>
  </si>
  <si>
    <t>-40653.12</t>
  </si>
  <si>
    <t>162020.37</t>
  </si>
  <si>
    <t>3709CCA76</t>
  </si>
  <si>
    <t>162008.27</t>
  </si>
  <si>
    <t>-40650.17</t>
  </si>
  <si>
    <t>3709CCA75</t>
  </si>
  <si>
    <t>-40647.47</t>
  </si>
  <si>
    <t>162009.78</t>
  </si>
  <si>
    <t>3709CCA78</t>
  </si>
  <si>
    <t>161997.68</t>
  </si>
  <si>
    <t>-40644.52</t>
  </si>
  <si>
    <t>3709CCA77</t>
  </si>
  <si>
    <t>-40641.82</t>
  </si>
  <si>
    <t>161999.20</t>
  </si>
  <si>
    <t>3709CCA80</t>
  </si>
  <si>
    <t>161987.09</t>
  </si>
  <si>
    <t>-40638.87</t>
  </si>
  <si>
    <t>3709CCA79</t>
  </si>
  <si>
    <t>-40636.17</t>
  </si>
  <si>
    <t>161988.61</t>
  </si>
  <si>
    <t>3709CCA82</t>
  </si>
  <si>
    <t>161976.51</t>
  </si>
  <si>
    <t>-40633.22</t>
  </si>
  <si>
    <t>3709CCA81</t>
  </si>
  <si>
    <t>-40630.52</t>
  </si>
  <si>
    <t>161978.02</t>
  </si>
  <si>
    <t>3709CCA84</t>
  </si>
  <si>
    <t>161965.92</t>
  </si>
  <si>
    <t>-40627.57</t>
  </si>
  <si>
    <t>3709CCA83</t>
  </si>
  <si>
    <t>-40624.87</t>
  </si>
  <si>
    <t>161967.44</t>
  </si>
  <si>
    <t>3709CCA86</t>
  </si>
  <si>
    <t>161955.33</t>
  </si>
  <si>
    <t>-40621.92</t>
  </si>
  <si>
    <t>3709CCA85</t>
  </si>
  <si>
    <t>-40619.22</t>
  </si>
  <si>
    <t>161956.85</t>
  </si>
  <si>
    <t>3709CCA88</t>
  </si>
  <si>
    <t>161944.75</t>
  </si>
  <si>
    <t>-40616.27</t>
  </si>
  <si>
    <t>3709CCA87</t>
  </si>
  <si>
    <t>-40613.57</t>
  </si>
  <si>
    <t>161946.26</t>
  </si>
  <si>
    <t>3709CCA90</t>
  </si>
  <si>
    <t>161934.16</t>
  </si>
  <si>
    <t>-40610.62</t>
  </si>
  <si>
    <t>3709CCA89</t>
  </si>
  <si>
    <t>-40607.92</t>
  </si>
  <si>
    <t>161935.68</t>
  </si>
  <si>
    <t>3709CCA92</t>
  </si>
  <si>
    <t>161923.57</t>
  </si>
  <si>
    <t>-40604.97</t>
  </si>
  <si>
    <t>3709CCA91</t>
  </si>
  <si>
    <t>-40602.27</t>
  </si>
  <si>
    <t>161925.09</t>
  </si>
  <si>
    <t>3709CCA94</t>
  </si>
  <si>
    <t>161912.99</t>
  </si>
  <si>
    <t>-40599.32</t>
  </si>
  <si>
    <t>3709CCA93</t>
  </si>
  <si>
    <t>-40596.62</t>
  </si>
  <si>
    <t>161914.50</t>
  </si>
  <si>
    <t>3709CCA96</t>
  </si>
  <si>
    <t>161902.40</t>
  </si>
  <si>
    <t>-40593.67</t>
  </si>
  <si>
    <t>3709CCA95</t>
  </si>
  <si>
    <t>-40590.97</t>
  </si>
  <si>
    <t>161903.92</t>
  </si>
  <si>
    <t>3709CCA98</t>
  </si>
  <si>
    <t>161891.81</t>
  </si>
  <si>
    <t>-40588.02</t>
  </si>
  <si>
    <t>3709CCA97</t>
  </si>
  <si>
    <t>-40585.32</t>
  </si>
  <si>
    <t>161893.33</t>
  </si>
  <si>
    <t>3709CCA100</t>
  </si>
  <si>
    <t>161881.23</t>
  </si>
  <si>
    <t>-40582.37</t>
  </si>
  <si>
    <t>3709CCA99</t>
  </si>
  <si>
    <t>-40579.67</t>
  </si>
  <si>
    <t>161882.74</t>
  </si>
  <si>
    <t>3709CCA102</t>
  </si>
  <si>
    <t>161870.64</t>
  </si>
  <si>
    <t>-40576.72</t>
  </si>
  <si>
    <t>3709CCA101</t>
  </si>
  <si>
    <t>-40574.02</t>
  </si>
  <si>
    <t>161872.16</t>
  </si>
  <si>
    <t>3709CCA104</t>
  </si>
  <si>
    <t>161860.05</t>
  </si>
  <si>
    <t>-40571.07</t>
  </si>
  <si>
    <t>3709CCA103</t>
  </si>
  <si>
    <t>-40568.37</t>
  </si>
  <si>
    <t>161861.57</t>
  </si>
  <si>
    <t>3709CCA106</t>
  </si>
  <si>
    <t>161849.47</t>
  </si>
  <si>
    <t>-40565.42</t>
  </si>
  <si>
    <t>3709CCA105</t>
  </si>
  <si>
    <t>-40562.72</t>
  </si>
  <si>
    <t>161850.98</t>
  </si>
  <si>
    <t>3709CCA108</t>
  </si>
  <si>
    <t>161838.88</t>
  </si>
  <si>
    <t>-40559.77</t>
  </si>
  <si>
    <t>3709CCA107</t>
  </si>
  <si>
    <t>-40557.07</t>
  </si>
  <si>
    <t>161840.40</t>
  </si>
  <si>
    <t>3709CCA110</t>
  </si>
  <si>
    <t>161828.29</t>
  </si>
  <si>
    <t>-40554.12</t>
  </si>
  <si>
    <t>3709CCA109</t>
  </si>
  <si>
    <t>-40551.42</t>
  </si>
  <si>
    <t>161829.81</t>
  </si>
  <si>
    <t>3709CCA112</t>
  </si>
  <si>
    <t>161817.71</t>
  </si>
  <si>
    <t>-40548.47</t>
  </si>
  <si>
    <t>3709CCA111</t>
  </si>
  <si>
    <t>-40545.77</t>
  </si>
  <si>
    <t>161819.22</t>
  </si>
  <si>
    <t>3709CCA114</t>
  </si>
  <si>
    <t>161807.12</t>
  </si>
  <si>
    <t>-40542.82</t>
  </si>
  <si>
    <t>3709CCA113</t>
  </si>
  <si>
    <t>-40540.12</t>
  </si>
  <si>
    <t>161808.64</t>
  </si>
  <si>
    <t>3709CCA116</t>
  </si>
  <si>
    <t>161796.53</t>
  </si>
  <si>
    <t>-40537.17</t>
  </si>
  <si>
    <t>3709CCA115</t>
  </si>
  <si>
    <t>-40534.47</t>
  </si>
  <si>
    <t>161798.05</t>
  </si>
  <si>
    <t>3709CCA118</t>
  </si>
  <si>
    <t>161786.19</t>
  </si>
  <si>
    <t>-40531.59</t>
  </si>
  <si>
    <t>3709CCA117</t>
  </si>
  <si>
    <t>-40528.89</t>
  </si>
  <si>
    <t>161787.70</t>
  </si>
  <si>
    <t>3709CCA120</t>
  </si>
  <si>
    <t>Cantón 402,2 m</t>
  </si>
  <si>
    <t>161780.93</t>
  </si>
  <si>
    <t>-40528.81</t>
  </si>
  <si>
    <t>3709CCA119</t>
  </si>
  <si>
    <t>-40526.11</t>
  </si>
  <si>
    <t>161782.45</t>
  </si>
  <si>
    <t>Cantón 396 m</t>
  </si>
  <si>
    <t>3709CCA122</t>
  </si>
  <si>
    <t>161770.11</t>
  </si>
  <si>
    <t>-40523.07</t>
  </si>
  <si>
    <t>3709CCA121</t>
  </si>
  <si>
    <t>-40520.37</t>
  </si>
  <si>
    <t>161771.64</t>
  </si>
  <si>
    <t>3709CCA124</t>
  </si>
  <si>
    <t>161759.53</t>
  </si>
  <si>
    <t>-40517.42</t>
  </si>
  <si>
    <t>3709CCA123</t>
  </si>
  <si>
    <t>-40514.71</t>
  </si>
  <si>
    <t>161761.04</t>
  </si>
  <si>
    <t>3709CCA126</t>
  </si>
  <si>
    <t>161748.93</t>
  </si>
  <si>
    <t>-40511.79</t>
  </si>
  <si>
    <t>3709CCA125</t>
  </si>
  <si>
    <t>-40509.09</t>
  </si>
  <si>
    <t>161750.44</t>
  </si>
  <si>
    <t>3709CCA128</t>
  </si>
  <si>
    <t>161739.47</t>
  </si>
  <si>
    <t>-40506.86</t>
  </si>
  <si>
    <t>3709CCA127</t>
  </si>
  <si>
    <t>-40503.56</t>
  </si>
  <si>
    <t>161739.79</t>
  </si>
  <si>
    <t>3709CCA130</t>
  </si>
  <si>
    <t>161728.75</t>
  </si>
  <si>
    <t>-40501.48</t>
  </si>
  <si>
    <t>3709CCA129</t>
  </si>
  <si>
    <t>-40498.20</t>
  </si>
  <si>
    <t>161729.06</t>
  </si>
  <si>
    <t>3709CCA132</t>
  </si>
  <si>
    <t>161717.91</t>
  </si>
  <si>
    <t>-40496.34</t>
  </si>
  <si>
    <t>3709CCA131</t>
  </si>
  <si>
    <t>-40493.09</t>
  </si>
  <si>
    <t>161718.20</t>
  </si>
  <si>
    <t>3709CCA134</t>
  </si>
  <si>
    <t>161706.91</t>
  </si>
  <si>
    <t>-40491.53</t>
  </si>
  <si>
    <t>3709CCA133</t>
  </si>
  <si>
    <t>-40488.32</t>
  </si>
  <si>
    <t>161707.19</t>
  </si>
  <si>
    <t>3709CCA136</t>
  </si>
  <si>
    <t>161695.75</t>
  </si>
  <si>
    <t>-40487.12</t>
  </si>
  <si>
    <t>3709CCA135</t>
  </si>
  <si>
    <t>-40483.93</t>
  </si>
  <si>
    <t>161696.02</t>
  </si>
  <si>
    <t>3709CCA138</t>
  </si>
  <si>
    <t>161684.45</t>
  </si>
  <si>
    <t>-40483.09</t>
  </si>
  <si>
    <t>3709CCA137</t>
  </si>
  <si>
    <t>-40479.93</t>
  </si>
  <si>
    <t>161684.71</t>
  </si>
  <si>
    <t>3709CCA140</t>
  </si>
  <si>
    <t>161673.01</t>
  </si>
  <si>
    <t>-40479.46</t>
  </si>
  <si>
    <t>3709CCA139</t>
  </si>
  <si>
    <t>-40476.32</t>
  </si>
  <si>
    <t>161673.26</t>
  </si>
  <si>
    <t>3709CCA142</t>
  </si>
  <si>
    <t>161661.45</t>
  </si>
  <si>
    <t>-40476.24</t>
  </si>
  <si>
    <t>3709CCA141</t>
  </si>
  <si>
    <t>-40473.12</t>
  </si>
  <si>
    <t>161661.70</t>
  </si>
  <si>
    <t>3709CCA144</t>
  </si>
  <si>
    <t>161649.79</t>
  </si>
  <si>
    <t>-40473.42</t>
  </si>
  <si>
    <t>3709CCA143</t>
  </si>
  <si>
    <t>-40470.31</t>
  </si>
  <si>
    <t>161650.03</t>
  </si>
  <si>
    <t>3709CCA146</t>
  </si>
  <si>
    <t>161638.03</t>
  </si>
  <si>
    <t>-40471.01</t>
  </si>
  <si>
    <t>3709CCA145</t>
  </si>
  <si>
    <t>-40467.92</t>
  </si>
  <si>
    <t>161638.27</t>
  </si>
  <si>
    <t>3709CCA148</t>
  </si>
  <si>
    <t>161626.20</t>
  </si>
  <si>
    <t>-40469.01</t>
  </si>
  <si>
    <t>3709CCA147</t>
  </si>
  <si>
    <t>-40465.93</t>
  </si>
  <si>
    <t>161626.44</t>
  </si>
  <si>
    <t>3709CCA150</t>
  </si>
  <si>
    <t>161614.31</t>
  </si>
  <si>
    <t>-40467.39</t>
  </si>
  <si>
    <t>3709CCA149</t>
  </si>
  <si>
    <t>-40464.32</t>
  </si>
  <si>
    <t>161614.55</t>
  </si>
  <si>
    <t>3709CCA152</t>
  </si>
  <si>
    <t>161602.38</t>
  </si>
  <si>
    <t>-40466.08</t>
  </si>
  <si>
    <t>3709CCA151</t>
  </si>
  <si>
    <t>-40463.01</t>
  </si>
  <si>
    <t>161602.62</t>
  </si>
  <si>
    <t>3709CCA154</t>
  </si>
  <si>
    <t>161590.43</t>
  </si>
  <si>
    <t>-40464.98</t>
  </si>
  <si>
    <t>3709CCA153</t>
  </si>
  <si>
    <t>-40461.91</t>
  </si>
  <si>
    <t>161590.67</t>
  </si>
  <si>
    <t>3709CCA156</t>
  </si>
  <si>
    <t>161578.47</t>
  </si>
  <si>
    <t>-40464.00</t>
  </si>
  <si>
    <t>3709CCA155</t>
  </si>
  <si>
    <t>-40460.93</t>
  </si>
  <si>
    <t>161578.71</t>
  </si>
  <si>
    <t>3709CCA158</t>
  </si>
  <si>
    <t>161566.51</t>
  </si>
  <si>
    <t>-40463.06</t>
  </si>
  <si>
    <t>3709CCA157</t>
  </si>
  <si>
    <t>-40459.98</t>
  </si>
  <si>
    <t>161566.75</t>
  </si>
  <si>
    <t>3709CCA160</t>
  </si>
  <si>
    <t>161554.55</t>
  </si>
  <si>
    <t>-40462.11</t>
  </si>
  <si>
    <t>3709CCA159</t>
  </si>
  <si>
    <t>-40459.04</t>
  </si>
  <si>
    <t>161554.79</t>
  </si>
  <si>
    <t>3709CCA162</t>
  </si>
  <si>
    <t>161542.58</t>
  </si>
  <si>
    <t>-40461.17</t>
  </si>
  <si>
    <t>3709CCA161</t>
  </si>
  <si>
    <t>-40458.09</t>
  </si>
  <si>
    <t>161542.83</t>
  </si>
  <si>
    <t>3709CCA164</t>
  </si>
  <si>
    <t>161530.62</t>
  </si>
  <si>
    <t>-40460.22</t>
  </si>
  <si>
    <t>3709CCA163</t>
  </si>
  <si>
    <t>-40457.15</t>
  </si>
  <si>
    <t>161530.86</t>
  </si>
  <si>
    <t>3709CCA166</t>
  </si>
  <si>
    <t>161518.66</t>
  </si>
  <si>
    <t>-40459.28</t>
  </si>
  <si>
    <t>3709CCA165</t>
  </si>
  <si>
    <t>-40456.20</t>
  </si>
  <si>
    <t>161518.90</t>
  </si>
  <si>
    <t>3709CCA168</t>
  </si>
  <si>
    <t>161506.69</t>
  </si>
  <si>
    <t>-40458.33</t>
  </si>
  <si>
    <t>3709CCA167</t>
  </si>
  <si>
    <t>-40455.26</t>
  </si>
  <si>
    <t>161506.94</t>
  </si>
  <si>
    <t>3709CCA170</t>
  </si>
  <si>
    <t>161494.73</t>
  </si>
  <si>
    <t>-40457.39</t>
  </si>
  <si>
    <t>3709CCA169</t>
  </si>
  <si>
    <t>-40454.31</t>
  </si>
  <si>
    <t>161494.97</t>
  </si>
  <si>
    <t>3709CCA172</t>
  </si>
  <si>
    <t>161482.77</t>
  </si>
  <si>
    <t>-40456.44</t>
  </si>
  <si>
    <t>3709CCA171</t>
  </si>
  <si>
    <t>-40453.37</t>
  </si>
  <si>
    <t>161483.01</t>
  </si>
  <si>
    <t>3709CCA174</t>
  </si>
  <si>
    <t>161470.81</t>
  </si>
  <si>
    <t>-40455.50</t>
  </si>
  <si>
    <t>3709CCA173</t>
  </si>
  <si>
    <t>-40452.42</t>
  </si>
  <si>
    <t>161471.05</t>
  </si>
  <si>
    <t>3709CCA176</t>
  </si>
  <si>
    <t>161458.84</t>
  </si>
  <si>
    <t>-40454.55</t>
  </si>
  <si>
    <t>3709CCA175</t>
  </si>
  <si>
    <t>-40451.48</t>
  </si>
  <si>
    <t>161459.09</t>
  </si>
  <si>
    <t>3709CCA178</t>
  </si>
  <si>
    <t>161446.88</t>
  </si>
  <si>
    <t>-40453.59</t>
  </si>
  <si>
    <t>3709CCA177</t>
  </si>
  <si>
    <t>-40450.51</t>
  </si>
  <si>
    <t>161447.13</t>
  </si>
  <si>
    <t>3709CCA180</t>
  </si>
  <si>
    <t>161439.43</t>
  </si>
  <si>
    <t>-40453.03</t>
  </si>
  <si>
    <t>3709CCA179</t>
  </si>
  <si>
    <t>-40449.97</t>
  </si>
  <si>
    <t>161440.19</t>
  </si>
  <si>
    <t>3709CCA182</t>
  </si>
  <si>
    <t>161432.03</t>
  </si>
  <si>
    <t>-40452.43</t>
  </si>
  <si>
    <t>3709CCA181</t>
  </si>
  <si>
    <t>-40449.84</t>
  </si>
  <si>
    <t>161438,53</t>
  </si>
  <si>
    <t>3709CCA182.Bis</t>
  </si>
  <si>
    <t>161427.48</t>
  </si>
  <si>
    <t>-40451.32</t>
  </si>
  <si>
    <t>3709CCA181.Bis</t>
  </si>
  <si>
    <t>161436.84</t>
  </si>
  <si>
    <t>3709CCA184</t>
  </si>
  <si>
    <t>161425.80</t>
  </si>
  <si>
    <t>-40451.94</t>
  </si>
  <si>
    <t>3709CCA183</t>
  </si>
  <si>
    <t>-40449.34</t>
  </si>
  <si>
    <t>161432.28</t>
  </si>
  <si>
    <t>3709CCA186</t>
  </si>
  <si>
    <t>161424.14</t>
  </si>
  <si>
    <t>3709CCA186_</t>
  </si>
  <si>
    <t>3709CCA185</t>
  </si>
  <si>
    <t>-40448.75</t>
  </si>
  <si>
    <t>161424.82</t>
  </si>
  <si>
    <t>3709CCA188</t>
  </si>
  <si>
    <t>161417.18</t>
  </si>
  <si>
    <t>-40451.26</t>
  </si>
  <si>
    <t>3709CCA187</t>
  </si>
  <si>
    <t>-40448.17</t>
  </si>
  <si>
    <t>161417.42</t>
  </si>
  <si>
    <t>3709CCA190</t>
  </si>
  <si>
    <t>161405.21</t>
  </si>
  <si>
    <t>-40450.32</t>
  </si>
  <si>
    <t>3709CCA189</t>
  </si>
  <si>
    <t>-40447.22</t>
  </si>
  <si>
    <t>161405.46</t>
  </si>
  <si>
    <t>3709CCA192</t>
  </si>
  <si>
    <t>Cantón 392,6 m</t>
  </si>
  <si>
    <t>161399.03</t>
  </si>
  <si>
    <t>-40449.83</t>
  </si>
  <si>
    <t>3709CCA191</t>
  </si>
  <si>
    <t>-40446.73</t>
  </si>
  <si>
    <t>161399.28</t>
  </si>
  <si>
    <t>3709CCA194</t>
  </si>
  <si>
    <t>161387.07</t>
  </si>
  <si>
    <t>-40448.88</t>
  </si>
  <si>
    <t>3709CCA193</t>
  </si>
  <si>
    <t>-40445.78</t>
  </si>
  <si>
    <t>161387.31</t>
  </si>
  <si>
    <t>3709CCA196</t>
  </si>
  <si>
    <t>161375.10</t>
  </si>
  <si>
    <t>-40447.93</t>
  </si>
  <si>
    <t>3709CCA195</t>
  </si>
  <si>
    <t>-40444.84</t>
  </si>
  <si>
    <t>161375.35</t>
  </si>
  <si>
    <t>3709CCA198</t>
  </si>
  <si>
    <t>161363.14</t>
  </si>
  <si>
    <t>-40446.99</t>
  </si>
  <si>
    <t>3709CCA197</t>
  </si>
  <si>
    <t>-40443.89</t>
  </si>
  <si>
    <t>161363.39</t>
  </si>
  <si>
    <t>3709CCA200</t>
  </si>
  <si>
    <t>161351.18</t>
  </si>
  <si>
    <t>-40446.04</t>
  </si>
  <si>
    <t>3709CCA199</t>
  </si>
  <si>
    <t>-40442.95</t>
  </si>
  <si>
    <t>161351.43</t>
  </si>
  <si>
    <t>Inic. Estação Soares Dos Reis (05+410)</t>
  </si>
  <si>
    <t>3710CCA02</t>
  </si>
  <si>
    <t>161339.22</t>
  </si>
  <si>
    <t>-40445.10</t>
  </si>
  <si>
    <t>3710CCA01</t>
  </si>
  <si>
    <t>-40442.00</t>
  </si>
  <si>
    <t>161339.46</t>
  </si>
  <si>
    <t>3710CCA04</t>
  </si>
  <si>
    <t>161327.25</t>
  </si>
  <si>
    <t>-40444.16</t>
  </si>
  <si>
    <t>3710CCA03</t>
  </si>
  <si>
    <t>-40441.06</t>
  </si>
  <si>
    <t>161327.50</t>
  </si>
  <si>
    <t>3710CCA06</t>
  </si>
  <si>
    <t>161315.29</t>
  </si>
  <si>
    <t>-40443.21</t>
  </si>
  <si>
    <t>3710CCA05</t>
  </si>
  <si>
    <t>-40440.12</t>
  </si>
  <si>
    <t>161315.54</t>
  </si>
  <si>
    <t>3710CCA08</t>
  </si>
  <si>
    <t>161303.33</t>
  </si>
  <si>
    <t>-40442.27</t>
  </si>
  <si>
    <t>3710CCA07</t>
  </si>
  <si>
    <t>-40439.17</t>
  </si>
  <si>
    <t>161303.57</t>
  </si>
  <si>
    <t>3710CCA10</t>
  </si>
  <si>
    <t>161291.37</t>
  </si>
  <si>
    <t>-40441.32</t>
  </si>
  <si>
    <t>3710CCA09</t>
  </si>
  <si>
    <t>-40438.23</t>
  </si>
  <si>
    <t>161291.61</t>
  </si>
  <si>
    <t>3710CCA12</t>
  </si>
  <si>
    <t>161279.40</t>
  </si>
  <si>
    <t>-40440.38</t>
  </si>
  <si>
    <t>3710CCA11</t>
  </si>
  <si>
    <t>-40437.28</t>
  </si>
  <si>
    <t>161279.65</t>
  </si>
  <si>
    <t>3710CCA14</t>
  </si>
  <si>
    <t>161267.44</t>
  </si>
  <si>
    <t>-40439.43</t>
  </si>
  <si>
    <t>3710CCA13</t>
  </si>
  <si>
    <t>-40436.34</t>
  </si>
  <si>
    <t>161267.69</t>
  </si>
  <si>
    <t>3710CCA16</t>
  </si>
  <si>
    <t>161255.48</t>
  </si>
  <si>
    <t>-40438.49</t>
  </si>
  <si>
    <t>3710CCA15</t>
  </si>
  <si>
    <t>-40435.39</t>
  </si>
  <si>
    <t>161255.72</t>
  </si>
  <si>
    <t>3710CCA18</t>
  </si>
  <si>
    <t>161243.51</t>
  </si>
  <si>
    <t>-40437.54</t>
  </si>
  <si>
    <t>3710CCA17</t>
  </si>
  <si>
    <t>-40434.45</t>
  </si>
  <si>
    <t>161243.76</t>
  </si>
  <si>
    <t>Fin. Estação Soares Dos Reis (05+519)</t>
  </si>
  <si>
    <t>3711CCA02</t>
  </si>
  <si>
    <t>161231.55</t>
  </si>
  <si>
    <t>-40436.60</t>
  </si>
  <si>
    <t>3711CCA01</t>
  </si>
  <si>
    <t>-40433.50</t>
  </si>
  <si>
    <t>161231.80</t>
  </si>
  <si>
    <t>3711CCA04</t>
  </si>
  <si>
    <t>161219.60</t>
  </si>
  <si>
    <t>-40435.53</t>
  </si>
  <si>
    <t>3711CCA03</t>
  </si>
  <si>
    <t>-40432.43</t>
  </si>
  <si>
    <t>161219.85</t>
  </si>
  <si>
    <t>3711CCA06</t>
  </si>
  <si>
    <t>161207.70</t>
  </si>
  <si>
    <t>-40433.98</t>
  </si>
  <si>
    <t>3711CCA05</t>
  </si>
  <si>
    <t>-40430.87</t>
  </si>
  <si>
    <t>161207.95</t>
  </si>
  <si>
    <t>3711CCA08</t>
  </si>
  <si>
    <t>161195.92</t>
  </si>
  <si>
    <t>-40431.68</t>
  </si>
  <si>
    <t>3711CCA07</t>
  </si>
  <si>
    <t>-40428.55</t>
  </si>
  <si>
    <t>161196.17</t>
  </si>
  <si>
    <t>3711CCA10</t>
  </si>
  <si>
    <t>161184.32</t>
  </si>
  <si>
    <t>-40428.61</t>
  </si>
  <si>
    <t>3711CCA09</t>
  </si>
  <si>
    <t>-40425.45</t>
  </si>
  <si>
    <t>161184.58</t>
  </si>
  <si>
    <t>3711CCA12</t>
  </si>
  <si>
    <t>161172.95</t>
  </si>
  <si>
    <t>-40424.78</t>
  </si>
  <si>
    <t>3711CCA11</t>
  </si>
  <si>
    <t>-40421.57</t>
  </si>
  <si>
    <t>161173.23</t>
  </si>
  <si>
    <t>3711CCA14</t>
  </si>
  <si>
    <t>161161.85</t>
  </si>
  <si>
    <t>-40420.21</t>
  </si>
  <si>
    <t>3711CCA13</t>
  </si>
  <si>
    <t>-40416.94</t>
  </si>
  <si>
    <t>161162.16</t>
  </si>
  <si>
    <t>3711CCA16</t>
  </si>
  <si>
    <t>161151.09</t>
  </si>
  <si>
    <t>-40414.91</t>
  </si>
  <si>
    <t>3711CCA15</t>
  </si>
  <si>
    <t>-40411.57</t>
  </si>
  <si>
    <t>161151.42</t>
  </si>
  <si>
    <t>3711CCA18</t>
  </si>
  <si>
    <t>161140.69</t>
  </si>
  <si>
    <t>-40408.92</t>
  </si>
  <si>
    <t>3711CCA17</t>
  </si>
  <si>
    <t>-40405.50</t>
  </si>
  <si>
    <t>161141.07</t>
  </si>
  <si>
    <t>3711CCA20</t>
  </si>
  <si>
    <t>161130.71</t>
  </si>
  <si>
    <t>-40402.25</t>
  </si>
  <si>
    <t>3711CCA19</t>
  </si>
  <si>
    <t>-40398.74</t>
  </si>
  <si>
    <t>161131.16</t>
  </si>
  <si>
    <t>3711CCA22</t>
  </si>
  <si>
    <t>161121.20</t>
  </si>
  <si>
    <t>-40394.94</t>
  </si>
  <si>
    <t>3711CCA21</t>
  </si>
  <si>
    <t>-40391.33</t>
  </si>
  <si>
    <t>161121.72</t>
  </si>
  <si>
    <t>3711CCA24</t>
  </si>
  <si>
    <t>161112.19</t>
  </si>
  <si>
    <t>-40387.02</t>
  </si>
  <si>
    <t>3711CCA23</t>
  </si>
  <si>
    <t>-40383.30</t>
  </si>
  <si>
    <t>161112.80</t>
  </si>
  <si>
    <t>3711CCA26</t>
  </si>
  <si>
    <t>161103.72</t>
  </si>
  <si>
    <t>-40378.51</t>
  </si>
  <si>
    <t>3711CCA25</t>
  </si>
  <si>
    <t>-40374.70</t>
  </si>
  <si>
    <t>161104.43</t>
  </si>
  <si>
    <t>3711CCA28</t>
  </si>
  <si>
    <t>161095.83</t>
  </si>
  <si>
    <t>-40369.46</t>
  </si>
  <si>
    <t>3711CCA27</t>
  </si>
  <si>
    <t>-40365.55</t>
  </si>
  <si>
    <t>161096.67</t>
  </si>
  <si>
    <t>3711CCA30</t>
  </si>
  <si>
    <t>161088.55</t>
  </si>
  <si>
    <t>-40359.93</t>
  </si>
  <si>
    <t>3711CCA29</t>
  </si>
  <si>
    <t>-40355.93</t>
  </si>
  <si>
    <t>161089.49</t>
  </si>
  <si>
    <t>3711CCA32</t>
  </si>
  <si>
    <t>161082.23</t>
  </si>
  <si>
    <t>-40350.93</t>
  </si>
  <si>
    <t>3711CCA31</t>
  </si>
  <si>
    <t>-40349.17</t>
  </si>
  <si>
    <t>161084.79</t>
  </si>
  <si>
    <t>3711CCA34</t>
  </si>
  <si>
    <t>161075.47</t>
  </si>
  <si>
    <t>-40341.01</t>
  </si>
  <si>
    <t>3711CCA33</t>
  </si>
  <si>
    <t>-40339.26</t>
  </si>
  <si>
    <t>161078.03</t>
  </si>
  <si>
    <t>3711CCA36</t>
  </si>
  <si>
    <t>161068.71</t>
  </si>
  <si>
    <t>-40331.10</t>
  </si>
  <si>
    <t>3711CCA35</t>
  </si>
  <si>
    <t>-40329.34</t>
  </si>
  <si>
    <t>161071.27</t>
  </si>
  <si>
    <t>3711CCA38</t>
  </si>
  <si>
    <t>Cantón 360,4 m</t>
  </si>
  <si>
    <t>161065.22</t>
  </si>
  <si>
    <t>-40325.97</t>
  </si>
  <si>
    <t>3711CCA37</t>
  </si>
  <si>
    <t>-40324.22</t>
  </si>
  <si>
    <t>161067.78</t>
  </si>
  <si>
    <t>3711CCA40</t>
  </si>
  <si>
    <t>161058.46</t>
  </si>
  <si>
    <t>-40316.06</t>
  </si>
  <si>
    <t>3711CCA39</t>
  </si>
  <si>
    <t>-40314.30</t>
  </si>
  <si>
    <t>161061.02</t>
  </si>
  <si>
    <t>3711CCA42</t>
  </si>
  <si>
    <t>161051.70</t>
  </si>
  <si>
    <t>-40306.14</t>
  </si>
  <si>
    <t>3711CCA41</t>
  </si>
  <si>
    <t>-40304.39</t>
  </si>
  <si>
    <t>161054.26</t>
  </si>
  <si>
    <t>3711CCA44</t>
  </si>
  <si>
    <t>161044.95</t>
  </si>
  <si>
    <t>-40296.22</t>
  </si>
  <si>
    <t>3711CCA43</t>
  </si>
  <si>
    <t>-40294.47</t>
  </si>
  <si>
    <t>161047.50</t>
  </si>
  <si>
    <t>3711CCA46</t>
  </si>
  <si>
    <t>161038.19</t>
  </si>
  <si>
    <t>-40286.31</t>
  </si>
  <si>
    <t>3711CCA45</t>
  </si>
  <si>
    <t>-40284.55</t>
  </si>
  <si>
    <t>161040.75</t>
  </si>
  <si>
    <t>3711CCA48</t>
  </si>
  <si>
    <t>161031.43</t>
  </si>
  <si>
    <t>-40276.39</t>
  </si>
  <si>
    <t>3711CCA47</t>
  </si>
  <si>
    <t>-40274.64</t>
  </si>
  <si>
    <t>161033.99</t>
  </si>
  <si>
    <t>3711CCA50</t>
  </si>
  <si>
    <t>161024.68</t>
  </si>
  <si>
    <t>-40266.47</t>
  </si>
  <si>
    <t>3711CCA49</t>
  </si>
  <si>
    <t>-40264.72</t>
  </si>
  <si>
    <t>161027.23</t>
  </si>
  <si>
    <t>3711CCA52</t>
  </si>
  <si>
    <t>161017.92</t>
  </si>
  <si>
    <t>-40256.56</t>
  </si>
  <si>
    <t>3711CCA51</t>
  </si>
  <si>
    <t>-40254.80</t>
  </si>
  <si>
    <t>161020.48</t>
  </si>
  <si>
    <t>3711CCA54</t>
  </si>
  <si>
    <t>161011.16</t>
  </si>
  <si>
    <t>-40246.64</t>
  </si>
  <si>
    <t>3711CCA53</t>
  </si>
  <si>
    <t>-40244.89</t>
  </si>
  <si>
    <t>161013.72</t>
  </si>
  <si>
    <t>3711CCA56</t>
  </si>
  <si>
    <t>161004.40</t>
  </si>
  <si>
    <t>-40236.72</t>
  </si>
  <si>
    <t>3711CCA55</t>
  </si>
  <si>
    <t>-40234.97</t>
  </si>
  <si>
    <t>161006.96</t>
  </si>
  <si>
    <t>3711CCA58</t>
  </si>
  <si>
    <t>160997.64</t>
  </si>
  <si>
    <t>-40226.81</t>
  </si>
  <si>
    <t>3711CCA57</t>
  </si>
  <si>
    <t>-40225.06</t>
  </si>
  <si>
    <t>161000.20</t>
  </si>
  <si>
    <t>3711CCA60</t>
  </si>
  <si>
    <t>160990.89</t>
  </si>
  <si>
    <t>-40216.89</t>
  </si>
  <si>
    <t>3711CCA59</t>
  </si>
  <si>
    <t>-40215.14</t>
  </si>
  <si>
    <t>160993.44</t>
  </si>
  <si>
    <t>3711CCA62</t>
  </si>
  <si>
    <t>160984.13</t>
  </si>
  <si>
    <t>-40206.98</t>
  </si>
  <si>
    <t>3711CCA61</t>
  </si>
  <si>
    <t>-40205.22</t>
  </si>
  <si>
    <t>160986.68</t>
  </si>
  <si>
    <t>3711CCA64</t>
  </si>
  <si>
    <t>160977.38</t>
  </si>
  <si>
    <t>-40197.06</t>
  </si>
  <si>
    <t>3711CCA63</t>
  </si>
  <si>
    <t>-40195.30</t>
  </si>
  <si>
    <t>160979.93</t>
  </si>
  <si>
    <t>3711CCA66</t>
  </si>
  <si>
    <t>160970.62</t>
  </si>
  <si>
    <t>-40187.14</t>
  </si>
  <si>
    <t>3711CCA65</t>
  </si>
  <si>
    <t>-40185.39</t>
  </si>
  <si>
    <t>160973.18</t>
  </si>
  <si>
    <t>3711CCA68</t>
  </si>
  <si>
    <t>160963.86</t>
  </si>
  <si>
    <t>-40177.22</t>
  </si>
  <si>
    <t>3711CCA67</t>
  </si>
  <si>
    <t>-40175.47</t>
  </si>
  <si>
    <t>160966.42</t>
  </si>
  <si>
    <t>3711CCA70</t>
  </si>
  <si>
    <t>160957.11</t>
  </si>
  <si>
    <t>-40167.31</t>
  </si>
  <si>
    <t>3711CCA69</t>
  </si>
  <si>
    <t>-40165.55</t>
  </si>
  <si>
    <t>160959.66</t>
  </si>
  <si>
    <t>3711CCA72</t>
  </si>
  <si>
    <t>160950.35</t>
  </si>
  <si>
    <t>-40157.39</t>
  </si>
  <si>
    <t>3711CCA71</t>
  </si>
  <si>
    <t>-40155.64</t>
  </si>
  <si>
    <t>160952.90</t>
  </si>
  <si>
    <t>3711CCA74</t>
  </si>
  <si>
    <t>160943.58</t>
  </si>
  <si>
    <t>-40147.46</t>
  </si>
  <si>
    <t>3711CCA73</t>
  </si>
  <si>
    <t>-40145.71</t>
  </si>
  <si>
    <t>160946.14</t>
  </si>
  <si>
    <t>3711CCA76</t>
  </si>
  <si>
    <t>160936.71</t>
  </si>
  <si>
    <t>-40137.62</t>
  </si>
  <si>
    <t>3711CCA75</t>
  </si>
  <si>
    <t>-40135.87</t>
  </si>
  <si>
    <t>160939.27</t>
  </si>
  <si>
    <t>3711CCA78</t>
  </si>
  <si>
    <t>160929.68</t>
  </si>
  <si>
    <t>-40127.90</t>
  </si>
  <si>
    <t>3711CCA77</t>
  </si>
  <si>
    <t>-40126.14</t>
  </si>
  <si>
    <t>160932.24</t>
  </si>
  <si>
    <t>3711CCA80</t>
  </si>
  <si>
    <t>160922.41</t>
  </si>
  <si>
    <t>-40118.35</t>
  </si>
  <si>
    <t>3711CCA79</t>
  </si>
  <si>
    <t>-40116.59</t>
  </si>
  <si>
    <t>160924.98</t>
  </si>
  <si>
    <t>3711CCA82</t>
  </si>
  <si>
    <t>160914.92</t>
  </si>
  <si>
    <t>-40108.97</t>
  </si>
  <si>
    <t>3711CCA81</t>
  </si>
  <si>
    <t>-40107.21</t>
  </si>
  <si>
    <t>160917.49</t>
  </si>
  <si>
    <t>3711CCA84</t>
  </si>
  <si>
    <t>160907.21</t>
  </si>
  <si>
    <t>-40099.78</t>
  </si>
  <si>
    <t>3711CCA83</t>
  </si>
  <si>
    <t>-40098.02</t>
  </si>
  <si>
    <t>160909.78</t>
  </si>
  <si>
    <t>3711CCA86</t>
  </si>
  <si>
    <t>160899.27</t>
  </si>
  <si>
    <t>-40090.78</t>
  </si>
  <si>
    <t>3711CCA85</t>
  </si>
  <si>
    <t>-40089.01</t>
  </si>
  <si>
    <t>160901.85</t>
  </si>
  <si>
    <t>3711CCA88</t>
  </si>
  <si>
    <t>160891.12</t>
  </si>
  <si>
    <t>-40081.97</t>
  </si>
  <si>
    <t>3711CCA87</t>
  </si>
  <si>
    <t>-40080.19</t>
  </si>
  <si>
    <t>160893.71</t>
  </si>
  <si>
    <t>3711CCA90</t>
  </si>
  <si>
    <t>160882.76</t>
  </si>
  <si>
    <t>-40073.36</t>
  </si>
  <si>
    <t>3711CCA89</t>
  </si>
  <si>
    <t>-40071.57</t>
  </si>
  <si>
    <t>160885.36</t>
  </si>
  <si>
    <t>3711CCA92</t>
  </si>
  <si>
    <t>160874.24</t>
  </si>
  <si>
    <t>-40064.91</t>
  </si>
  <si>
    <t>3711CCA91</t>
  </si>
  <si>
    <t>-40063.13</t>
  </si>
  <si>
    <t>160876.85</t>
  </si>
  <si>
    <t>3711CCA94</t>
  </si>
  <si>
    <t>160865.63</t>
  </si>
  <si>
    <t>-40056.55</t>
  </si>
  <si>
    <t>3711CCA93</t>
  </si>
  <si>
    <t>-40054.77</t>
  </si>
  <si>
    <t>160868.24</t>
  </si>
  <si>
    <t>3711CCA96</t>
  </si>
  <si>
    <t>160857.01</t>
  </si>
  <si>
    <t>-40048.21</t>
  </si>
  <si>
    <t>3711CCA95</t>
  </si>
  <si>
    <t>-40046.42</t>
  </si>
  <si>
    <t>160859.62</t>
  </si>
  <si>
    <t>3711CCA98</t>
  </si>
  <si>
    <t>160848.39</t>
  </si>
  <si>
    <t>-40039.86</t>
  </si>
  <si>
    <t>3711CCA97</t>
  </si>
  <si>
    <t>-40038.07</t>
  </si>
  <si>
    <t>160851.00</t>
  </si>
  <si>
    <t>3711CCA100</t>
  </si>
  <si>
    <t>Cantón 249,6 m</t>
  </si>
  <si>
    <t>160843.93</t>
  </si>
  <si>
    <t>-40035.55</t>
  </si>
  <si>
    <t>3711CCA99</t>
  </si>
  <si>
    <t>-40033.76</t>
  </si>
  <si>
    <t>160846.54</t>
  </si>
  <si>
    <t>Cantión 248,4 m</t>
  </si>
  <si>
    <t>3711CCA102</t>
  </si>
  <si>
    <t>160835.36</t>
  </si>
  <si>
    <t>-40027.15</t>
  </si>
  <si>
    <t>3711CCA101</t>
  </si>
  <si>
    <t>-40025.36</t>
  </si>
  <si>
    <t>160837.98</t>
  </si>
  <si>
    <t>3711CCA104</t>
  </si>
  <si>
    <t>160827.19</t>
  </si>
  <si>
    <t>-40018.36</t>
  </si>
  <si>
    <t>3711CCA103</t>
  </si>
  <si>
    <t>-40016.60</t>
  </si>
  <si>
    <t>160829.78</t>
  </si>
  <si>
    <t>3711CCA106</t>
  </si>
  <si>
    <t>160819.81</t>
  </si>
  <si>
    <t>-40008.90</t>
  </si>
  <si>
    <t>3711CCA105</t>
  </si>
  <si>
    <t>-40007.14</t>
  </si>
  <si>
    <t>160822.39</t>
  </si>
  <si>
    <t>3711CCA108</t>
  </si>
  <si>
    <t>160813.41</t>
  </si>
  <si>
    <t>-39998.75</t>
  </si>
  <si>
    <t>3711CCA107</t>
  </si>
  <si>
    <t>-39996.99</t>
  </si>
  <si>
    <t>160815.99</t>
  </si>
  <si>
    <t>3711CCA110</t>
  </si>
  <si>
    <t>160808.03</t>
  </si>
  <si>
    <t>-39988.02</t>
  </si>
  <si>
    <t>3711CCA109</t>
  </si>
  <si>
    <t>-39986.69</t>
  </si>
  <si>
    <t>160810.92</t>
  </si>
  <si>
    <t>3711CCA112</t>
  </si>
  <si>
    <t>160803.74</t>
  </si>
  <si>
    <t>-39976.81</t>
  </si>
  <si>
    <t>3711CCA111</t>
  </si>
  <si>
    <t>-39975.69</t>
  </si>
  <si>
    <t>160806.66</t>
  </si>
  <si>
    <t>3711CCA114</t>
  </si>
  <si>
    <t>160800.44</t>
  </si>
  <si>
    <t>-39965.28</t>
  </si>
  <si>
    <t>3711CCA113</t>
  </si>
  <si>
    <t>-39964.49</t>
  </si>
  <si>
    <t>160803.49</t>
  </si>
  <si>
    <t>3711CCA116</t>
  </si>
  <si>
    <t>160797.92</t>
  </si>
  <si>
    <t>-39954.36</t>
  </si>
  <si>
    <t>3711CCA115</t>
  </si>
  <si>
    <t>-39953.64</t>
  </si>
  <si>
    <t>160801.22</t>
  </si>
  <si>
    <t>3711CCA118</t>
  </si>
  <si>
    <t>C863-B</t>
  </si>
  <si>
    <t>160796.24</t>
  </si>
  <si>
    <t>-39946.52</t>
  </si>
  <si>
    <t>3711CCA117</t>
  </si>
  <si>
    <t>-39945.81</t>
  </si>
  <si>
    <t>160799.57</t>
  </si>
  <si>
    <t>3711CCA120</t>
  </si>
  <si>
    <t>C859-B</t>
  </si>
  <si>
    <t>160794.67</t>
  </si>
  <si>
    <t>-39939.05</t>
  </si>
  <si>
    <t>3711CCA119</t>
  </si>
  <si>
    <t>-39938.35</t>
  </si>
  <si>
    <t>160797.99</t>
  </si>
  <si>
    <t>3711CCA122_</t>
  </si>
  <si>
    <t>C860-B_</t>
  </si>
  <si>
    <t>160793.55</t>
  </si>
  <si>
    <t>-39932.31</t>
  </si>
  <si>
    <t>3711CCA121_</t>
  </si>
  <si>
    <t>-39931.73</t>
  </si>
  <si>
    <t>160796.28</t>
  </si>
  <si>
    <t>3711CCA124_</t>
  </si>
  <si>
    <t>160793.41</t>
  </si>
  <si>
    <t>-39930.70</t>
  </si>
  <si>
    <t>3711CCA123_</t>
  </si>
  <si>
    <t>-39930.20</t>
  </si>
  <si>
    <t>160795.76</t>
  </si>
  <si>
    <t>3711CCA128</t>
  </si>
  <si>
    <t>160791.40</t>
  </si>
  <si>
    <t>-39923.61</t>
  </si>
  <si>
    <t>3711CCA127</t>
  </si>
  <si>
    <t>-39922.90</t>
  </si>
  <si>
    <t>160794.72</t>
  </si>
  <si>
    <t>3711CCA132_</t>
  </si>
  <si>
    <t>160790.36</t>
  </si>
  <si>
    <t>-39916.30</t>
  </si>
  <si>
    <t>3711CCA131_</t>
  </si>
  <si>
    <t>-39915.81</t>
  </si>
  <si>
    <t>160792.71</t>
  </si>
  <si>
    <t>3711CCA134_</t>
  </si>
  <si>
    <t>160789.83</t>
  </si>
  <si>
    <t>-39914.78</t>
  </si>
  <si>
    <t>3711CCA133_</t>
  </si>
  <si>
    <t>-39914.20</t>
  </si>
  <si>
    <t>160792.57</t>
  </si>
  <si>
    <t>3711CCA136</t>
  </si>
  <si>
    <t>160787.93</t>
  </si>
  <si>
    <t>-39906.53</t>
  </si>
  <si>
    <t>3711CCA135</t>
  </si>
  <si>
    <t>-39905.89</t>
  </si>
  <si>
    <t>160790.97</t>
  </si>
  <si>
    <t>Inic. Estação Santo Ovídio (06+244)</t>
  </si>
  <si>
    <t>3712CCA02</t>
  </si>
  <si>
    <t>160785.56</t>
  </si>
  <si>
    <t>-39895.34</t>
  </si>
  <si>
    <t>3712CCA01</t>
  </si>
  <si>
    <t>-39894.70</t>
  </si>
  <si>
    <t>160788.59</t>
  </si>
  <si>
    <t>3712CCA04</t>
  </si>
  <si>
    <t>160783.20</t>
  </si>
  <si>
    <t>-39884.16</t>
  </si>
  <si>
    <t>3712CCA03</t>
  </si>
  <si>
    <t>-39883.54</t>
  </si>
  <si>
    <t>160786.24</t>
  </si>
  <si>
    <t>3712CCA06</t>
  </si>
  <si>
    <t>160780.68</t>
  </si>
  <si>
    <t>-39872.94</t>
  </si>
  <si>
    <t>3712CCA05</t>
  </si>
  <si>
    <t>-39872.24</t>
  </si>
  <si>
    <t>160784.00</t>
  </si>
  <si>
    <t>3712CCA08</t>
  </si>
  <si>
    <t>160778.19</t>
  </si>
  <si>
    <t>-39861.20</t>
  </si>
  <si>
    <t>3712CCA07</t>
  </si>
  <si>
    <t>-39860.50</t>
  </si>
  <si>
    <t>160781.52</t>
  </si>
  <si>
    <t>3712CCA10</t>
  </si>
  <si>
    <t>160775.71</t>
  </si>
  <si>
    <t>-39849.46</t>
  </si>
  <si>
    <t>3712CCA09</t>
  </si>
  <si>
    <t>-39848.76</t>
  </si>
  <si>
    <t>160779.03</t>
  </si>
  <si>
    <t>3712CCA12</t>
  </si>
  <si>
    <t>160773.22</t>
  </si>
  <si>
    <t>-39837.72</t>
  </si>
  <si>
    <t>3712CCA11</t>
  </si>
  <si>
    <t>-39837.02</t>
  </si>
  <si>
    <t>160776.55</t>
  </si>
  <si>
    <t>3712CCA14</t>
  </si>
  <si>
    <t>160770.74</t>
  </si>
  <si>
    <t>-39825.98</t>
  </si>
  <si>
    <t>3712CCA13</t>
  </si>
  <si>
    <t>-39825.28</t>
  </si>
  <si>
    <t>160774.06</t>
  </si>
  <si>
    <t>3712CCA16</t>
  </si>
  <si>
    <t>160768.25</t>
  </si>
  <si>
    <t>-39814.24</t>
  </si>
  <si>
    <t>3712CCA15</t>
  </si>
  <si>
    <t>-39813.54</t>
  </si>
  <si>
    <t>160771.58</t>
  </si>
  <si>
    <t>3712CCA18</t>
  </si>
  <si>
    <t>160766.62</t>
  </si>
  <si>
    <t>-39806.41</t>
  </si>
  <si>
    <t>3712CCA17</t>
  </si>
  <si>
    <t>-39805.71</t>
  </si>
  <si>
    <t>160769.92</t>
  </si>
  <si>
    <t>3712CCA20</t>
  </si>
  <si>
    <t>160763.97</t>
  </si>
  <si>
    <t>-39798.86</t>
  </si>
  <si>
    <t>3712CCA19</t>
  </si>
  <si>
    <t>-39796.13</t>
  </si>
  <si>
    <t>160767.37</t>
  </si>
  <si>
    <t>Fin. Estação Santo Ovídio (06+352)</t>
  </si>
  <si>
    <t>3713CCA02</t>
  </si>
  <si>
    <t>160758.33</t>
  </si>
  <si>
    <t>-39794.29</t>
  </si>
  <si>
    <t>3713CCA01</t>
  </si>
  <si>
    <t>-39791.19</t>
  </si>
  <si>
    <t>160763.15</t>
  </si>
  <si>
    <t>3713CCA04</t>
  </si>
  <si>
    <t>160752.01</t>
  </si>
  <si>
    <t>-39789.05</t>
  </si>
  <si>
    <t>3713CCA03</t>
  </si>
  <si>
    <t>-39785.05</t>
  </si>
  <si>
    <t>160756.35</t>
  </si>
  <si>
    <t>3713CCA06</t>
  </si>
  <si>
    <t>C3- C.C.</t>
  </si>
  <si>
    <t>Cons. Simp.</t>
  </si>
  <si>
    <t>1,60</t>
  </si>
  <si>
    <t>160744.39</t>
  </si>
  <si>
    <t>-39786.00</t>
  </si>
  <si>
    <t>-39780.89</t>
  </si>
  <si>
    <t>160747.32</t>
  </si>
  <si>
    <t>4,58</t>
  </si>
  <si>
    <t>3713CCA07</t>
  </si>
  <si>
    <t>El apoyo 3713CCA07 no se encuentra representado en trazado, pero es el lado de donde sale el semipórtico</t>
  </si>
  <si>
    <t>2,50</t>
  </si>
  <si>
    <t>160737.69</t>
  </si>
  <si>
    <t>-39785.62</t>
  </si>
  <si>
    <t>5,9</t>
  </si>
  <si>
    <t>3713CCA08</t>
  </si>
  <si>
    <t>Ancoraem coneção Sto Ov.</t>
  </si>
  <si>
    <t>HEA 280 G.</t>
  </si>
  <si>
    <t>160736.04</t>
  </si>
  <si>
    <t>-39785.49</t>
  </si>
  <si>
    <t>3713CCA09</t>
  </si>
  <si>
    <t>-39771.87</t>
  </si>
  <si>
    <t>160717.87</t>
  </si>
  <si>
    <t>Anc</t>
  </si>
  <si>
    <t>3713CCA10</t>
  </si>
  <si>
    <t>160718.96</t>
  </si>
  <si>
    <t>-39786.72</t>
  </si>
  <si>
    <t>3713CCA11</t>
  </si>
  <si>
    <t>-39772.04</t>
  </si>
  <si>
    <t>160704.07</t>
  </si>
  <si>
    <t>3713CCA14</t>
  </si>
  <si>
    <t>3713CCA15 sin representación en disenho; para 3713CCA14, es de necesário 2 deltas y un brazo atirantado. No se corresponde a la C.C.6</t>
  </si>
  <si>
    <t>160705.20</t>
  </si>
  <si>
    <t>-39787.71</t>
  </si>
  <si>
    <t>3713CCA13</t>
  </si>
  <si>
    <t>-39788.13</t>
  </si>
  <si>
    <t>160702.95</t>
  </si>
  <si>
    <t>3301CCA016</t>
  </si>
  <si>
    <t>Anc. Suelo</t>
  </si>
  <si>
    <t>3,17</t>
  </si>
  <si>
    <t>160685.50</t>
  </si>
  <si>
    <t>-39789.02</t>
  </si>
  <si>
    <t>3713CCA15</t>
  </si>
  <si>
    <t>-39786.67</t>
  </si>
  <si>
    <t>160684.95</t>
  </si>
  <si>
    <t>6,73</t>
  </si>
  <si>
    <t>Anc. Pavi.</t>
  </si>
  <si>
    <t>No es A/S con elevacion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</si>
</sst>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+000.0"/>
    <numFmt numFmtId="165" formatCode="0.0"/>
    <numFmt numFmtId="16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i/>
      <sz val="12"/>
      <color rgb="FFFFFFFF"/>
      <name val="Arial"/>
      <family val="2"/>
    </font>
    <font>
      <b/>
      <sz val="15"/>
      <color rgb="FFFFFFFF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b/>
      <sz val="11"/>
      <color theme="0" tint="-0.499984740745262"/>
      <name val="Arial"/>
      <family val="2"/>
    </font>
    <font>
      <sz val="11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i/>
      <sz val="11"/>
      <color theme="0" tint="-0.499984740745262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i/>
      <sz val="11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Arial"/>
      <family val="2"/>
    </font>
    <font>
      <i/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u/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Dashed">
        <color indexed="64"/>
      </top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indexed="64"/>
      </right>
      <top/>
      <bottom style="medium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0">
    <xf numFmtId="0" fontId="0" fillId="0" borderId="0" xfId="0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1" fontId="6" fillId="6" borderId="7" xfId="0" applyNumberFormat="1" applyFont="1" applyFill="1" applyBorder="1" applyAlignment="1">
      <alignment horizontal="center" vertical="center" wrapText="1"/>
    </xf>
    <xf numFmtId="2" fontId="6" fillId="6" borderId="7" xfId="0" applyNumberFormat="1" applyFont="1" applyFill="1" applyBorder="1" applyAlignment="1">
      <alignment horizontal="center" vertical="center" wrapText="1"/>
    </xf>
    <xf numFmtId="49" fontId="6" fillId="6" borderId="7" xfId="0" applyNumberFormat="1" applyFont="1" applyFill="1" applyBorder="1" applyAlignment="1">
      <alignment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6" fillId="6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2" fontId="6" fillId="6" borderId="12" xfId="0" applyNumberFormat="1" applyFont="1" applyFill="1" applyBorder="1" applyAlignment="1">
      <alignment horizontal="center" vertical="center" wrapText="1"/>
    </xf>
    <xf numFmtId="2" fontId="6" fillId="6" borderId="10" xfId="0" applyNumberFormat="1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/>
    <xf numFmtId="2" fontId="9" fillId="0" borderId="1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" fillId="0" borderId="22" xfId="0" applyFont="1" applyBorder="1" applyAlignment="1" applyProtection="1">
      <alignment horizontal="center" vertical="center"/>
      <protection locked="0"/>
    </xf>
    <xf numFmtId="164" fontId="10" fillId="0" borderId="22" xfId="0" applyNumberFormat="1" applyFont="1" applyBorder="1" applyAlignment="1" applyProtection="1">
      <alignment horizontal="center" vertical="center"/>
      <protection locked="0"/>
    </xf>
    <xf numFmtId="165" fontId="9" fillId="0" borderId="22" xfId="0" applyNumberFormat="1" applyFont="1" applyBorder="1" applyAlignment="1">
      <alignment horizontal="center" vertical="center"/>
    </xf>
    <xf numFmtId="0" fontId="8" fillId="7" borderId="2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8" fillId="7" borderId="7" xfId="0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0" fontId="8" fillId="7" borderId="24" xfId="0" applyFont="1" applyFill="1" applyBorder="1" applyAlignment="1" applyProtection="1">
      <alignment horizontal="center" vertical="center"/>
      <protection locked="0"/>
    </xf>
    <xf numFmtId="49" fontId="9" fillId="0" borderId="23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49" fontId="8" fillId="6" borderId="25" xfId="0" applyNumberFormat="1" applyFont="1" applyFill="1" applyBorder="1" applyAlignment="1">
      <alignment horizontal="center" vertical="center"/>
    </xf>
    <xf numFmtId="49" fontId="8" fillId="6" borderId="26" xfId="0" applyNumberFormat="1" applyFont="1" applyFill="1" applyBorder="1" applyAlignment="1">
      <alignment horizontal="center" vertical="center"/>
    </xf>
    <xf numFmtId="49" fontId="9" fillId="6" borderId="7" xfId="0" applyNumberFormat="1" applyFont="1" applyFill="1" applyBorder="1" applyAlignment="1">
      <alignment horizontal="center" vertical="center"/>
    </xf>
    <xf numFmtId="2" fontId="9" fillId="6" borderId="15" xfId="0" applyNumberFormat="1" applyFont="1" applyFill="1" applyBorder="1" applyAlignment="1">
      <alignment horizontal="center" vertical="center"/>
    </xf>
    <xf numFmtId="2" fontId="9" fillId="6" borderId="16" xfId="0" applyNumberFormat="1" applyFont="1" applyFill="1" applyBorder="1" applyAlignment="1">
      <alignment horizontal="center" vertical="center"/>
    </xf>
    <xf numFmtId="2" fontId="3" fillId="6" borderId="27" xfId="0" applyNumberFormat="1" applyFont="1" applyFill="1" applyBorder="1" applyAlignment="1">
      <alignment horizontal="center" vertical="center"/>
    </xf>
    <xf numFmtId="2" fontId="9" fillId="6" borderId="28" xfId="0" applyNumberFormat="1" applyFont="1" applyFill="1" applyBorder="1" applyAlignment="1">
      <alignment horizontal="center" vertical="center"/>
    </xf>
    <xf numFmtId="2" fontId="9" fillId="6" borderId="29" xfId="0" applyNumberFormat="1" applyFont="1" applyFill="1" applyBorder="1" applyAlignment="1">
      <alignment horizontal="center" vertical="center"/>
    </xf>
    <xf numFmtId="2" fontId="9" fillId="6" borderId="14" xfId="0" applyNumberFormat="1" applyFont="1" applyFill="1" applyBorder="1" applyAlignment="1">
      <alignment horizontal="center" vertical="center"/>
    </xf>
    <xf numFmtId="2" fontId="9" fillId="6" borderId="19" xfId="0" applyNumberFormat="1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49" fontId="9" fillId="6" borderId="20" xfId="0" applyNumberFormat="1" applyFont="1" applyFill="1" applyBorder="1" applyAlignment="1">
      <alignment horizontal="center" vertical="center"/>
    </xf>
    <xf numFmtId="49" fontId="9" fillId="6" borderId="23" xfId="0" applyNumberFormat="1" applyFont="1" applyFill="1" applyBorder="1" applyAlignment="1">
      <alignment horizontal="center" vertical="center"/>
    </xf>
    <xf numFmtId="49" fontId="9" fillId="6" borderId="21" xfId="0" applyNumberFormat="1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 applyProtection="1">
      <alignment horizontal="center" vertical="center"/>
      <protection locked="0"/>
    </xf>
    <xf numFmtId="164" fontId="10" fillId="6" borderId="22" xfId="0" applyNumberFormat="1" applyFont="1" applyFill="1" applyBorder="1" applyAlignment="1" applyProtection="1">
      <alignment horizontal="center" vertical="center"/>
      <protection locked="0"/>
    </xf>
    <xf numFmtId="165" fontId="9" fillId="6" borderId="22" xfId="0" applyNumberFormat="1" applyFont="1" applyFill="1" applyBorder="1" applyAlignment="1">
      <alignment horizontal="center" vertical="center"/>
    </xf>
    <xf numFmtId="49" fontId="8" fillId="6" borderId="23" xfId="0" applyNumberFormat="1" applyFont="1" applyFill="1" applyBorder="1" applyAlignment="1">
      <alignment horizontal="center" vertical="center"/>
    </xf>
    <xf numFmtId="0" fontId="9" fillId="6" borderId="7" xfId="0" applyFont="1" applyFill="1" applyBorder="1" applyAlignment="1" applyProtection="1">
      <alignment horizontal="center" vertical="center"/>
      <protection locked="0"/>
    </xf>
    <xf numFmtId="0" fontId="9" fillId="6" borderId="23" xfId="0" applyFont="1" applyFill="1" applyBorder="1" applyAlignment="1">
      <alignment horizontal="center" vertical="center"/>
    </xf>
    <xf numFmtId="1" fontId="3" fillId="6" borderId="29" xfId="0" applyNumberFormat="1" applyFont="1" applyFill="1" applyBorder="1" applyAlignment="1">
      <alignment horizontal="center" vertical="center"/>
    </xf>
    <xf numFmtId="1" fontId="3" fillId="6" borderId="28" xfId="0" applyNumberFormat="1" applyFont="1" applyFill="1" applyBorder="1" applyAlignment="1">
      <alignment horizontal="center" vertical="center"/>
    </xf>
    <xf numFmtId="2" fontId="9" fillId="6" borderId="21" xfId="0" applyNumberFormat="1" applyFont="1" applyFill="1" applyBorder="1" applyAlignment="1">
      <alignment horizontal="center" vertical="center"/>
    </xf>
    <xf numFmtId="49" fontId="11" fillId="6" borderId="18" xfId="0" applyNumberFormat="1" applyFont="1" applyFill="1" applyBorder="1" applyAlignment="1">
      <alignment horizontal="center" vertical="center" wrapText="1"/>
    </xf>
    <xf numFmtId="49" fontId="11" fillId="6" borderId="21" xfId="0" applyNumberFormat="1" applyFont="1" applyFill="1" applyBorder="1" applyAlignment="1">
      <alignment horizontal="center" vertical="center" wrapText="1"/>
    </xf>
    <xf numFmtId="49" fontId="11" fillId="6" borderId="7" xfId="0" applyNumberFormat="1" applyFont="1" applyFill="1" applyBorder="1" applyAlignment="1">
      <alignment horizontal="center" vertical="center" wrapText="1"/>
    </xf>
    <xf numFmtId="49" fontId="6" fillId="6" borderId="30" xfId="0" applyNumberFormat="1" applyFont="1" applyFill="1" applyBorder="1" applyAlignment="1">
      <alignment horizontal="center" vertical="center"/>
    </xf>
    <xf numFmtId="49" fontId="11" fillId="6" borderId="16" xfId="0" applyNumberFormat="1" applyFont="1" applyFill="1" applyBorder="1" applyAlignment="1">
      <alignment horizontal="center" vertical="center" wrapText="1"/>
    </xf>
    <xf numFmtId="0" fontId="8" fillId="8" borderId="24" xfId="0" applyFont="1" applyFill="1" applyBorder="1" applyAlignment="1" applyProtection="1">
      <alignment horizontal="center" vertical="center"/>
      <protection locked="0"/>
    </xf>
    <xf numFmtId="0" fontId="9" fillId="8" borderId="7" xfId="0" applyFont="1" applyFill="1" applyBorder="1" applyAlignment="1" applyProtection="1">
      <alignment horizontal="center" vertical="center"/>
      <protection locked="0"/>
    </xf>
    <xf numFmtId="2" fontId="9" fillId="8" borderId="15" xfId="0" applyNumberFormat="1" applyFont="1" applyFill="1" applyBorder="1" applyAlignment="1">
      <alignment horizontal="center" vertical="center"/>
    </xf>
    <xf numFmtId="2" fontId="9" fillId="8" borderId="16" xfId="0" applyNumberFormat="1" applyFont="1" applyFill="1" applyBorder="1" applyAlignment="1">
      <alignment horizontal="center" vertical="center"/>
    </xf>
    <xf numFmtId="2" fontId="3" fillId="6" borderId="17" xfId="0" applyNumberFormat="1" applyFont="1" applyFill="1" applyBorder="1" applyAlignment="1">
      <alignment horizontal="center" vertical="center"/>
    </xf>
    <xf numFmtId="2" fontId="9" fillId="8" borderId="18" xfId="0" applyNumberFormat="1" applyFont="1" applyFill="1" applyBorder="1" applyAlignment="1">
      <alignment horizontal="center" vertical="center"/>
    </xf>
    <xf numFmtId="2" fontId="9" fillId="8" borderId="14" xfId="0" applyNumberFormat="1" applyFont="1" applyFill="1" applyBorder="1" applyAlignment="1">
      <alignment horizontal="center" vertical="center"/>
    </xf>
    <xf numFmtId="2" fontId="9" fillId="8" borderId="19" xfId="0" applyNumberFormat="1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49" fontId="9" fillId="8" borderId="20" xfId="0" applyNumberFormat="1" applyFont="1" applyFill="1" applyBorder="1" applyAlignment="1">
      <alignment horizontal="center" vertical="center"/>
    </xf>
    <xf numFmtId="49" fontId="9" fillId="8" borderId="23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 applyProtection="1">
      <alignment horizontal="center" vertical="center"/>
      <protection locked="0"/>
    </xf>
    <xf numFmtId="164" fontId="10" fillId="8" borderId="22" xfId="0" applyNumberFormat="1" applyFont="1" applyFill="1" applyBorder="1" applyAlignment="1" applyProtection="1">
      <alignment horizontal="center" vertical="center"/>
      <protection locked="0"/>
    </xf>
    <xf numFmtId="165" fontId="9" fillId="8" borderId="22" xfId="0" applyNumberFormat="1" applyFont="1" applyFill="1" applyBorder="1" applyAlignment="1">
      <alignment horizontal="center" vertical="center"/>
    </xf>
    <xf numFmtId="0" fontId="8" fillId="8" borderId="7" xfId="0" applyFont="1" applyFill="1" applyBorder="1" applyAlignment="1" applyProtection="1">
      <alignment horizontal="center" vertical="center"/>
      <protection locked="0"/>
    </xf>
    <xf numFmtId="0" fontId="0" fillId="0" borderId="31" xfId="0" applyBorder="1"/>
    <xf numFmtId="0" fontId="0" fillId="0" borderId="32" xfId="0" applyBorder="1"/>
    <xf numFmtId="0" fontId="2" fillId="0" borderId="32" xfId="0" applyFont="1" applyBorder="1" applyAlignment="1">
      <alignment horizontal="center"/>
    </xf>
    <xf numFmtId="0" fontId="0" fillId="0" borderId="33" xfId="0" applyBorder="1"/>
    <xf numFmtId="0" fontId="9" fillId="8" borderId="23" xfId="0" applyFont="1" applyFill="1" applyBorder="1" applyAlignment="1">
      <alignment horizontal="center" vertical="center"/>
    </xf>
    <xf numFmtId="1" fontId="3" fillId="8" borderId="18" xfId="0" applyNumberFormat="1" applyFont="1" applyFill="1" applyBorder="1" applyAlignment="1">
      <alignment horizontal="center" vertical="center"/>
    </xf>
    <xf numFmtId="1" fontId="3" fillId="8" borderId="15" xfId="0" applyNumberFormat="1" applyFont="1" applyFill="1" applyBorder="1" applyAlignment="1">
      <alignment horizontal="center" vertical="center"/>
    </xf>
    <xf numFmtId="2" fontId="9" fillId="8" borderId="2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2" fontId="9" fillId="7" borderId="15" xfId="0" applyNumberFormat="1" applyFont="1" applyFill="1" applyBorder="1" applyAlignment="1">
      <alignment horizontal="center" vertical="center"/>
    </xf>
    <xf numFmtId="2" fontId="9" fillId="7" borderId="16" xfId="0" applyNumberFormat="1" applyFont="1" applyFill="1" applyBorder="1" applyAlignment="1">
      <alignment horizontal="center" vertical="center"/>
    </xf>
    <xf numFmtId="2" fontId="9" fillId="7" borderId="17" xfId="0" applyNumberFormat="1" applyFont="1" applyFill="1" applyBorder="1" applyAlignment="1">
      <alignment horizontal="center" vertical="center"/>
    </xf>
    <xf numFmtId="2" fontId="9" fillId="7" borderId="18" xfId="0" applyNumberFormat="1" applyFont="1" applyFill="1" applyBorder="1" applyAlignment="1">
      <alignment horizontal="center" vertical="center"/>
    </xf>
    <xf numFmtId="2" fontId="9" fillId="7" borderId="14" xfId="0" applyNumberFormat="1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49" fontId="9" fillId="7" borderId="20" xfId="0" applyNumberFormat="1" applyFont="1" applyFill="1" applyBorder="1" applyAlignment="1">
      <alignment horizontal="center" vertical="center"/>
    </xf>
    <xf numFmtId="49" fontId="9" fillId="7" borderId="23" xfId="0" applyNumberFormat="1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 applyProtection="1">
      <alignment horizontal="center" vertical="center"/>
      <protection locked="0"/>
    </xf>
    <xf numFmtId="165" fontId="9" fillId="7" borderId="22" xfId="0" applyNumberFormat="1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1" fontId="3" fillId="7" borderId="18" xfId="0" applyNumberFormat="1" applyFont="1" applyFill="1" applyBorder="1" applyAlignment="1">
      <alignment horizontal="center" vertical="center"/>
    </xf>
    <xf numFmtId="1" fontId="3" fillId="7" borderId="15" xfId="0" applyNumberFormat="1" applyFont="1" applyFill="1" applyBorder="1" applyAlignment="1">
      <alignment horizontal="center" vertical="center"/>
    </xf>
    <xf numFmtId="2" fontId="9" fillId="7" borderId="21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0" fontId="6" fillId="6" borderId="24" xfId="0" applyFont="1" applyFill="1" applyBorder="1" applyAlignment="1" applyProtection="1">
      <alignment horizontal="center" vertical="center"/>
      <protection locked="0"/>
    </xf>
    <xf numFmtId="2" fontId="3" fillId="6" borderId="15" xfId="0" applyNumberFormat="1" applyFont="1" applyFill="1" applyBorder="1" applyAlignment="1">
      <alignment horizontal="center" vertical="center"/>
    </xf>
    <xf numFmtId="2" fontId="3" fillId="6" borderId="16" xfId="0" applyNumberFormat="1" applyFont="1" applyFill="1" applyBorder="1" applyAlignment="1">
      <alignment horizontal="center" vertical="center"/>
    </xf>
    <xf numFmtId="2" fontId="3" fillId="6" borderId="28" xfId="0" applyNumberFormat="1" applyFont="1" applyFill="1" applyBorder="1" applyAlignment="1">
      <alignment horizontal="center" vertical="center"/>
    </xf>
    <xf numFmtId="2" fontId="3" fillId="6" borderId="14" xfId="0" applyNumberFormat="1" applyFont="1" applyFill="1" applyBorder="1" applyAlignment="1">
      <alignment horizontal="center" vertical="center"/>
    </xf>
    <xf numFmtId="2" fontId="3" fillId="6" borderId="19" xfId="0" applyNumberFormat="1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49" fontId="3" fillId="6" borderId="20" xfId="0" applyNumberFormat="1" applyFont="1" applyFill="1" applyBorder="1" applyAlignment="1">
      <alignment horizontal="center" vertical="center"/>
    </xf>
    <xf numFmtId="49" fontId="3" fillId="6" borderId="23" xfId="0" applyNumberFormat="1" applyFont="1" applyFill="1" applyBorder="1" applyAlignment="1">
      <alignment horizontal="center" vertical="center"/>
    </xf>
    <xf numFmtId="49" fontId="3" fillId="6" borderId="21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 applyProtection="1">
      <alignment horizontal="center" vertical="center"/>
      <protection locked="0"/>
    </xf>
    <xf numFmtId="165" fontId="3" fillId="6" borderId="22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 applyProtection="1">
      <alignment horizontal="center" vertical="center"/>
      <protection locked="0"/>
    </xf>
    <xf numFmtId="0" fontId="3" fillId="6" borderId="23" xfId="0" applyFont="1" applyFill="1" applyBorder="1" applyAlignment="1">
      <alignment horizontal="center" vertical="center"/>
    </xf>
    <xf numFmtId="1" fontId="3" fillId="6" borderId="18" xfId="0" applyNumberFormat="1" applyFont="1" applyFill="1" applyBorder="1" applyAlignment="1">
      <alignment horizontal="center" vertical="center"/>
    </xf>
    <xf numFmtId="1" fontId="3" fillId="6" borderId="14" xfId="0" applyNumberFormat="1" applyFont="1" applyFill="1" applyBorder="1" applyAlignment="1">
      <alignment horizontal="center" vertical="center"/>
    </xf>
    <xf numFmtId="2" fontId="3" fillId="6" borderId="21" xfId="0" applyNumberFormat="1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" fillId="0" borderId="37" xfId="0" applyFont="1" applyBorder="1" applyAlignment="1">
      <alignment horizontal="center"/>
    </xf>
    <xf numFmtId="0" fontId="0" fillId="0" borderId="38" xfId="0" applyBorder="1"/>
    <xf numFmtId="164" fontId="2" fillId="0" borderId="32" xfId="0" applyNumberFormat="1" applyFont="1" applyBorder="1" applyAlignment="1">
      <alignment horizontal="center"/>
    </xf>
    <xf numFmtId="0" fontId="6" fillId="7" borderId="24" xfId="0" applyFont="1" applyFill="1" applyBorder="1" applyAlignment="1" applyProtection="1">
      <alignment horizontal="center" vertical="center"/>
      <protection locked="0"/>
    </xf>
    <xf numFmtId="2" fontId="3" fillId="0" borderId="15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12" fillId="0" borderId="22" xfId="0" applyNumberFormat="1" applyFont="1" applyBorder="1" applyAlignment="1" applyProtection="1">
      <alignment horizontal="center" vertical="center"/>
      <protection locked="0"/>
    </xf>
    <xf numFmtId="165" fontId="3" fillId="0" borderId="22" xfId="0" applyNumberFormat="1" applyFont="1" applyBorder="1" applyAlignment="1">
      <alignment horizontal="center" vertical="center"/>
    </xf>
    <xf numFmtId="0" fontId="6" fillId="7" borderId="7" xfId="0" applyFont="1" applyFill="1" applyBorder="1" applyAlignment="1" applyProtection="1">
      <alignment horizontal="center" vertical="center"/>
      <protection locked="0"/>
    </xf>
    <xf numFmtId="0" fontId="3" fillId="0" borderId="23" xfId="0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" fontId="3" fillId="0" borderId="18" xfId="0" quotePrefix="1" applyNumberFormat="1" applyFont="1" applyBorder="1" applyAlignment="1">
      <alignment horizontal="center" vertical="center"/>
    </xf>
    <xf numFmtId="2" fontId="3" fillId="7" borderId="15" xfId="0" applyNumberFormat="1" applyFont="1" applyFill="1" applyBorder="1" applyAlignment="1">
      <alignment horizontal="center" vertical="center"/>
    </xf>
    <xf numFmtId="2" fontId="3" fillId="7" borderId="16" xfId="0" applyNumberFormat="1" applyFont="1" applyFill="1" applyBorder="1" applyAlignment="1">
      <alignment horizontal="center" vertical="center"/>
    </xf>
    <xf numFmtId="2" fontId="3" fillId="7" borderId="17" xfId="0" applyNumberFormat="1" applyFont="1" applyFill="1" applyBorder="1" applyAlignment="1">
      <alignment horizontal="center" vertical="center"/>
    </xf>
    <xf numFmtId="2" fontId="3" fillId="7" borderId="14" xfId="0" applyNumberFormat="1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49" fontId="3" fillId="7" borderId="20" xfId="0" applyNumberFormat="1" applyFont="1" applyFill="1" applyBorder="1" applyAlignment="1">
      <alignment horizontal="center" vertical="center"/>
    </xf>
    <xf numFmtId="49" fontId="3" fillId="7" borderId="23" xfId="0" applyNumberFormat="1" applyFont="1" applyFill="1" applyBorder="1" applyAlignment="1">
      <alignment horizontal="center" vertical="center"/>
    </xf>
    <xf numFmtId="49" fontId="3" fillId="7" borderId="21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2" fontId="3" fillId="7" borderId="21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5" fontId="3" fillId="7" borderId="22" xfId="0" applyNumberFormat="1" applyFont="1" applyFill="1" applyBorder="1" applyAlignment="1">
      <alignment horizontal="center" vertical="center"/>
    </xf>
    <xf numFmtId="2" fontId="3" fillId="6" borderId="15" xfId="0" quotePrefix="1" applyNumberFormat="1" applyFont="1" applyFill="1" applyBorder="1" applyAlignment="1">
      <alignment horizontal="center" vertical="center"/>
    </xf>
    <xf numFmtId="0" fontId="13" fillId="9" borderId="7" xfId="0" applyFont="1" applyFill="1" applyBorder="1" applyAlignment="1" applyProtection="1">
      <alignment horizontal="center" vertical="center"/>
      <protection locked="0"/>
    </xf>
    <xf numFmtId="1" fontId="3" fillId="6" borderId="28" xfId="0" quotePrefix="1" applyNumberFormat="1" applyFont="1" applyFill="1" applyBorder="1" applyAlignment="1">
      <alignment horizontal="center" vertical="center"/>
    </xf>
    <xf numFmtId="0" fontId="14" fillId="9" borderId="7" xfId="0" applyFont="1" applyFill="1" applyBorder="1"/>
    <xf numFmtId="49" fontId="6" fillId="8" borderId="25" xfId="0" applyNumberFormat="1" applyFont="1" applyFill="1" applyBorder="1" applyAlignment="1">
      <alignment horizontal="center" vertical="center"/>
    </xf>
    <xf numFmtId="49" fontId="6" fillId="8" borderId="26" xfId="0" applyNumberFormat="1" applyFont="1" applyFill="1" applyBorder="1" applyAlignment="1">
      <alignment horizontal="center" vertical="center"/>
    </xf>
    <xf numFmtId="2" fontId="3" fillId="8" borderId="7" xfId="0" applyNumberFormat="1" applyFont="1" applyFill="1" applyBorder="1" applyAlignment="1">
      <alignment horizontal="center" vertical="center"/>
    </xf>
    <xf numFmtId="2" fontId="3" fillId="8" borderId="15" xfId="0" applyNumberFormat="1" applyFont="1" applyFill="1" applyBorder="1" applyAlignment="1">
      <alignment horizontal="center" vertical="center"/>
    </xf>
    <xf numFmtId="2" fontId="3" fillId="8" borderId="16" xfId="0" applyNumberFormat="1" applyFont="1" applyFill="1" applyBorder="1" applyAlignment="1">
      <alignment horizontal="center" vertical="center"/>
    </xf>
    <xf numFmtId="2" fontId="3" fillId="8" borderId="14" xfId="0" applyNumberFormat="1" applyFont="1" applyFill="1" applyBorder="1" applyAlignment="1">
      <alignment horizontal="center" vertical="center"/>
    </xf>
    <xf numFmtId="2" fontId="3" fillId="8" borderId="19" xfId="0" applyNumberFormat="1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49" fontId="3" fillId="8" borderId="20" xfId="0" applyNumberFormat="1" applyFont="1" applyFill="1" applyBorder="1" applyAlignment="1">
      <alignment horizontal="center" vertical="center"/>
    </xf>
    <xf numFmtId="49" fontId="3" fillId="8" borderId="23" xfId="0" applyNumberFormat="1" applyFont="1" applyFill="1" applyBorder="1" applyAlignment="1">
      <alignment horizontal="center" vertical="center"/>
    </xf>
    <xf numFmtId="49" fontId="3" fillId="8" borderId="21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164" fontId="12" fillId="8" borderId="22" xfId="0" applyNumberFormat="1" applyFont="1" applyFill="1" applyBorder="1" applyAlignment="1" applyProtection="1">
      <alignment horizontal="center" vertical="center"/>
      <protection locked="0"/>
    </xf>
    <xf numFmtId="165" fontId="3" fillId="8" borderId="22" xfId="0" applyNumberFormat="1" applyFont="1" applyFill="1" applyBorder="1" applyAlignment="1">
      <alignment horizontal="center" vertical="center"/>
    </xf>
    <xf numFmtId="49" fontId="6" fillId="8" borderId="23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1" fontId="3" fillId="8" borderId="15" xfId="0" quotePrefix="1" applyNumberFormat="1" applyFont="1" applyFill="1" applyBorder="1" applyAlignment="1">
      <alignment horizontal="center" vertical="center"/>
    </xf>
    <xf numFmtId="2" fontId="3" fillId="8" borderId="21" xfId="0" applyNumberFormat="1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164" fontId="12" fillId="7" borderId="22" xfId="0" applyNumberFormat="1" applyFont="1" applyFill="1" applyBorder="1" applyAlignment="1" applyProtection="1">
      <alignment horizontal="center" vertical="center"/>
      <protection locked="0"/>
    </xf>
    <xf numFmtId="0" fontId="3" fillId="7" borderId="7" xfId="0" applyFont="1" applyFill="1" applyBorder="1" applyAlignment="1">
      <alignment horizontal="center" vertical="center"/>
    </xf>
    <xf numFmtId="2" fontId="3" fillId="7" borderId="19" xfId="0" applyNumberFormat="1" applyFont="1" applyFill="1" applyBorder="1" applyAlignment="1">
      <alignment horizontal="center" vertical="center"/>
    </xf>
    <xf numFmtId="1" fontId="3" fillId="7" borderId="18" xfId="0" quotePrefix="1" applyNumberFormat="1" applyFont="1" applyFill="1" applyBorder="1" applyAlignment="1">
      <alignment horizontal="center" vertical="center"/>
    </xf>
    <xf numFmtId="49" fontId="12" fillId="7" borderId="22" xfId="0" applyNumberFormat="1" applyFont="1" applyFill="1" applyBorder="1" applyAlignment="1" applyProtection="1">
      <alignment horizontal="center" vertical="center"/>
      <protection locked="0"/>
    </xf>
    <xf numFmtId="49" fontId="15" fillId="7" borderId="18" xfId="0" applyNumberFormat="1" applyFont="1" applyFill="1" applyBorder="1" applyAlignment="1">
      <alignment horizontal="center" vertical="center" wrapText="1"/>
    </xf>
    <xf numFmtId="49" fontId="15" fillId="7" borderId="21" xfId="0" applyNumberFormat="1" applyFont="1" applyFill="1" applyBorder="1" applyAlignment="1">
      <alignment horizontal="center" vertical="center" wrapText="1"/>
    </xf>
    <xf numFmtId="49" fontId="15" fillId="7" borderId="7" xfId="0" applyNumberFormat="1" applyFont="1" applyFill="1" applyBorder="1" applyAlignment="1">
      <alignment horizontal="center" vertical="center" wrapText="1"/>
    </xf>
    <xf numFmtId="49" fontId="12" fillId="0" borderId="22" xfId="0" applyNumberFormat="1" applyFont="1" applyBorder="1" applyAlignment="1" applyProtection="1">
      <alignment horizontal="center" vertical="center"/>
      <protection locked="0"/>
    </xf>
    <xf numFmtId="49" fontId="15" fillId="7" borderId="16" xfId="0" applyNumberFormat="1" applyFont="1" applyFill="1" applyBorder="1" applyAlignment="1">
      <alignment horizontal="center" vertical="center" wrapText="1"/>
    </xf>
    <xf numFmtId="49" fontId="6" fillId="7" borderId="25" xfId="0" applyNumberFormat="1" applyFont="1" applyFill="1" applyBorder="1" applyAlignment="1">
      <alignment horizontal="center" vertical="center"/>
    </xf>
    <xf numFmtId="49" fontId="6" fillId="7" borderId="26" xfId="0" applyNumberFormat="1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49" fontId="6" fillId="7" borderId="23" xfId="0" applyNumberFormat="1" applyFont="1" applyFill="1" applyBorder="1" applyAlignment="1">
      <alignment horizontal="center" vertical="center"/>
    </xf>
    <xf numFmtId="49" fontId="6" fillId="7" borderId="16" xfId="0" applyNumberFormat="1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49" fontId="6" fillId="7" borderId="18" xfId="0" applyNumberFormat="1" applyFont="1" applyFill="1" applyBorder="1" applyAlignment="1">
      <alignment horizontal="center" vertical="center"/>
    </xf>
    <xf numFmtId="49" fontId="6" fillId="7" borderId="21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2" fontId="3" fillId="7" borderId="27" xfId="0" applyNumberFormat="1" applyFont="1" applyFill="1" applyBorder="1" applyAlignment="1">
      <alignment horizontal="center" vertical="center"/>
    </xf>
    <xf numFmtId="49" fontId="6" fillId="7" borderId="30" xfId="0" applyNumberFormat="1" applyFont="1" applyFill="1" applyBorder="1" applyAlignment="1">
      <alignment horizontal="center" vertical="center"/>
    </xf>
    <xf numFmtId="1" fontId="3" fillId="7" borderId="29" xfId="0" applyNumberFormat="1" applyFont="1" applyFill="1" applyBorder="1" applyAlignment="1">
      <alignment horizontal="center" vertical="center"/>
    </xf>
    <xf numFmtId="1" fontId="3" fillId="7" borderId="28" xfId="0" quotePrefix="1" applyNumberFormat="1" applyFont="1" applyFill="1" applyBorder="1" applyAlignment="1">
      <alignment horizontal="center" vertical="center"/>
    </xf>
    <xf numFmtId="1" fontId="3" fillId="7" borderId="28" xfId="0" applyNumberFormat="1" applyFont="1" applyFill="1" applyBorder="1" applyAlignment="1">
      <alignment horizontal="center" vertical="center"/>
    </xf>
    <xf numFmtId="1" fontId="3" fillId="7" borderId="15" xfId="0" quotePrefix="1" applyNumberFormat="1" applyFont="1" applyFill="1" applyBorder="1" applyAlignment="1">
      <alignment horizontal="center" vertical="center"/>
    </xf>
    <xf numFmtId="49" fontId="15" fillId="6" borderId="18" xfId="0" applyNumberFormat="1" applyFont="1" applyFill="1" applyBorder="1" applyAlignment="1">
      <alignment horizontal="center" vertical="center" wrapText="1"/>
    </xf>
    <xf numFmtId="49" fontId="15" fillId="6" borderId="21" xfId="0" applyNumberFormat="1" applyFont="1" applyFill="1" applyBorder="1" applyAlignment="1">
      <alignment horizontal="center" vertical="center" wrapText="1"/>
    </xf>
    <xf numFmtId="49" fontId="15" fillId="6" borderId="7" xfId="0" applyNumberFormat="1" applyFont="1" applyFill="1" applyBorder="1" applyAlignment="1">
      <alignment horizontal="center" vertical="center" wrapText="1"/>
    </xf>
    <xf numFmtId="49" fontId="12" fillId="6" borderId="22" xfId="0" applyNumberFormat="1" applyFont="1" applyFill="1" applyBorder="1" applyAlignment="1" applyProtection="1">
      <alignment horizontal="center" vertical="center"/>
      <protection locked="0"/>
    </xf>
    <xf numFmtId="49" fontId="15" fillId="6" borderId="16" xfId="0" applyNumberFormat="1" applyFont="1" applyFill="1" applyBorder="1" applyAlignment="1">
      <alignment horizontal="center" vertical="center" wrapText="1"/>
    </xf>
    <xf numFmtId="2" fontId="12" fillId="7" borderId="22" xfId="0" applyNumberFormat="1" applyFont="1" applyFill="1" applyBorder="1" applyAlignment="1" applyProtection="1">
      <alignment horizontal="center" vertical="center"/>
      <protection locked="0"/>
    </xf>
    <xf numFmtId="49" fontId="3" fillId="7" borderId="22" xfId="0" applyNumberFormat="1" applyFont="1" applyFill="1" applyBorder="1" applyAlignment="1" applyProtection="1">
      <alignment horizontal="center" vertical="center"/>
      <protection locked="0"/>
    </xf>
    <xf numFmtId="1" fontId="3" fillId="6" borderId="15" xfId="0" applyNumberFormat="1" applyFont="1" applyFill="1" applyBorder="1" applyAlignment="1">
      <alignment horizontal="center" vertical="center"/>
    </xf>
    <xf numFmtId="49" fontId="3" fillId="6" borderId="22" xfId="0" applyNumberFormat="1" applyFont="1" applyFill="1" applyBorder="1" applyAlignment="1" applyProtection="1">
      <alignment horizontal="center" vertical="center"/>
      <protection locked="0"/>
    </xf>
    <xf numFmtId="2" fontId="12" fillId="6" borderId="22" xfId="0" applyNumberFormat="1" applyFont="1" applyFill="1" applyBorder="1" applyAlignment="1" applyProtection="1">
      <alignment horizontal="center" vertical="center"/>
      <protection locked="0"/>
    </xf>
    <xf numFmtId="49" fontId="6" fillId="10" borderId="25" xfId="0" applyNumberFormat="1" applyFont="1" applyFill="1" applyBorder="1" applyAlignment="1">
      <alignment horizontal="center" vertical="center"/>
    </xf>
    <xf numFmtId="49" fontId="6" fillId="10" borderId="26" xfId="0" applyNumberFormat="1" applyFont="1" applyFill="1" applyBorder="1" applyAlignment="1">
      <alignment horizontal="center" vertical="center"/>
    </xf>
    <xf numFmtId="49" fontId="3" fillId="10" borderId="7" xfId="0" applyNumberFormat="1" applyFont="1" applyFill="1" applyBorder="1" applyAlignment="1">
      <alignment horizontal="center" vertical="center"/>
    </xf>
    <xf numFmtId="2" fontId="3" fillId="10" borderId="15" xfId="0" applyNumberFormat="1" applyFont="1" applyFill="1" applyBorder="1" applyAlignment="1">
      <alignment horizontal="center" vertical="center"/>
    </xf>
    <xf numFmtId="2" fontId="3" fillId="10" borderId="16" xfId="0" applyNumberFormat="1" applyFont="1" applyFill="1" applyBorder="1" applyAlignment="1">
      <alignment horizontal="center" vertical="center"/>
    </xf>
    <xf numFmtId="2" fontId="0" fillId="10" borderId="7" xfId="0" applyNumberFormat="1" applyFill="1" applyBorder="1" applyAlignment="1">
      <alignment horizontal="center" vertical="center"/>
    </xf>
    <xf numFmtId="1" fontId="3" fillId="10" borderId="15" xfId="0" applyNumberFormat="1" applyFont="1" applyFill="1" applyBorder="1" applyAlignment="1">
      <alignment horizontal="center" vertical="center"/>
    </xf>
    <xf numFmtId="1" fontId="3" fillId="10" borderId="25" xfId="0" applyNumberFormat="1" applyFont="1" applyFill="1" applyBorder="1" applyAlignment="1">
      <alignment horizontal="center" vertical="center"/>
    </xf>
    <xf numFmtId="2" fontId="3" fillId="10" borderId="14" xfId="0" applyNumberFormat="1" applyFont="1" applyFill="1" applyBorder="1" applyAlignment="1">
      <alignment horizontal="center" vertical="center"/>
    </xf>
    <xf numFmtId="2" fontId="3" fillId="10" borderId="19" xfId="0" applyNumberFormat="1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49" fontId="3" fillId="10" borderId="20" xfId="0" applyNumberFormat="1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49" fontId="3" fillId="10" borderId="21" xfId="0" applyNumberFormat="1" applyFont="1" applyFill="1" applyBorder="1" applyAlignment="1">
      <alignment horizontal="center" vertical="center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164" fontId="12" fillId="10" borderId="22" xfId="0" applyNumberFormat="1" applyFont="1" applyFill="1" applyBorder="1" applyAlignment="1" applyProtection="1">
      <alignment horizontal="center" vertical="center"/>
      <protection locked="0"/>
    </xf>
    <xf numFmtId="49" fontId="12" fillId="10" borderId="22" xfId="0" applyNumberFormat="1" applyFont="1" applyFill="1" applyBorder="1" applyAlignment="1" applyProtection="1">
      <alignment horizontal="center" vertical="center"/>
      <protection locked="0"/>
    </xf>
    <xf numFmtId="165" fontId="3" fillId="10" borderId="22" xfId="0" applyNumberFormat="1" applyFont="1" applyFill="1" applyBorder="1" applyAlignment="1">
      <alignment horizontal="center" vertical="center"/>
    </xf>
    <xf numFmtId="49" fontId="6" fillId="10" borderId="23" xfId="0" applyNumberFormat="1" applyFont="1" applyFill="1" applyBorder="1" applyAlignment="1">
      <alignment horizontal="center" vertical="center"/>
    </xf>
    <xf numFmtId="1" fontId="3" fillId="10" borderId="18" xfId="0" quotePrefix="1" applyNumberFormat="1" applyFont="1" applyFill="1" applyBorder="1" applyAlignment="1">
      <alignment horizontal="center" vertical="center"/>
    </xf>
    <xf numFmtId="2" fontId="3" fillId="10" borderId="17" xfId="0" applyNumberFormat="1" applyFont="1" applyFill="1" applyBorder="1" applyAlignment="1">
      <alignment horizontal="center" vertical="center"/>
    </xf>
    <xf numFmtId="2" fontId="3" fillId="10" borderId="21" xfId="0" applyNumberFormat="1" applyFont="1" applyFill="1" applyBorder="1" applyAlignment="1">
      <alignment horizontal="center" vertical="center"/>
    </xf>
    <xf numFmtId="1" fontId="3" fillId="10" borderId="18" xfId="0" applyNumberFormat="1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49" fontId="3" fillId="10" borderId="23" xfId="0" applyNumberFormat="1" applyFont="1" applyFill="1" applyBorder="1" applyAlignment="1">
      <alignment horizontal="center" vertical="center"/>
    </xf>
    <xf numFmtId="2" fontId="3" fillId="7" borderId="7" xfId="0" applyNumberFormat="1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1" fontId="3" fillId="7" borderId="40" xfId="0" applyNumberFormat="1" applyFont="1" applyFill="1" applyBorder="1" applyAlignment="1">
      <alignment horizontal="center" vertical="center"/>
    </xf>
    <xf numFmtId="1" fontId="3" fillId="7" borderId="41" xfId="0" applyNumberFormat="1" applyFont="1" applyFill="1" applyBorder="1" applyAlignment="1">
      <alignment horizontal="center" vertical="center"/>
    </xf>
    <xf numFmtId="166" fontId="3" fillId="10" borderId="19" xfId="0" applyNumberFormat="1" applyFont="1" applyFill="1" applyBorder="1" applyAlignment="1">
      <alignment horizontal="center" vertical="center"/>
    </xf>
    <xf numFmtId="166" fontId="3" fillId="10" borderId="14" xfId="0" applyNumberFormat="1" applyFont="1" applyFill="1" applyBorder="1" applyAlignment="1">
      <alignment horizontal="center" vertical="center"/>
    </xf>
    <xf numFmtId="166" fontId="3" fillId="10" borderId="21" xfId="0" applyNumberFormat="1" applyFont="1" applyFill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 applyProtection="1">
      <alignment horizontal="center" vertical="center"/>
      <protection locked="0"/>
    </xf>
    <xf numFmtId="0" fontId="16" fillId="0" borderId="22" xfId="0" applyFont="1" applyBorder="1" applyAlignment="1">
      <alignment horizontal="center" vertical="center"/>
    </xf>
    <xf numFmtId="1" fontId="3" fillId="7" borderId="25" xfId="0" quotePrefix="1" applyNumberFormat="1" applyFont="1" applyFill="1" applyBorder="1" applyAlignment="1">
      <alignment horizontal="center" vertical="center"/>
    </xf>
    <xf numFmtId="1" fontId="3" fillId="7" borderId="17" xfId="0" quotePrefix="1" applyNumberFormat="1" applyFont="1" applyFill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7" borderId="12" xfId="0" applyNumberFormat="1" applyFont="1" applyFill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17" fillId="11" borderId="7" xfId="0" applyNumberFormat="1" applyFont="1" applyFill="1" applyBorder="1" applyAlignment="1">
      <alignment horizontal="center" vertical="center"/>
    </xf>
    <xf numFmtId="0" fontId="18" fillId="11" borderId="7" xfId="0" applyFont="1" applyFill="1" applyBorder="1"/>
    <xf numFmtId="49" fontId="13" fillId="9" borderId="7" xfId="0" applyNumberFormat="1" applyFont="1" applyFill="1" applyBorder="1" applyAlignment="1">
      <alignment horizontal="center" vertical="center"/>
    </xf>
    <xf numFmtId="49" fontId="6" fillId="6" borderId="25" xfId="0" applyNumberFormat="1" applyFont="1" applyFill="1" applyBorder="1" applyAlignment="1">
      <alignment horizontal="center" vertical="center"/>
    </xf>
    <xf numFmtId="49" fontId="6" fillId="6" borderId="26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2" fontId="0" fillId="6" borderId="7" xfId="0" applyNumberForma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49" fontId="6" fillId="6" borderId="23" xfId="0" applyNumberFormat="1" applyFont="1" applyFill="1" applyBorder="1" applyAlignment="1">
      <alignment horizontal="center" vertical="center"/>
    </xf>
    <xf numFmtId="1" fontId="3" fillId="6" borderId="29" xfId="0" quotePrefix="1" applyNumberFormat="1" applyFont="1" applyFill="1" applyBorder="1" applyAlignment="1">
      <alignment horizontal="center" vertical="center"/>
    </xf>
    <xf numFmtId="2" fontId="3" fillId="6" borderId="30" xfId="0" applyNumberFormat="1" applyFont="1" applyFill="1" applyBorder="1" applyAlignment="1">
      <alignment horizontal="center" vertical="center"/>
    </xf>
    <xf numFmtId="49" fontId="3" fillId="6" borderId="30" xfId="0" applyNumberFormat="1" applyFont="1" applyFill="1" applyBorder="1" applyAlignment="1">
      <alignment horizontal="center" vertical="center"/>
    </xf>
    <xf numFmtId="1" fontId="3" fillId="6" borderId="18" xfId="0" quotePrefix="1" applyNumberFormat="1" applyFont="1" applyFill="1" applyBorder="1" applyAlignment="1">
      <alignment horizontal="center" vertical="center"/>
    </xf>
    <xf numFmtId="1" fontId="3" fillId="6" borderId="21" xfId="0" applyNumberFormat="1" applyFont="1" applyFill="1" applyBorder="1" applyAlignment="1">
      <alignment horizontal="center" vertical="center"/>
    </xf>
    <xf numFmtId="2" fontId="3" fillId="0" borderId="43" xfId="0" applyNumberFormat="1" applyFont="1" applyBorder="1" applyAlignment="1">
      <alignment horizontal="center" vertical="center"/>
    </xf>
    <xf numFmtId="0" fontId="19" fillId="6" borderId="7" xfId="0" applyFont="1" applyFill="1" applyBorder="1" applyAlignment="1" applyProtection="1">
      <alignment horizontal="center" vertical="center"/>
      <protection locked="0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2" fontId="3" fillId="12" borderId="16" xfId="0" applyNumberFormat="1" applyFont="1" applyFill="1" applyBorder="1" applyAlignment="1">
      <alignment horizontal="center" vertical="center"/>
    </xf>
    <xf numFmtId="2" fontId="3" fillId="12" borderId="21" xfId="0" applyNumberFormat="1" applyFont="1" applyFill="1" applyBorder="1" applyAlignment="1">
      <alignment horizontal="center" vertical="center"/>
    </xf>
    <xf numFmtId="49" fontId="20" fillId="11" borderId="7" xfId="0" applyNumberFormat="1" applyFont="1" applyFill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2" fontId="3" fillId="7" borderId="24" xfId="0" applyNumberFormat="1" applyFont="1" applyFill="1" applyBorder="1" applyAlignment="1">
      <alignment horizontal="center" vertical="center"/>
    </xf>
    <xf numFmtId="49" fontId="3" fillId="13" borderId="20" xfId="0" applyNumberFormat="1" applyFont="1" applyFill="1" applyBorder="1" applyAlignment="1">
      <alignment horizontal="center" vertical="center"/>
    </xf>
    <xf numFmtId="49" fontId="3" fillId="7" borderId="27" xfId="0" applyNumberFormat="1" applyFont="1" applyFill="1" applyBorder="1" applyAlignment="1">
      <alignment horizontal="center" vertical="center"/>
    </xf>
    <xf numFmtId="49" fontId="3" fillId="7" borderId="25" xfId="0" applyNumberFormat="1" applyFont="1" applyFill="1" applyBorder="1" applyAlignment="1">
      <alignment horizontal="center" vertical="center" wrapText="1"/>
    </xf>
    <xf numFmtId="49" fontId="3" fillId="7" borderId="26" xfId="0" applyNumberFormat="1" applyFont="1" applyFill="1" applyBorder="1" applyAlignment="1">
      <alignment horizontal="center" vertical="center" wrapText="1"/>
    </xf>
    <xf numFmtId="49" fontId="3" fillId="7" borderId="7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/>
    </xf>
    <xf numFmtId="2" fontId="3" fillId="7" borderId="30" xfId="0" applyNumberFormat="1" applyFont="1" applyFill="1" applyBorder="1" applyAlignment="1">
      <alignment horizontal="center" vertical="center"/>
    </xf>
    <xf numFmtId="49" fontId="3" fillId="7" borderId="23" xfId="0" applyNumberFormat="1" applyFont="1" applyFill="1" applyBorder="1" applyAlignment="1">
      <alignment horizontal="center" vertical="center" wrapText="1"/>
    </xf>
    <xf numFmtId="49" fontId="3" fillId="7" borderId="30" xfId="0" applyNumberFormat="1" applyFont="1" applyFill="1" applyBorder="1" applyAlignment="1">
      <alignment horizontal="center" vertical="center"/>
    </xf>
    <xf numFmtId="49" fontId="6" fillId="14" borderId="25" xfId="0" applyNumberFormat="1" applyFont="1" applyFill="1" applyBorder="1" applyAlignment="1">
      <alignment horizontal="center" vertical="center"/>
    </xf>
    <xf numFmtId="49" fontId="6" fillId="14" borderId="26" xfId="0" applyNumberFormat="1" applyFont="1" applyFill="1" applyBorder="1" applyAlignment="1">
      <alignment horizontal="center" vertical="center"/>
    </xf>
    <xf numFmtId="49" fontId="3" fillId="14" borderId="7" xfId="0" applyNumberFormat="1" applyFont="1" applyFill="1" applyBorder="1" applyAlignment="1">
      <alignment horizontal="center" vertical="center"/>
    </xf>
    <xf numFmtId="2" fontId="3" fillId="14" borderId="14" xfId="0" applyNumberFormat="1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49" fontId="3" fillId="14" borderId="21" xfId="0" applyNumberFormat="1" applyFont="1" applyFill="1" applyBorder="1" applyAlignment="1">
      <alignment horizontal="center" vertical="center"/>
    </xf>
    <xf numFmtId="49" fontId="3" fillId="14" borderId="20" xfId="0" applyNumberFormat="1" applyFont="1" applyFill="1" applyBorder="1" applyAlignment="1">
      <alignment horizontal="center" vertical="center"/>
    </xf>
    <xf numFmtId="0" fontId="3" fillId="14" borderId="7" xfId="0" applyFont="1" applyFill="1" applyBorder="1" applyAlignment="1" applyProtection="1">
      <alignment horizontal="center" vertical="center"/>
      <protection locked="0"/>
    </xf>
    <xf numFmtId="164" fontId="12" fillId="14" borderId="22" xfId="0" applyNumberFormat="1" applyFont="1" applyFill="1" applyBorder="1" applyAlignment="1" applyProtection="1">
      <alignment horizontal="center" vertical="center"/>
      <protection locked="0"/>
    </xf>
    <xf numFmtId="49" fontId="12" fillId="14" borderId="22" xfId="0" applyNumberFormat="1" applyFont="1" applyFill="1" applyBorder="1" applyAlignment="1" applyProtection="1">
      <alignment horizontal="center" vertical="center"/>
      <protection locked="0"/>
    </xf>
    <xf numFmtId="49" fontId="6" fillId="14" borderId="23" xfId="0" applyNumberFormat="1" applyFont="1" applyFill="1" applyBorder="1" applyAlignment="1">
      <alignment horizontal="center" vertical="center"/>
    </xf>
    <xf numFmtId="1" fontId="3" fillId="6" borderId="44" xfId="0" applyNumberFormat="1" applyFont="1" applyFill="1" applyBorder="1" applyAlignment="1">
      <alignment horizontal="center" vertical="center"/>
    </xf>
    <xf numFmtId="1" fontId="3" fillId="6" borderId="45" xfId="0" applyNumberFormat="1" applyFont="1" applyFill="1" applyBorder="1" applyAlignment="1">
      <alignment horizontal="center" vertical="center"/>
    </xf>
    <xf numFmtId="49" fontId="3" fillId="6" borderId="27" xfId="0" applyNumberFormat="1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2" fontId="6" fillId="6" borderId="30" xfId="0" applyNumberFormat="1" applyFont="1" applyFill="1" applyBorder="1" applyAlignment="1">
      <alignment horizontal="center" vertical="center"/>
    </xf>
    <xf numFmtId="49" fontId="21" fillId="14" borderId="25" xfId="0" applyNumberFormat="1" applyFont="1" applyFill="1" applyBorder="1" applyAlignment="1">
      <alignment horizontal="center" vertical="center" wrapText="1"/>
    </xf>
    <xf numFmtId="49" fontId="21" fillId="14" borderId="26" xfId="0" applyNumberFormat="1" applyFont="1" applyFill="1" applyBorder="1" applyAlignment="1">
      <alignment horizontal="center" vertical="center" wrapText="1"/>
    </xf>
    <xf numFmtId="49" fontId="21" fillId="14" borderId="7" xfId="0" applyNumberFormat="1" applyFont="1" applyFill="1" applyBorder="1" applyAlignment="1">
      <alignment horizontal="center" vertical="center" wrapText="1"/>
    </xf>
    <xf numFmtId="49" fontId="21" fillId="14" borderId="23" xfId="0" applyNumberFormat="1" applyFont="1" applyFill="1" applyBorder="1" applyAlignment="1">
      <alignment horizontal="center" vertical="center" wrapText="1"/>
    </xf>
    <xf numFmtId="49" fontId="21" fillId="6" borderId="23" xfId="0" applyNumberFormat="1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165" fontId="3" fillId="14" borderId="22" xfId="0" applyNumberFormat="1" applyFont="1" applyFill="1" applyBorder="1" applyAlignment="1">
      <alignment horizontal="center" vertical="center"/>
    </xf>
    <xf numFmtId="2" fontId="3" fillId="10" borderId="16" xfId="0" applyNumberFormat="1" applyFont="1" applyFill="1" applyBorder="1" applyAlignment="1">
      <alignment horizontal="center" vertical="center" wrapText="1"/>
    </xf>
    <xf numFmtId="1" fontId="3" fillId="12" borderId="18" xfId="0" applyNumberFormat="1" applyFont="1" applyFill="1" applyBorder="1" applyAlignment="1">
      <alignment horizontal="center" vertical="center"/>
    </xf>
    <xf numFmtId="1" fontId="3" fillId="12" borderId="18" xfId="0" quotePrefix="1" applyNumberFormat="1" applyFont="1" applyFill="1" applyBorder="1" applyAlignment="1">
      <alignment horizontal="center" vertical="center"/>
    </xf>
    <xf numFmtId="1" fontId="3" fillId="0" borderId="15" xfId="0" quotePrefix="1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164" fontId="22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18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2" fontId="3" fillId="7" borderId="7" xfId="0" applyNumberFormat="1" applyFont="1" applyFill="1" applyBorder="1" applyAlignment="1">
      <alignment horizontal="center" vertical="center"/>
    </xf>
    <xf numFmtId="49" fontId="15" fillId="7" borderId="25" xfId="0" applyNumberFormat="1" applyFont="1" applyFill="1" applyBorder="1" applyAlignment="1">
      <alignment horizontal="center" vertical="center" wrapText="1"/>
    </xf>
    <xf numFmtId="49" fontId="15" fillId="7" borderId="26" xfId="0" applyNumberFormat="1" applyFont="1" applyFill="1" applyBorder="1" applyAlignment="1">
      <alignment horizontal="center" vertical="center" wrapText="1"/>
    </xf>
    <xf numFmtId="49" fontId="15" fillId="7" borderId="23" xfId="0" applyNumberFormat="1" applyFont="1" applyFill="1" applyBorder="1" applyAlignment="1">
      <alignment horizontal="center" vertical="center" wrapText="1"/>
    </xf>
    <xf numFmtId="2" fontId="3" fillId="8" borderId="17" xfId="0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2" fontId="3" fillId="7" borderId="18" xfId="0" applyNumberFormat="1" applyFont="1" applyFill="1" applyBorder="1" applyAlignment="1">
      <alignment horizontal="center" vertical="center"/>
    </xf>
    <xf numFmtId="2" fontId="3" fillId="6" borderId="18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1" fontId="3" fillId="7" borderId="7" xfId="0" applyNumberFormat="1" applyFont="1" applyFill="1" applyBorder="1" applyAlignment="1">
      <alignment horizontal="center" vertical="center"/>
    </xf>
    <xf numFmtId="1" fontId="3" fillId="7" borderId="7" xfId="0" quotePrefix="1" applyNumberFormat="1" applyFont="1" applyFill="1" applyBorder="1" applyAlignment="1">
      <alignment horizontal="center" vertical="center"/>
    </xf>
    <xf numFmtId="2" fontId="3" fillId="7" borderId="45" xfId="0" applyNumberFormat="1" applyFont="1" applyFill="1" applyBorder="1" applyAlignment="1">
      <alignment horizontal="center" vertical="center"/>
    </xf>
    <xf numFmtId="49" fontId="6" fillId="7" borderId="28" xfId="0" applyNumberFormat="1" applyFont="1" applyFill="1" applyBorder="1" applyAlignment="1">
      <alignment horizontal="center" vertical="center"/>
    </xf>
    <xf numFmtId="49" fontId="6" fillId="7" borderId="18" xfId="0" applyNumberFormat="1" applyFont="1" applyFill="1" applyBorder="1" applyAlignment="1">
      <alignment horizontal="center" vertical="center" wrapText="1"/>
    </xf>
    <xf numFmtId="49" fontId="6" fillId="7" borderId="21" xfId="0" applyNumberFormat="1" applyFont="1" applyFill="1" applyBorder="1" applyAlignment="1">
      <alignment horizontal="center" vertical="center" wrapText="1"/>
    </xf>
    <xf numFmtId="49" fontId="6" fillId="7" borderId="16" xfId="0" applyNumberFormat="1" applyFont="1" applyFill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1" fontId="3" fillId="6" borderId="15" xfId="0" quotePrefix="1" applyNumberFormat="1" applyFont="1" applyFill="1" applyBorder="1" applyAlignment="1">
      <alignment horizontal="center" vertical="center"/>
    </xf>
    <xf numFmtId="0" fontId="19" fillId="0" borderId="7" xfId="0" applyFont="1" applyBorder="1" applyAlignment="1" applyProtection="1">
      <alignment horizontal="center" vertical="center"/>
      <protection locked="0"/>
    </xf>
    <xf numFmtId="164" fontId="12" fillId="15" borderId="22" xfId="0" applyNumberFormat="1" applyFont="1" applyFill="1" applyBorder="1" applyAlignment="1" applyProtection="1">
      <alignment horizontal="center" vertical="center"/>
      <protection locked="0"/>
    </xf>
    <xf numFmtId="49" fontId="12" fillId="15" borderId="22" xfId="0" applyNumberFormat="1" applyFont="1" applyFill="1" applyBorder="1" applyAlignment="1" applyProtection="1">
      <alignment horizontal="center" vertical="center"/>
      <protection locked="0"/>
    </xf>
    <xf numFmtId="1" fontId="3" fillId="8" borderId="46" xfId="0" applyNumberFormat="1" applyFont="1" applyFill="1" applyBorder="1" applyAlignment="1">
      <alignment horizontal="center" vertical="center"/>
    </xf>
    <xf numFmtId="1" fontId="3" fillId="8" borderId="25" xfId="0" applyNumberFormat="1" applyFont="1" applyFill="1" applyBorder="1" applyAlignment="1">
      <alignment horizontal="center" vertical="center"/>
    </xf>
    <xf numFmtId="1" fontId="3" fillId="8" borderId="25" xfId="0" quotePrefix="1" applyNumberFormat="1" applyFont="1" applyFill="1" applyBorder="1" applyAlignment="1">
      <alignment horizontal="center" vertical="center"/>
    </xf>
    <xf numFmtId="2" fontId="3" fillId="8" borderId="43" xfId="0" applyNumberFormat="1" applyFont="1" applyFill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/>
    </xf>
    <xf numFmtId="164" fontId="22" fillId="7" borderId="22" xfId="0" applyNumberFormat="1" applyFont="1" applyFill="1" applyBorder="1" applyAlignment="1" applyProtection="1">
      <alignment horizontal="center" vertical="center"/>
      <protection locked="0"/>
    </xf>
    <xf numFmtId="49" fontId="23" fillId="7" borderId="20" xfId="0" applyNumberFormat="1" applyFont="1" applyFill="1" applyBorder="1" applyAlignment="1">
      <alignment horizontal="center" vertical="center"/>
    </xf>
    <xf numFmtId="49" fontId="12" fillId="7" borderId="22" xfId="0" quotePrefix="1" applyNumberFormat="1" applyFont="1" applyFill="1" applyBorder="1" applyAlignment="1" applyProtection="1">
      <alignment horizontal="center" vertical="center"/>
      <protection locked="0"/>
    </xf>
    <xf numFmtId="2" fontId="3" fillId="0" borderId="18" xfId="0" applyNumberFormat="1" applyFont="1" applyBorder="1" applyAlignment="1">
      <alignment horizontal="center" vertical="center"/>
    </xf>
    <xf numFmtId="164" fontId="12" fillId="7" borderId="22" xfId="0" quotePrefix="1" applyNumberFormat="1" applyFont="1" applyFill="1" applyBorder="1" applyAlignment="1" applyProtection="1">
      <alignment horizontal="center" vertical="center"/>
      <protection locked="0"/>
    </xf>
    <xf numFmtId="165" fontId="3" fillId="6" borderId="7" xfId="0" applyNumberFormat="1" applyFont="1" applyFill="1" applyBorder="1" applyAlignment="1">
      <alignment horizontal="center" vertical="center"/>
    </xf>
    <xf numFmtId="164" fontId="12" fillId="7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39" xfId="0" applyFont="1" applyBorder="1" applyAlignment="1">
      <alignment horizontal="center" vertical="center"/>
    </xf>
    <xf numFmtId="49" fontId="3" fillId="7" borderId="14" xfId="0" applyNumberFormat="1" applyFont="1" applyFill="1" applyBorder="1" applyAlignment="1">
      <alignment horizontal="center" vertical="center"/>
    </xf>
    <xf numFmtId="2" fontId="3" fillId="7" borderId="16" xfId="0" applyNumberFormat="1" applyFont="1" applyFill="1" applyBorder="1" applyAlignment="1">
      <alignment horizontal="left" vertical="center"/>
    </xf>
    <xf numFmtId="49" fontId="6" fillId="7" borderId="43" xfId="0" applyNumberFormat="1" applyFont="1" applyFill="1" applyBorder="1" applyAlignment="1">
      <alignment horizontal="left" vertical="center"/>
    </xf>
    <xf numFmtId="1" fontId="3" fillId="7" borderId="26" xfId="0" quotePrefix="1" applyNumberFormat="1" applyFont="1" applyFill="1" applyBorder="1" applyAlignment="1">
      <alignment horizontal="center" vertical="center"/>
    </xf>
    <xf numFmtId="1" fontId="3" fillId="7" borderId="25" xfId="0" applyNumberFormat="1" applyFont="1" applyFill="1" applyBorder="1" applyAlignment="1">
      <alignment horizontal="center" vertical="center"/>
    </xf>
    <xf numFmtId="1" fontId="3" fillId="7" borderId="46" xfId="0" applyNumberFormat="1" applyFont="1" applyFill="1" applyBorder="1" applyAlignment="1">
      <alignment horizontal="center" vertical="center"/>
    </xf>
    <xf numFmtId="1" fontId="3" fillId="7" borderId="26" xfId="0" applyNumberFormat="1" applyFont="1" applyFill="1" applyBorder="1" applyAlignment="1">
      <alignment horizontal="center" vertical="center"/>
    </xf>
    <xf numFmtId="1" fontId="3" fillId="7" borderId="39" xfId="0" applyNumberFormat="1" applyFont="1" applyFill="1" applyBorder="1" applyAlignment="1">
      <alignment horizontal="center" vertical="center"/>
    </xf>
    <xf numFmtId="49" fontId="6" fillId="0" borderId="47" xfId="0" applyNumberFormat="1" applyFont="1" applyBorder="1" applyAlignment="1">
      <alignment horizontal="center" vertical="center"/>
    </xf>
    <xf numFmtId="165" fontId="3" fillId="7" borderId="48" xfId="0" applyNumberFormat="1" applyFont="1" applyFill="1" applyBorder="1" applyAlignment="1">
      <alignment horizontal="center" vertical="center"/>
    </xf>
    <xf numFmtId="164" fontId="12" fillId="7" borderId="48" xfId="0" applyNumberFormat="1" applyFont="1" applyFill="1" applyBorder="1" applyAlignment="1" applyProtection="1">
      <alignment horizontal="center" vertical="center"/>
      <protection locked="0"/>
    </xf>
    <xf numFmtId="0" fontId="3" fillId="7" borderId="48" xfId="0" applyFont="1" applyFill="1" applyBorder="1" applyAlignment="1" applyProtection="1">
      <alignment horizontal="center" vertical="center"/>
      <protection locked="0"/>
    </xf>
    <xf numFmtId="49" fontId="3" fillId="7" borderId="49" xfId="0" applyNumberFormat="1" applyFont="1" applyFill="1" applyBorder="1" applyAlignment="1">
      <alignment horizontal="center" vertical="center"/>
    </xf>
    <xf numFmtId="49" fontId="3" fillId="7" borderId="50" xfId="0" applyNumberFormat="1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2" fontId="3" fillId="7" borderId="51" xfId="0" applyNumberFormat="1" applyFont="1" applyFill="1" applyBorder="1" applyAlignment="1">
      <alignment horizontal="center" vertical="center"/>
    </xf>
    <xf numFmtId="2" fontId="3" fillId="7" borderId="52" xfId="0" applyNumberFormat="1" applyFont="1" applyFill="1" applyBorder="1" applyAlignment="1">
      <alignment horizontal="center" vertical="center"/>
    </xf>
    <xf numFmtId="1" fontId="3" fillId="7" borderId="53" xfId="0" applyNumberFormat="1" applyFont="1" applyFill="1" applyBorder="1" applyAlignment="1">
      <alignment horizontal="center" vertical="center"/>
    </xf>
    <xf numFmtId="1" fontId="3" fillId="0" borderId="54" xfId="0" applyNumberFormat="1" applyFont="1" applyBorder="1" applyAlignment="1">
      <alignment horizontal="center" vertical="center"/>
    </xf>
    <xf numFmtId="2" fontId="3" fillId="0" borderId="55" xfId="0" applyNumberFormat="1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0" fontId="3" fillId="13" borderId="7" xfId="0" applyFont="1" applyFill="1" applyBorder="1" applyAlignment="1" applyProtection="1">
      <alignment horizontal="center" vertical="center"/>
      <protection locked="0"/>
    </xf>
    <xf numFmtId="164" fontId="12" fillId="13" borderId="22" xfId="0" applyNumberFormat="1" applyFont="1" applyFill="1" applyBorder="1" applyAlignment="1" applyProtection="1">
      <alignment horizontal="center" vertical="center"/>
      <protection locked="0"/>
    </xf>
    <xf numFmtId="165" fontId="3" fillId="13" borderId="22" xfId="0" applyNumberFormat="1" applyFont="1" applyFill="1" applyBorder="1" applyAlignment="1">
      <alignment horizontal="center" vertical="center"/>
    </xf>
    <xf numFmtId="49" fontId="6" fillId="13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198782</xdr:colOff>
      <xdr:row>5</xdr:row>
      <xdr:rowOff>762000</xdr:rowOff>
    </xdr:from>
    <xdr:to>
      <xdr:col>37</xdr:col>
      <xdr:colOff>230909</xdr:colOff>
      <xdr:row>85</xdr:row>
      <xdr:rowOff>115956</xdr:rowOff>
    </xdr:to>
    <xdr:cxnSp macro="">
      <xdr:nvCxnSpPr>
        <xdr:cNvPr id="2" name="Conexão reta unidirecional 1">
          <a:extLst>
            <a:ext uri="{FF2B5EF4-FFF2-40B4-BE49-F238E27FC236}">
              <a16:creationId xmlns:a16="http://schemas.microsoft.com/office/drawing/2014/main" id="{CFF3D01F-9B5B-472B-B5D6-61163FD4585E}"/>
            </a:ext>
          </a:extLst>
        </xdr:cNvPr>
        <xdr:cNvCxnSpPr/>
      </xdr:nvCxnSpPr>
      <xdr:spPr>
        <a:xfrm flipH="1">
          <a:off x="36247732" y="1555750"/>
          <a:ext cx="32127" cy="1652435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219807</xdr:colOff>
      <xdr:row>66</xdr:row>
      <xdr:rowOff>170584</xdr:rowOff>
    </xdr:from>
    <xdr:to>
      <xdr:col>39</xdr:col>
      <xdr:colOff>254289</xdr:colOff>
      <xdr:row>68</xdr:row>
      <xdr:rowOff>161193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21B96C95-A8A3-4169-9BB3-043089CB0479}"/>
            </a:ext>
          </a:extLst>
        </xdr:cNvPr>
        <xdr:cNvCxnSpPr/>
      </xdr:nvCxnSpPr>
      <xdr:spPr>
        <a:xfrm flipV="1">
          <a:off x="36268757" y="14273934"/>
          <a:ext cx="542482" cy="397009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241788</xdr:colOff>
      <xdr:row>68</xdr:row>
      <xdr:rowOff>175846</xdr:rowOff>
    </xdr:from>
    <xdr:to>
      <xdr:col>39</xdr:col>
      <xdr:colOff>254536</xdr:colOff>
      <xdr:row>71</xdr:row>
      <xdr:rowOff>17195</xdr:rowOff>
    </xdr:to>
    <xdr:cxnSp macro="">
      <xdr:nvCxnSpPr>
        <xdr:cNvPr id="4" name="Conexão reta unidirecional 3">
          <a:extLst>
            <a:ext uri="{FF2B5EF4-FFF2-40B4-BE49-F238E27FC236}">
              <a16:creationId xmlns:a16="http://schemas.microsoft.com/office/drawing/2014/main" id="{595A7787-8233-42D4-82F3-8C2E708DCCDB}"/>
            </a:ext>
          </a:extLst>
        </xdr:cNvPr>
        <xdr:cNvCxnSpPr/>
      </xdr:nvCxnSpPr>
      <xdr:spPr>
        <a:xfrm>
          <a:off x="36290738" y="14685596"/>
          <a:ext cx="520748" cy="450949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219364</xdr:colOff>
      <xdr:row>6</xdr:row>
      <xdr:rowOff>0</xdr:rowOff>
    </xdr:from>
    <xdr:to>
      <xdr:col>30</xdr:col>
      <xdr:colOff>11546</xdr:colOff>
      <xdr:row>85</xdr:row>
      <xdr:rowOff>103909</xdr:rowOff>
    </xdr:to>
    <xdr:cxnSp macro="">
      <xdr:nvCxnSpPr>
        <xdr:cNvPr id="5" name="Conexão reta unidirecional 4">
          <a:extLst>
            <a:ext uri="{FF2B5EF4-FFF2-40B4-BE49-F238E27FC236}">
              <a16:creationId xmlns:a16="http://schemas.microsoft.com/office/drawing/2014/main" id="{20960DBC-44CE-4EE5-9A9C-BF16B515738A}"/>
            </a:ext>
          </a:extLst>
        </xdr:cNvPr>
        <xdr:cNvCxnSpPr/>
      </xdr:nvCxnSpPr>
      <xdr:spPr>
        <a:xfrm flipH="1">
          <a:off x="31766164" y="1555750"/>
          <a:ext cx="65232" cy="16512309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46182</xdr:colOff>
      <xdr:row>66</xdr:row>
      <xdr:rowOff>127000</xdr:rowOff>
    </xdr:from>
    <xdr:to>
      <xdr:col>29</xdr:col>
      <xdr:colOff>260350</xdr:colOff>
      <xdr:row>68</xdr:row>
      <xdr:rowOff>88900</xdr:rowOff>
    </xdr:to>
    <xdr:cxnSp macro="">
      <xdr:nvCxnSpPr>
        <xdr:cNvPr id="6" name="Conexão reta unidirecional 5">
          <a:extLst>
            <a:ext uri="{FF2B5EF4-FFF2-40B4-BE49-F238E27FC236}">
              <a16:creationId xmlns:a16="http://schemas.microsoft.com/office/drawing/2014/main" id="{96A99720-9ED5-4767-A12E-2C3C487772C3}"/>
            </a:ext>
          </a:extLst>
        </xdr:cNvPr>
        <xdr:cNvCxnSpPr/>
      </xdr:nvCxnSpPr>
      <xdr:spPr>
        <a:xfrm flipH="1" flipV="1">
          <a:off x="31319932" y="14230350"/>
          <a:ext cx="487218" cy="368300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46182</xdr:colOff>
      <xdr:row>68</xdr:row>
      <xdr:rowOff>88900</xdr:rowOff>
    </xdr:from>
    <xdr:to>
      <xdr:col>29</xdr:col>
      <xdr:colOff>260350</xdr:colOff>
      <xdr:row>70</xdr:row>
      <xdr:rowOff>23091</xdr:rowOff>
    </xdr:to>
    <xdr:cxnSp macro="">
      <xdr:nvCxnSpPr>
        <xdr:cNvPr id="7" name="Conexão reta unidirecional 6">
          <a:extLst>
            <a:ext uri="{FF2B5EF4-FFF2-40B4-BE49-F238E27FC236}">
              <a16:creationId xmlns:a16="http://schemas.microsoft.com/office/drawing/2014/main" id="{1850581F-860D-4A29-8216-5CFD8C59E49C}"/>
            </a:ext>
          </a:extLst>
        </xdr:cNvPr>
        <xdr:cNvCxnSpPr/>
      </xdr:nvCxnSpPr>
      <xdr:spPr>
        <a:xfrm flipH="1">
          <a:off x="31319932" y="14598650"/>
          <a:ext cx="487218" cy="34059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219075</xdr:colOff>
      <xdr:row>85</xdr:row>
      <xdr:rowOff>133350</xdr:rowOff>
    </xdr:from>
    <xdr:to>
      <xdr:col>39</xdr:col>
      <xdr:colOff>2228</xdr:colOff>
      <xdr:row>86</xdr:row>
      <xdr:rowOff>172357</xdr:rowOff>
    </xdr:to>
    <xdr:cxnSp macro="">
      <xdr:nvCxnSpPr>
        <xdr:cNvPr id="8" name="Conexão reta unidirecional 7">
          <a:extLst>
            <a:ext uri="{FF2B5EF4-FFF2-40B4-BE49-F238E27FC236}">
              <a16:creationId xmlns:a16="http://schemas.microsoft.com/office/drawing/2014/main" id="{FB1D485A-4F1E-4A97-A911-97B40959A09A}"/>
            </a:ext>
          </a:extLst>
        </xdr:cNvPr>
        <xdr:cNvCxnSpPr/>
      </xdr:nvCxnSpPr>
      <xdr:spPr>
        <a:xfrm>
          <a:off x="36268025" y="18097500"/>
          <a:ext cx="291153" cy="242207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102577</xdr:colOff>
      <xdr:row>84</xdr:row>
      <xdr:rowOff>58615</xdr:rowOff>
    </xdr:from>
    <xdr:to>
      <xdr:col>39</xdr:col>
      <xdr:colOff>14654</xdr:colOff>
      <xdr:row>85</xdr:row>
      <xdr:rowOff>65942</xdr:rowOff>
    </xdr:to>
    <xdr:cxnSp macro="">
      <xdr:nvCxnSpPr>
        <xdr:cNvPr id="9" name="Conexão reta unidirecional 8">
          <a:extLst>
            <a:ext uri="{FF2B5EF4-FFF2-40B4-BE49-F238E27FC236}">
              <a16:creationId xmlns:a16="http://schemas.microsoft.com/office/drawing/2014/main" id="{F49D1A90-13C2-4A2B-9A54-EE5F1AFF5AA2}"/>
            </a:ext>
          </a:extLst>
        </xdr:cNvPr>
        <xdr:cNvCxnSpPr/>
      </xdr:nvCxnSpPr>
      <xdr:spPr>
        <a:xfrm flipV="1">
          <a:off x="36151527" y="17819565"/>
          <a:ext cx="420077" cy="210527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105454</xdr:colOff>
      <xdr:row>85</xdr:row>
      <xdr:rowOff>59242</xdr:rowOff>
    </xdr:from>
    <xdr:to>
      <xdr:col>38</xdr:col>
      <xdr:colOff>0</xdr:colOff>
      <xdr:row>151</xdr:row>
      <xdr:rowOff>108857</xdr:rowOff>
    </xdr:to>
    <xdr:cxnSp macro="">
      <xdr:nvCxnSpPr>
        <xdr:cNvPr id="10" name="Conexão reta unidirecional 9">
          <a:extLst>
            <a:ext uri="{FF2B5EF4-FFF2-40B4-BE49-F238E27FC236}">
              <a16:creationId xmlns:a16="http://schemas.microsoft.com/office/drawing/2014/main" id="{28A74BA6-2666-4404-BE3A-BF98D6624CA9}"/>
            </a:ext>
          </a:extLst>
        </xdr:cNvPr>
        <xdr:cNvCxnSpPr/>
      </xdr:nvCxnSpPr>
      <xdr:spPr>
        <a:xfrm>
          <a:off x="36154404" y="18023392"/>
          <a:ext cx="148546" cy="13460815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57727</xdr:colOff>
      <xdr:row>116</xdr:row>
      <xdr:rowOff>108858</xdr:rowOff>
    </xdr:from>
    <xdr:to>
      <xdr:col>40</xdr:col>
      <xdr:colOff>0</xdr:colOff>
      <xdr:row>118</xdr:row>
      <xdr:rowOff>80818</xdr:rowOff>
    </xdr:to>
    <xdr:cxnSp macro="">
      <xdr:nvCxnSpPr>
        <xdr:cNvPr id="11" name="Conexão reta unidirecional 10">
          <a:extLst>
            <a:ext uri="{FF2B5EF4-FFF2-40B4-BE49-F238E27FC236}">
              <a16:creationId xmlns:a16="http://schemas.microsoft.com/office/drawing/2014/main" id="{84788D3B-BE4C-4BAF-9A24-22DF524EDF29}"/>
            </a:ext>
          </a:extLst>
        </xdr:cNvPr>
        <xdr:cNvCxnSpPr/>
      </xdr:nvCxnSpPr>
      <xdr:spPr>
        <a:xfrm flipV="1">
          <a:off x="36360677" y="24372208"/>
          <a:ext cx="450273" cy="378360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46182</xdr:colOff>
      <xdr:row>118</xdr:row>
      <xdr:rowOff>127000</xdr:rowOff>
    </xdr:from>
    <xdr:to>
      <xdr:col>40</xdr:col>
      <xdr:colOff>0</xdr:colOff>
      <xdr:row>120</xdr:row>
      <xdr:rowOff>108857</xdr:rowOff>
    </xdr:to>
    <xdr:cxnSp macro="">
      <xdr:nvCxnSpPr>
        <xdr:cNvPr id="12" name="Conexão reta unidirecional 11">
          <a:extLst>
            <a:ext uri="{FF2B5EF4-FFF2-40B4-BE49-F238E27FC236}">
              <a16:creationId xmlns:a16="http://schemas.microsoft.com/office/drawing/2014/main" id="{F803D4D6-6A93-421F-AC9F-C265B00492F0}"/>
            </a:ext>
          </a:extLst>
        </xdr:cNvPr>
        <xdr:cNvCxnSpPr/>
      </xdr:nvCxnSpPr>
      <xdr:spPr>
        <a:xfrm>
          <a:off x="36349132" y="24796750"/>
          <a:ext cx="461818" cy="388257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256199</xdr:colOff>
      <xdr:row>151</xdr:row>
      <xdr:rowOff>97692</xdr:rowOff>
    </xdr:from>
    <xdr:to>
      <xdr:col>40</xdr:col>
      <xdr:colOff>27214</xdr:colOff>
      <xdr:row>152</xdr:row>
      <xdr:rowOff>149678</xdr:rowOff>
    </xdr:to>
    <xdr:cxnSp macro="">
      <xdr:nvCxnSpPr>
        <xdr:cNvPr id="13" name="Conexão reta unidirecional 12">
          <a:extLst>
            <a:ext uri="{FF2B5EF4-FFF2-40B4-BE49-F238E27FC236}">
              <a16:creationId xmlns:a16="http://schemas.microsoft.com/office/drawing/2014/main" id="{646B754D-65DD-4292-BBA1-5D6CACC6CE16}"/>
            </a:ext>
          </a:extLst>
        </xdr:cNvPr>
        <xdr:cNvCxnSpPr/>
      </xdr:nvCxnSpPr>
      <xdr:spPr>
        <a:xfrm>
          <a:off x="36305149" y="31473042"/>
          <a:ext cx="533015" cy="25518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76200</xdr:colOff>
      <xdr:row>150</xdr:row>
      <xdr:rowOff>68035</xdr:rowOff>
    </xdr:from>
    <xdr:to>
      <xdr:col>40</xdr:col>
      <xdr:colOff>27214</xdr:colOff>
      <xdr:row>151</xdr:row>
      <xdr:rowOff>0</xdr:rowOff>
    </xdr:to>
    <xdr:cxnSp macro="">
      <xdr:nvCxnSpPr>
        <xdr:cNvPr id="14" name="Conexão reta unidirecional 13">
          <a:extLst>
            <a:ext uri="{FF2B5EF4-FFF2-40B4-BE49-F238E27FC236}">
              <a16:creationId xmlns:a16="http://schemas.microsoft.com/office/drawing/2014/main" id="{8C16DF3E-3D02-459D-A616-C2C31B9A5BD4}"/>
            </a:ext>
          </a:extLst>
        </xdr:cNvPr>
        <xdr:cNvCxnSpPr/>
      </xdr:nvCxnSpPr>
      <xdr:spPr>
        <a:xfrm flipV="1">
          <a:off x="36379150" y="31240185"/>
          <a:ext cx="459014" cy="135165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214313</xdr:colOff>
      <xdr:row>150</xdr:row>
      <xdr:rowOff>179998</xdr:rowOff>
    </xdr:from>
    <xdr:to>
      <xdr:col>38</xdr:col>
      <xdr:colOff>73269</xdr:colOff>
      <xdr:row>203</xdr:row>
      <xdr:rowOff>196453</xdr:rowOff>
    </xdr:to>
    <xdr:cxnSp macro="">
      <xdr:nvCxnSpPr>
        <xdr:cNvPr id="15" name="Conexão reta unidirecional 14">
          <a:extLst>
            <a:ext uri="{FF2B5EF4-FFF2-40B4-BE49-F238E27FC236}">
              <a16:creationId xmlns:a16="http://schemas.microsoft.com/office/drawing/2014/main" id="{374286D2-BDFF-4B49-83BC-9B3AD6C55360}"/>
            </a:ext>
          </a:extLst>
        </xdr:cNvPr>
        <xdr:cNvCxnSpPr/>
      </xdr:nvCxnSpPr>
      <xdr:spPr>
        <a:xfrm flipH="1">
          <a:off x="36263263" y="31352148"/>
          <a:ext cx="112956" cy="11300405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197643</xdr:colOff>
      <xdr:row>203</xdr:row>
      <xdr:rowOff>181769</xdr:rowOff>
    </xdr:from>
    <xdr:to>
      <xdr:col>40</xdr:col>
      <xdr:colOff>67235</xdr:colOff>
      <xdr:row>204</xdr:row>
      <xdr:rowOff>123264</xdr:rowOff>
    </xdr:to>
    <xdr:cxnSp macro="">
      <xdr:nvCxnSpPr>
        <xdr:cNvPr id="16" name="Conexão reta unidirecional 15">
          <a:extLst>
            <a:ext uri="{FF2B5EF4-FFF2-40B4-BE49-F238E27FC236}">
              <a16:creationId xmlns:a16="http://schemas.microsoft.com/office/drawing/2014/main" id="{2B0A9830-8FFA-4CD7-9F9B-69994B5BDA42}"/>
            </a:ext>
          </a:extLst>
        </xdr:cNvPr>
        <xdr:cNvCxnSpPr/>
      </xdr:nvCxnSpPr>
      <xdr:spPr>
        <a:xfrm>
          <a:off x="36246593" y="42637869"/>
          <a:ext cx="631592" cy="144695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130968</xdr:colOff>
      <xdr:row>202</xdr:row>
      <xdr:rowOff>56029</xdr:rowOff>
    </xdr:from>
    <xdr:to>
      <xdr:col>40</xdr:col>
      <xdr:colOff>67235</xdr:colOff>
      <xdr:row>202</xdr:row>
      <xdr:rowOff>181769</xdr:rowOff>
    </xdr:to>
    <xdr:cxnSp macro="">
      <xdr:nvCxnSpPr>
        <xdr:cNvPr id="17" name="Conexão reta unidirecional 16">
          <a:extLst>
            <a:ext uri="{FF2B5EF4-FFF2-40B4-BE49-F238E27FC236}">
              <a16:creationId xmlns:a16="http://schemas.microsoft.com/office/drawing/2014/main" id="{4ECEAD55-ADF2-4DA8-A269-F4478A0C7327}"/>
            </a:ext>
          </a:extLst>
        </xdr:cNvPr>
        <xdr:cNvCxnSpPr/>
      </xdr:nvCxnSpPr>
      <xdr:spPr>
        <a:xfrm flipV="1">
          <a:off x="36433918" y="42308929"/>
          <a:ext cx="444267" cy="125740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51289</xdr:colOff>
      <xdr:row>85</xdr:row>
      <xdr:rowOff>104499</xdr:rowOff>
    </xdr:from>
    <xdr:to>
      <xdr:col>29</xdr:col>
      <xdr:colOff>218522</xdr:colOff>
      <xdr:row>86</xdr:row>
      <xdr:rowOff>153865</xdr:rowOff>
    </xdr:to>
    <xdr:cxnSp macro="">
      <xdr:nvCxnSpPr>
        <xdr:cNvPr id="18" name="Conexão reta unidirecional 17">
          <a:extLst>
            <a:ext uri="{FF2B5EF4-FFF2-40B4-BE49-F238E27FC236}">
              <a16:creationId xmlns:a16="http://schemas.microsoft.com/office/drawing/2014/main" id="{F4A9676E-E61E-4EB3-BB97-5CE329BA0342}"/>
            </a:ext>
          </a:extLst>
        </xdr:cNvPr>
        <xdr:cNvCxnSpPr/>
      </xdr:nvCxnSpPr>
      <xdr:spPr>
        <a:xfrm flipH="1">
          <a:off x="31325039" y="18068649"/>
          <a:ext cx="440283" cy="25256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21981</xdr:colOff>
      <xdr:row>84</xdr:row>
      <xdr:rowOff>26133</xdr:rowOff>
    </xdr:from>
    <xdr:to>
      <xdr:col>29</xdr:col>
      <xdr:colOff>95250</xdr:colOff>
      <xdr:row>84</xdr:row>
      <xdr:rowOff>190500</xdr:rowOff>
    </xdr:to>
    <xdr:cxnSp macro="">
      <xdr:nvCxnSpPr>
        <xdr:cNvPr id="19" name="Conexão reta unidirecional 18">
          <a:extLst>
            <a:ext uri="{FF2B5EF4-FFF2-40B4-BE49-F238E27FC236}">
              <a16:creationId xmlns:a16="http://schemas.microsoft.com/office/drawing/2014/main" id="{314CC1F0-AC0B-4EB0-85C7-BF7EA7BBE74C}"/>
            </a:ext>
          </a:extLst>
        </xdr:cNvPr>
        <xdr:cNvCxnSpPr/>
      </xdr:nvCxnSpPr>
      <xdr:spPr>
        <a:xfrm flipH="1" flipV="1">
          <a:off x="31295731" y="17787083"/>
          <a:ext cx="346319" cy="164367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27215</xdr:colOff>
      <xdr:row>151</xdr:row>
      <xdr:rowOff>188791</xdr:rowOff>
    </xdr:from>
    <xdr:to>
      <xdr:col>29</xdr:col>
      <xdr:colOff>211086</xdr:colOff>
      <xdr:row>152</xdr:row>
      <xdr:rowOff>122464</xdr:rowOff>
    </xdr:to>
    <xdr:cxnSp macro="">
      <xdr:nvCxnSpPr>
        <xdr:cNvPr id="20" name="Conexão reta unidirecional 19">
          <a:extLst>
            <a:ext uri="{FF2B5EF4-FFF2-40B4-BE49-F238E27FC236}">
              <a16:creationId xmlns:a16="http://schemas.microsoft.com/office/drawing/2014/main" id="{AC6EA351-0C31-4A72-8ADB-A73142EEB908}"/>
            </a:ext>
          </a:extLst>
        </xdr:cNvPr>
        <xdr:cNvCxnSpPr/>
      </xdr:nvCxnSpPr>
      <xdr:spPr>
        <a:xfrm flipH="1">
          <a:off x="31300965" y="31564141"/>
          <a:ext cx="456921" cy="136873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150</xdr:row>
      <xdr:rowOff>136071</xdr:rowOff>
    </xdr:from>
    <xdr:to>
      <xdr:col>30</xdr:col>
      <xdr:colOff>64930</xdr:colOff>
      <xdr:row>151</xdr:row>
      <xdr:rowOff>47729</xdr:rowOff>
    </xdr:to>
    <xdr:cxnSp macro="">
      <xdr:nvCxnSpPr>
        <xdr:cNvPr id="21" name="Conexão reta unidirecional 20">
          <a:extLst>
            <a:ext uri="{FF2B5EF4-FFF2-40B4-BE49-F238E27FC236}">
              <a16:creationId xmlns:a16="http://schemas.microsoft.com/office/drawing/2014/main" id="{E82BE2CF-2594-4317-8834-D8DC51961DE4}"/>
            </a:ext>
          </a:extLst>
        </xdr:cNvPr>
        <xdr:cNvCxnSpPr/>
      </xdr:nvCxnSpPr>
      <xdr:spPr>
        <a:xfrm flipH="1" flipV="1">
          <a:off x="31273750" y="31308221"/>
          <a:ext cx="611030" cy="11485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23813</xdr:colOff>
      <xdr:row>151</xdr:row>
      <xdr:rowOff>48113</xdr:rowOff>
    </xdr:from>
    <xdr:to>
      <xdr:col>30</xdr:col>
      <xdr:colOff>58616</xdr:colOff>
      <xdr:row>204</xdr:row>
      <xdr:rowOff>65484</xdr:rowOff>
    </xdr:to>
    <xdr:cxnSp macro="">
      <xdr:nvCxnSpPr>
        <xdr:cNvPr id="22" name="Conexão reta unidirecional 21">
          <a:extLst>
            <a:ext uri="{FF2B5EF4-FFF2-40B4-BE49-F238E27FC236}">
              <a16:creationId xmlns:a16="http://schemas.microsoft.com/office/drawing/2014/main" id="{2E1FB4C4-57ED-4AD1-A795-DF3D3ADC821F}"/>
            </a:ext>
          </a:extLst>
        </xdr:cNvPr>
        <xdr:cNvCxnSpPr/>
      </xdr:nvCxnSpPr>
      <xdr:spPr>
        <a:xfrm flipH="1">
          <a:off x="31843663" y="31423463"/>
          <a:ext cx="34803" cy="11301321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728382</xdr:colOff>
      <xdr:row>204</xdr:row>
      <xdr:rowOff>48532</xdr:rowOff>
    </xdr:from>
    <xdr:to>
      <xdr:col>30</xdr:col>
      <xdr:colOff>11850</xdr:colOff>
      <xdr:row>204</xdr:row>
      <xdr:rowOff>123264</xdr:rowOff>
    </xdr:to>
    <xdr:cxnSp macro="">
      <xdr:nvCxnSpPr>
        <xdr:cNvPr id="23" name="Conexão reta unidirecional 22">
          <a:extLst>
            <a:ext uri="{FF2B5EF4-FFF2-40B4-BE49-F238E27FC236}">
              <a16:creationId xmlns:a16="http://schemas.microsoft.com/office/drawing/2014/main" id="{7C7D939B-DAB9-4D44-918C-A1121E0B699D}"/>
            </a:ext>
          </a:extLst>
        </xdr:cNvPr>
        <xdr:cNvCxnSpPr/>
      </xdr:nvCxnSpPr>
      <xdr:spPr>
        <a:xfrm flipH="1">
          <a:off x="31240132" y="42707832"/>
          <a:ext cx="591568" cy="7473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202</xdr:row>
      <xdr:rowOff>122464</xdr:rowOff>
    </xdr:from>
    <xdr:to>
      <xdr:col>30</xdr:col>
      <xdr:colOff>162755</xdr:colOff>
      <xdr:row>203</xdr:row>
      <xdr:rowOff>12085</xdr:rowOff>
    </xdr:to>
    <xdr:cxnSp macro="">
      <xdr:nvCxnSpPr>
        <xdr:cNvPr id="24" name="Conexão reta unidirecional 23">
          <a:extLst>
            <a:ext uri="{FF2B5EF4-FFF2-40B4-BE49-F238E27FC236}">
              <a16:creationId xmlns:a16="http://schemas.microsoft.com/office/drawing/2014/main" id="{5EC0B21B-6FFA-449A-B0C7-D3B03D64F707}"/>
            </a:ext>
          </a:extLst>
        </xdr:cNvPr>
        <xdr:cNvCxnSpPr/>
      </xdr:nvCxnSpPr>
      <xdr:spPr>
        <a:xfrm flipH="1" flipV="1">
          <a:off x="31273750" y="42375364"/>
          <a:ext cx="708855" cy="9282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101600</xdr:colOff>
      <xdr:row>84</xdr:row>
      <xdr:rowOff>171450</xdr:rowOff>
    </xdr:from>
    <xdr:to>
      <xdr:col>29</xdr:col>
      <xdr:colOff>190500</xdr:colOff>
      <xdr:row>151</xdr:row>
      <xdr:rowOff>190500</xdr:rowOff>
    </xdr:to>
    <xdr:cxnSp macro="">
      <xdr:nvCxnSpPr>
        <xdr:cNvPr id="25" name="Conexão reta unidirecional 24">
          <a:extLst>
            <a:ext uri="{FF2B5EF4-FFF2-40B4-BE49-F238E27FC236}">
              <a16:creationId xmlns:a16="http://schemas.microsoft.com/office/drawing/2014/main" id="{E5F652C0-9514-48C5-8BCC-6127C35E3B26}"/>
            </a:ext>
          </a:extLst>
        </xdr:cNvPr>
        <xdr:cNvCxnSpPr/>
      </xdr:nvCxnSpPr>
      <xdr:spPr>
        <a:xfrm>
          <a:off x="31648400" y="17932400"/>
          <a:ext cx="88900" cy="13633450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116</xdr:row>
      <xdr:rowOff>105683</xdr:rowOff>
    </xdr:from>
    <xdr:to>
      <xdr:col>30</xdr:col>
      <xdr:colOff>0</xdr:colOff>
      <xdr:row>118</xdr:row>
      <xdr:rowOff>108857</xdr:rowOff>
    </xdr:to>
    <xdr:cxnSp macro="">
      <xdr:nvCxnSpPr>
        <xdr:cNvPr id="26" name="Conexão reta unidirecional 25">
          <a:extLst>
            <a:ext uri="{FF2B5EF4-FFF2-40B4-BE49-F238E27FC236}">
              <a16:creationId xmlns:a16="http://schemas.microsoft.com/office/drawing/2014/main" id="{187CD13C-D9AC-4DF6-BE2D-127D6CF45066}"/>
            </a:ext>
          </a:extLst>
        </xdr:cNvPr>
        <xdr:cNvCxnSpPr/>
      </xdr:nvCxnSpPr>
      <xdr:spPr>
        <a:xfrm flipH="1" flipV="1">
          <a:off x="31273750" y="24369033"/>
          <a:ext cx="546100" cy="409574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30389</xdr:colOff>
      <xdr:row>118</xdr:row>
      <xdr:rowOff>108857</xdr:rowOff>
    </xdr:from>
    <xdr:to>
      <xdr:col>29</xdr:col>
      <xdr:colOff>258536</xdr:colOff>
      <xdr:row>119</xdr:row>
      <xdr:rowOff>162758</xdr:rowOff>
    </xdr:to>
    <xdr:cxnSp macro="">
      <xdr:nvCxnSpPr>
        <xdr:cNvPr id="27" name="Conexão reta unidirecional 26">
          <a:extLst>
            <a:ext uri="{FF2B5EF4-FFF2-40B4-BE49-F238E27FC236}">
              <a16:creationId xmlns:a16="http://schemas.microsoft.com/office/drawing/2014/main" id="{AB75F8B4-19E2-4331-BD19-AC4030D4B7C5}"/>
            </a:ext>
          </a:extLst>
        </xdr:cNvPr>
        <xdr:cNvCxnSpPr/>
      </xdr:nvCxnSpPr>
      <xdr:spPr>
        <a:xfrm flipH="1">
          <a:off x="31304139" y="24778607"/>
          <a:ext cx="501197" cy="25710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38760</xdr:colOff>
      <xdr:row>174</xdr:row>
      <xdr:rowOff>143494</xdr:rowOff>
    </xdr:from>
    <xdr:to>
      <xdr:col>30</xdr:col>
      <xdr:colOff>59544</xdr:colOff>
      <xdr:row>176</xdr:row>
      <xdr:rowOff>109342</xdr:rowOff>
    </xdr:to>
    <xdr:cxnSp macro="">
      <xdr:nvCxnSpPr>
        <xdr:cNvPr id="28" name="Conexão reta unidirecional 27">
          <a:extLst>
            <a:ext uri="{FF2B5EF4-FFF2-40B4-BE49-F238E27FC236}">
              <a16:creationId xmlns:a16="http://schemas.microsoft.com/office/drawing/2014/main" id="{D9467080-4FCE-491F-BBAC-5552AB2DB8B2}"/>
            </a:ext>
          </a:extLst>
        </xdr:cNvPr>
        <xdr:cNvCxnSpPr/>
      </xdr:nvCxnSpPr>
      <xdr:spPr>
        <a:xfrm flipH="1" flipV="1">
          <a:off x="31312510" y="36192444"/>
          <a:ext cx="566884" cy="37224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38760</xdr:colOff>
      <xdr:row>176</xdr:row>
      <xdr:rowOff>126999</xdr:rowOff>
    </xdr:from>
    <xdr:to>
      <xdr:col>30</xdr:col>
      <xdr:colOff>43007</xdr:colOff>
      <xdr:row>178</xdr:row>
      <xdr:rowOff>116278</xdr:rowOff>
    </xdr:to>
    <xdr:cxnSp macro="">
      <xdr:nvCxnSpPr>
        <xdr:cNvPr id="29" name="Conexão reta unidirecional 28">
          <a:extLst>
            <a:ext uri="{FF2B5EF4-FFF2-40B4-BE49-F238E27FC236}">
              <a16:creationId xmlns:a16="http://schemas.microsoft.com/office/drawing/2014/main" id="{8C60356A-A0BA-477C-B3ED-4EEBB22E8A26}"/>
            </a:ext>
          </a:extLst>
        </xdr:cNvPr>
        <xdr:cNvCxnSpPr/>
      </xdr:nvCxnSpPr>
      <xdr:spPr>
        <a:xfrm flipH="1">
          <a:off x="31312510" y="36582349"/>
          <a:ext cx="550347" cy="395679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67235</xdr:colOff>
      <xdr:row>174</xdr:row>
      <xdr:rowOff>92366</xdr:rowOff>
    </xdr:from>
    <xdr:to>
      <xdr:col>40</xdr:col>
      <xdr:colOff>0</xdr:colOff>
      <xdr:row>176</xdr:row>
      <xdr:rowOff>78102</xdr:rowOff>
    </xdr:to>
    <xdr:cxnSp macro="">
      <xdr:nvCxnSpPr>
        <xdr:cNvPr id="30" name="Conexão reta unidirecional 29">
          <a:extLst>
            <a:ext uri="{FF2B5EF4-FFF2-40B4-BE49-F238E27FC236}">
              <a16:creationId xmlns:a16="http://schemas.microsoft.com/office/drawing/2014/main" id="{04106E04-7407-4FBE-998E-5FE039F8810B}"/>
            </a:ext>
          </a:extLst>
        </xdr:cNvPr>
        <xdr:cNvCxnSpPr/>
      </xdr:nvCxnSpPr>
      <xdr:spPr>
        <a:xfrm flipV="1">
          <a:off x="36370185" y="36141316"/>
          <a:ext cx="440765" cy="39213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80818</xdr:colOff>
      <xdr:row>176</xdr:row>
      <xdr:rowOff>92363</xdr:rowOff>
    </xdr:from>
    <xdr:to>
      <xdr:col>40</xdr:col>
      <xdr:colOff>0</xdr:colOff>
      <xdr:row>178</xdr:row>
      <xdr:rowOff>92364</xdr:rowOff>
    </xdr:to>
    <xdr:cxnSp macro="">
      <xdr:nvCxnSpPr>
        <xdr:cNvPr id="31" name="Conexão reta unidirecional 30">
          <a:extLst>
            <a:ext uri="{FF2B5EF4-FFF2-40B4-BE49-F238E27FC236}">
              <a16:creationId xmlns:a16="http://schemas.microsoft.com/office/drawing/2014/main" id="{B5A185AC-E01E-4A5E-920E-F6082323B9D9}"/>
            </a:ext>
          </a:extLst>
        </xdr:cNvPr>
        <xdr:cNvCxnSpPr/>
      </xdr:nvCxnSpPr>
      <xdr:spPr>
        <a:xfrm>
          <a:off x="36383768" y="36547713"/>
          <a:ext cx="427182" cy="40640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57727</xdr:colOff>
      <xdr:row>202</xdr:row>
      <xdr:rowOff>154782</xdr:rowOff>
    </xdr:from>
    <xdr:to>
      <xdr:col>38</xdr:col>
      <xdr:colOff>119062</xdr:colOff>
      <xdr:row>259</xdr:row>
      <xdr:rowOff>173182</xdr:rowOff>
    </xdr:to>
    <xdr:cxnSp macro="">
      <xdr:nvCxnSpPr>
        <xdr:cNvPr id="32" name="Conexão reta unidirecional 31">
          <a:extLst>
            <a:ext uri="{FF2B5EF4-FFF2-40B4-BE49-F238E27FC236}">
              <a16:creationId xmlns:a16="http://schemas.microsoft.com/office/drawing/2014/main" id="{AAD5822A-8FE8-4672-A2E1-25B4BE3DE7D0}"/>
            </a:ext>
          </a:extLst>
        </xdr:cNvPr>
        <xdr:cNvCxnSpPr/>
      </xdr:nvCxnSpPr>
      <xdr:spPr>
        <a:xfrm flipH="1">
          <a:off x="36360677" y="42407682"/>
          <a:ext cx="61335" cy="11969100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11206</xdr:colOff>
      <xdr:row>203</xdr:row>
      <xdr:rowOff>26987</xdr:rowOff>
    </xdr:from>
    <xdr:to>
      <xdr:col>30</xdr:col>
      <xdr:colOff>140097</xdr:colOff>
      <xdr:row>260</xdr:row>
      <xdr:rowOff>123265</xdr:rowOff>
    </xdr:to>
    <xdr:cxnSp macro="">
      <xdr:nvCxnSpPr>
        <xdr:cNvPr id="33" name="Conexão reta unidirecional 32">
          <a:extLst>
            <a:ext uri="{FF2B5EF4-FFF2-40B4-BE49-F238E27FC236}">
              <a16:creationId xmlns:a16="http://schemas.microsoft.com/office/drawing/2014/main" id="{8FD4EF19-BEDA-4614-8253-242F94E96867}"/>
            </a:ext>
          </a:extLst>
        </xdr:cNvPr>
        <xdr:cNvCxnSpPr/>
      </xdr:nvCxnSpPr>
      <xdr:spPr>
        <a:xfrm flipH="1">
          <a:off x="31831056" y="42483087"/>
          <a:ext cx="128891" cy="12046978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212</xdr:row>
      <xdr:rowOff>67235</xdr:rowOff>
    </xdr:from>
    <xdr:to>
      <xdr:col>39</xdr:col>
      <xdr:colOff>235323</xdr:colOff>
      <xdr:row>217</xdr:row>
      <xdr:rowOff>168088</xdr:rowOff>
    </xdr:to>
    <xdr:cxnSp macro="">
      <xdr:nvCxnSpPr>
        <xdr:cNvPr id="34" name="Conexão reta unidirecional 33">
          <a:extLst>
            <a:ext uri="{FF2B5EF4-FFF2-40B4-BE49-F238E27FC236}">
              <a16:creationId xmlns:a16="http://schemas.microsoft.com/office/drawing/2014/main" id="{EFFBD608-3115-4142-B30E-014D66BF7B5A}"/>
            </a:ext>
          </a:extLst>
        </xdr:cNvPr>
        <xdr:cNvCxnSpPr/>
      </xdr:nvCxnSpPr>
      <xdr:spPr>
        <a:xfrm flipH="1">
          <a:off x="34651950" y="44352135"/>
          <a:ext cx="2140323" cy="1313703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739588</xdr:colOff>
      <xdr:row>217</xdr:row>
      <xdr:rowOff>146016</xdr:rowOff>
    </xdr:from>
    <xdr:to>
      <xdr:col>34</xdr:col>
      <xdr:colOff>406467</xdr:colOff>
      <xdr:row>228</xdr:row>
      <xdr:rowOff>123264</xdr:rowOff>
    </xdr:to>
    <xdr:cxnSp macro="">
      <xdr:nvCxnSpPr>
        <xdr:cNvPr id="35" name="Conexão reta unidirecional 36">
          <a:extLst>
            <a:ext uri="{FF2B5EF4-FFF2-40B4-BE49-F238E27FC236}">
              <a16:creationId xmlns:a16="http://schemas.microsoft.com/office/drawing/2014/main" id="{13746A67-AC29-48FC-8F7C-F1E4DDA3918A}"/>
            </a:ext>
          </a:extLst>
        </xdr:cNvPr>
        <xdr:cNvCxnSpPr/>
      </xdr:nvCxnSpPr>
      <xdr:spPr>
        <a:xfrm flipH="1">
          <a:off x="31251338" y="45643766"/>
          <a:ext cx="3426079" cy="2212448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stealt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616642</xdr:colOff>
      <xdr:row>217</xdr:row>
      <xdr:rowOff>180412</xdr:rowOff>
    </xdr:from>
    <xdr:to>
      <xdr:col>34</xdr:col>
      <xdr:colOff>745869</xdr:colOff>
      <xdr:row>219</xdr:row>
      <xdr:rowOff>159520</xdr:rowOff>
    </xdr:to>
    <xdr:sp macro="" textlink="">
      <xdr:nvSpPr>
        <xdr:cNvPr id="36" name="Fluxograma: Decisão 37">
          <a:extLst>
            <a:ext uri="{FF2B5EF4-FFF2-40B4-BE49-F238E27FC236}">
              <a16:creationId xmlns:a16="http://schemas.microsoft.com/office/drawing/2014/main" id="{1417728D-3B6B-4B65-8A08-C18E31C7BA11}"/>
            </a:ext>
          </a:extLst>
        </xdr:cNvPr>
        <xdr:cNvSpPr/>
      </xdr:nvSpPr>
      <xdr:spPr>
        <a:xfrm rot="3421034">
          <a:off x="34187952" y="45234802"/>
          <a:ext cx="385508" cy="1272227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37</xdr:col>
      <xdr:colOff>228600</xdr:colOff>
      <xdr:row>252</xdr:row>
      <xdr:rowOff>76064</xdr:rowOff>
    </xdr:from>
    <xdr:to>
      <xdr:col>40</xdr:col>
      <xdr:colOff>0</xdr:colOff>
      <xdr:row>255</xdr:row>
      <xdr:rowOff>38100</xdr:rowOff>
    </xdr:to>
    <xdr:cxnSp macro="">
      <xdr:nvCxnSpPr>
        <xdr:cNvPr id="37" name="Conexão reta unidirecional 38">
          <a:extLst>
            <a:ext uri="{FF2B5EF4-FFF2-40B4-BE49-F238E27FC236}">
              <a16:creationId xmlns:a16="http://schemas.microsoft.com/office/drawing/2014/main" id="{7E42A8E5-7059-444D-9C30-588740B6BB68}"/>
            </a:ext>
          </a:extLst>
        </xdr:cNvPr>
        <xdr:cNvCxnSpPr/>
      </xdr:nvCxnSpPr>
      <xdr:spPr>
        <a:xfrm flipH="1">
          <a:off x="36277550" y="52857264"/>
          <a:ext cx="533400" cy="571636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38100</xdr:colOff>
      <xdr:row>254</xdr:row>
      <xdr:rowOff>69272</xdr:rowOff>
    </xdr:from>
    <xdr:to>
      <xdr:col>40</xdr:col>
      <xdr:colOff>0</xdr:colOff>
      <xdr:row>256</xdr:row>
      <xdr:rowOff>120649</xdr:rowOff>
    </xdr:to>
    <xdr:cxnSp macro="">
      <xdr:nvCxnSpPr>
        <xdr:cNvPr id="38" name="Conexão reta unidirecional 39">
          <a:extLst>
            <a:ext uri="{FF2B5EF4-FFF2-40B4-BE49-F238E27FC236}">
              <a16:creationId xmlns:a16="http://schemas.microsoft.com/office/drawing/2014/main" id="{8DE19CA0-1515-41FE-A921-524350975489}"/>
            </a:ext>
          </a:extLst>
        </xdr:cNvPr>
        <xdr:cNvCxnSpPr/>
      </xdr:nvCxnSpPr>
      <xdr:spPr>
        <a:xfrm flipH="1">
          <a:off x="36341050" y="53256872"/>
          <a:ext cx="469900" cy="457777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82550</xdr:colOff>
      <xdr:row>258</xdr:row>
      <xdr:rowOff>6350</xdr:rowOff>
    </xdr:from>
    <xdr:to>
      <xdr:col>40</xdr:col>
      <xdr:colOff>0</xdr:colOff>
      <xdr:row>260</xdr:row>
      <xdr:rowOff>115455</xdr:rowOff>
    </xdr:to>
    <xdr:cxnSp macro="">
      <xdr:nvCxnSpPr>
        <xdr:cNvPr id="39" name="Conexão reta unidirecional 40">
          <a:extLst>
            <a:ext uri="{FF2B5EF4-FFF2-40B4-BE49-F238E27FC236}">
              <a16:creationId xmlns:a16="http://schemas.microsoft.com/office/drawing/2014/main" id="{48A9E24A-A26E-4216-82F6-4FE09AE18070}"/>
            </a:ext>
          </a:extLst>
        </xdr:cNvPr>
        <xdr:cNvCxnSpPr/>
      </xdr:nvCxnSpPr>
      <xdr:spPr>
        <a:xfrm flipH="1" flipV="1">
          <a:off x="36385500" y="54006750"/>
          <a:ext cx="425450" cy="515505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69850</xdr:colOff>
      <xdr:row>259</xdr:row>
      <xdr:rowOff>139700</xdr:rowOff>
    </xdr:from>
    <xdr:to>
      <xdr:col>40</xdr:col>
      <xdr:colOff>0</xdr:colOff>
      <xdr:row>262</xdr:row>
      <xdr:rowOff>80817</xdr:rowOff>
    </xdr:to>
    <xdr:cxnSp macro="">
      <xdr:nvCxnSpPr>
        <xdr:cNvPr id="40" name="Conexão reta unidirecional 41">
          <a:extLst>
            <a:ext uri="{FF2B5EF4-FFF2-40B4-BE49-F238E27FC236}">
              <a16:creationId xmlns:a16="http://schemas.microsoft.com/office/drawing/2014/main" id="{90462773-D477-4522-9114-CFB86497C54D}"/>
            </a:ext>
          </a:extLst>
        </xdr:cNvPr>
        <xdr:cNvCxnSpPr/>
      </xdr:nvCxnSpPr>
      <xdr:spPr>
        <a:xfrm flipH="1" flipV="1">
          <a:off x="36372800" y="54343300"/>
          <a:ext cx="438150" cy="550717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228600</xdr:colOff>
      <xdr:row>255</xdr:row>
      <xdr:rowOff>12700</xdr:rowOff>
    </xdr:from>
    <xdr:to>
      <xdr:col>37</xdr:col>
      <xdr:colOff>228600</xdr:colOff>
      <xdr:row>294</xdr:row>
      <xdr:rowOff>18142</xdr:rowOff>
    </xdr:to>
    <xdr:cxnSp macro="">
      <xdr:nvCxnSpPr>
        <xdr:cNvPr id="41" name="Conexão reta unidirecional 42">
          <a:extLst>
            <a:ext uri="{FF2B5EF4-FFF2-40B4-BE49-F238E27FC236}">
              <a16:creationId xmlns:a16="http://schemas.microsoft.com/office/drawing/2014/main" id="{59637926-9A4F-4E4B-993C-47566FB75FC2}"/>
            </a:ext>
          </a:extLst>
        </xdr:cNvPr>
        <xdr:cNvCxnSpPr/>
      </xdr:nvCxnSpPr>
      <xdr:spPr>
        <a:xfrm>
          <a:off x="36277550" y="53403500"/>
          <a:ext cx="0" cy="7930242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252</xdr:row>
      <xdr:rowOff>69850</xdr:rowOff>
    </xdr:from>
    <xdr:to>
      <xdr:col>30</xdr:col>
      <xdr:colOff>133350</xdr:colOff>
      <xdr:row>254</xdr:row>
      <xdr:rowOff>101600</xdr:rowOff>
    </xdr:to>
    <xdr:cxnSp macro="">
      <xdr:nvCxnSpPr>
        <xdr:cNvPr id="42" name="Conexão reta unidirecional 43">
          <a:extLst>
            <a:ext uri="{FF2B5EF4-FFF2-40B4-BE49-F238E27FC236}">
              <a16:creationId xmlns:a16="http://schemas.microsoft.com/office/drawing/2014/main" id="{67CDC16A-A397-496B-A8CB-F9558EA955EE}"/>
            </a:ext>
          </a:extLst>
        </xdr:cNvPr>
        <xdr:cNvCxnSpPr/>
      </xdr:nvCxnSpPr>
      <xdr:spPr>
        <a:xfrm>
          <a:off x="31273750" y="52851050"/>
          <a:ext cx="679450" cy="438150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734256</xdr:colOff>
      <xdr:row>254</xdr:row>
      <xdr:rowOff>117033</xdr:rowOff>
    </xdr:from>
    <xdr:to>
      <xdr:col>30</xdr:col>
      <xdr:colOff>145676</xdr:colOff>
      <xdr:row>256</xdr:row>
      <xdr:rowOff>168088</xdr:rowOff>
    </xdr:to>
    <xdr:cxnSp macro="">
      <xdr:nvCxnSpPr>
        <xdr:cNvPr id="43" name="Conexão reta unidirecional 44">
          <a:extLst>
            <a:ext uri="{FF2B5EF4-FFF2-40B4-BE49-F238E27FC236}">
              <a16:creationId xmlns:a16="http://schemas.microsoft.com/office/drawing/2014/main" id="{CA8B4612-F666-4097-B69E-23E72C06BBB3}"/>
            </a:ext>
          </a:extLst>
        </xdr:cNvPr>
        <xdr:cNvCxnSpPr/>
      </xdr:nvCxnSpPr>
      <xdr:spPr>
        <a:xfrm>
          <a:off x="31246006" y="53304633"/>
          <a:ext cx="719520" cy="457455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134029</xdr:colOff>
      <xdr:row>254</xdr:row>
      <xdr:rowOff>63500</xdr:rowOff>
    </xdr:from>
    <xdr:to>
      <xdr:col>30</xdr:col>
      <xdr:colOff>154214</xdr:colOff>
      <xdr:row>294</xdr:row>
      <xdr:rowOff>45356</xdr:rowOff>
    </xdr:to>
    <xdr:cxnSp macro="">
      <xdr:nvCxnSpPr>
        <xdr:cNvPr id="44" name="Conexão reta unidirecional 45">
          <a:extLst>
            <a:ext uri="{FF2B5EF4-FFF2-40B4-BE49-F238E27FC236}">
              <a16:creationId xmlns:a16="http://schemas.microsoft.com/office/drawing/2014/main" id="{B5F8DFED-A064-43C6-AE7C-F15B7FD751A5}"/>
            </a:ext>
          </a:extLst>
        </xdr:cNvPr>
        <xdr:cNvCxnSpPr/>
      </xdr:nvCxnSpPr>
      <xdr:spPr>
        <a:xfrm>
          <a:off x="31953879" y="53251100"/>
          <a:ext cx="20185" cy="810985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34636</xdr:colOff>
      <xdr:row>260</xdr:row>
      <xdr:rowOff>85725</xdr:rowOff>
    </xdr:from>
    <xdr:to>
      <xdr:col>30</xdr:col>
      <xdr:colOff>2020</xdr:colOff>
      <xdr:row>262</xdr:row>
      <xdr:rowOff>138544</xdr:rowOff>
    </xdr:to>
    <xdr:cxnSp macro="">
      <xdr:nvCxnSpPr>
        <xdr:cNvPr id="45" name="Conexão reta unidirecional 46">
          <a:extLst>
            <a:ext uri="{FF2B5EF4-FFF2-40B4-BE49-F238E27FC236}">
              <a16:creationId xmlns:a16="http://schemas.microsoft.com/office/drawing/2014/main" id="{2005B31C-65EE-4AB2-A0A9-E325B68A2A15}"/>
            </a:ext>
          </a:extLst>
        </xdr:cNvPr>
        <xdr:cNvCxnSpPr/>
      </xdr:nvCxnSpPr>
      <xdr:spPr>
        <a:xfrm flipV="1">
          <a:off x="31308386" y="54492525"/>
          <a:ext cx="513484" cy="459219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51954</xdr:colOff>
      <xdr:row>258</xdr:row>
      <xdr:rowOff>95250</xdr:rowOff>
    </xdr:from>
    <xdr:to>
      <xdr:col>30</xdr:col>
      <xdr:colOff>5195</xdr:colOff>
      <xdr:row>260</xdr:row>
      <xdr:rowOff>121227</xdr:rowOff>
    </xdr:to>
    <xdr:cxnSp macro="">
      <xdr:nvCxnSpPr>
        <xdr:cNvPr id="46" name="Conexão reta unidirecional 47">
          <a:extLst>
            <a:ext uri="{FF2B5EF4-FFF2-40B4-BE49-F238E27FC236}">
              <a16:creationId xmlns:a16="http://schemas.microsoft.com/office/drawing/2014/main" id="{6C5FF736-524D-4092-B835-54983666D99D}"/>
            </a:ext>
          </a:extLst>
        </xdr:cNvPr>
        <xdr:cNvCxnSpPr/>
      </xdr:nvCxnSpPr>
      <xdr:spPr>
        <a:xfrm flipV="1">
          <a:off x="31325704" y="54095650"/>
          <a:ext cx="499341" cy="432377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69272</xdr:colOff>
      <xdr:row>286</xdr:row>
      <xdr:rowOff>9389</xdr:rowOff>
    </xdr:from>
    <xdr:to>
      <xdr:col>40</xdr:col>
      <xdr:colOff>0</xdr:colOff>
      <xdr:row>288</xdr:row>
      <xdr:rowOff>138546</xdr:rowOff>
    </xdr:to>
    <xdr:cxnSp macro="">
      <xdr:nvCxnSpPr>
        <xdr:cNvPr id="47" name="Conexão reta unidirecional 48">
          <a:extLst>
            <a:ext uri="{FF2B5EF4-FFF2-40B4-BE49-F238E27FC236}">
              <a16:creationId xmlns:a16="http://schemas.microsoft.com/office/drawing/2014/main" id="{E901F913-277C-4203-AE7D-329BCAE7248E}"/>
            </a:ext>
          </a:extLst>
        </xdr:cNvPr>
        <xdr:cNvCxnSpPr/>
      </xdr:nvCxnSpPr>
      <xdr:spPr>
        <a:xfrm flipH="1">
          <a:off x="36372222" y="59699389"/>
          <a:ext cx="438728" cy="535557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78827</xdr:colOff>
      <xdr:row>288</xdr:row>
      <xdr:rowOff>94</xdr:rowOff>
    </xdr:from>
    <xdr:to>
      <xdr:col>40</xdr:col>
      <xdr:colOff>0</xdr:colOff>
      <xdr:row>290</xdr:row>
      <xdr:rowOff>19705</xdr:rowOff>
    </xdr:to>
    <xdr:cxnSp macro="">
      <xdr:nvCxnSpPr>
        <xdr:cNvPr id="48" name="Conexão reta unidirecional 49">
          <a:extLst>
            <a:ext uri="{FF2B5EF4-FFF2-40B4-BE49-F238E27FC236}">
              <a16:creationId xmlns:a16="http://schemas.microsoft.com/office/drawing/2014/main" id="{962FD794-9D1E-4E48-9C92-ED1A269C437E}"/>
            </a:ext>
          </a:extLst>
        </xdr:cNvPr>
        <xdr:cNvCxnSpPr/>
      </xdr:nvCxnSpPr>
      <xdr:spPr>
        <a:xfrm flipH="1">
          <a:off x="36381777" y="60096494"/>
          <a:ext cx="429173" cy="426011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224118</xdr:colOff>
      <xdr:row>292</xdr:row>
      <xdr:rowOff>168089</xdr:rowOff>
    </xdr:from>
    <xdr:to>
      <xdr:col>39</xdr:col>
      <xdr:colOff>246529</xdr:colOff>
      <xdr:row>294</xdr:row>
      <xdr:rowOff>149634</xdr:rowOff>
    </xdr:to>
    <xdr:cxnSp macro="">
      <xdr:nvCxnSpPr>
        <xdr:cNvPr id="49" name="Conexão reta unidirecional 50">
          <a:extLst>
            <a:ext uri="{FF2B5EF4-FFF2-40B4-BE49-F238E27FC236}">
              <a16:creationId xmlns:a16="http://schemas.microsoft.com/office/drawing/2014/main" id="{F77F13F7-C020-4DD3-B3A0-44CF03457A31}"/>
            </a:ext>
          </a:extLst>
        </xdr:cNvPr>
        <xdr:cNvCxnSpPr/>
      </xdr:nvCxnSpPr>
      <xdr:spPr>
        <a:xfrm flipH="1" flipV="1">
          <a:off x="36273068" y="61077289"/>
          <a:ext cx="530411" cy="387945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225878</xdr:colOff>
      <xdr:row>294</xdr:row>
      <xdr:rowOff>12246</xdr:rowOff>
    </xdr:from>
    <xdr:to>
      <xdr:col>40</xdr:col>
      <xdr:colOff>22412</xdr:colOff>
      <xdr:row>296</xdr:row>
      <xdr:rowOff>145676</xdr:rowOff>
    </xdr:to>
    <xdr:cxnSp macro="">
      <xdr:nvCxnSpPr>
        <xdr:cNvPr id="50" name="Conexão reta unidirecional 51">
          <a:extLst>
            <a:ext uri="{FF2B5EF4-FFF2-40B4-BE49-F238E27FC236}">
              <a16:creationId xmlns:a16="http://schemas.microsoft.com/office/drawing/2014/main" id="{A5E55815-7DCA-49E3-8E19-1F1C3E65F27B}"/>
            </a:ext>
          </a:extLst>
        </xdr:cNvPr>
        <xdr:cNvCxnSpPr/>
      </xdr:nvCxnSpPr>
      <xdr:spPr>
        <a:xfrm flipH="1" flipV="1">
          <a:off x="36274828" y="61327846"/>
          <a:ext cx="558534" cy="539830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17318</xdr:colOff>
      <xdr:row>286</xdr:row>
      <xdr:rowOff>103909</xdr:rowOff>
    </xdr:from>
    <xdr:to>
      <xdr:col>30</xdr:col>
      <xdr:colOff>3834</xdr:colOff>
      <xdr:row>288</xdr:row>
      <xdr:rowOff>121103</xdr:rowOff>
    </xdr:to>
    <xdr:cxnSp macro="">
      <xdr:nvCxnSpPr>
        <xdr:cNvPr id="51" name="Conexão reta unidirecional 52">
          <a:extLst>
            <a:ext uri="{FF2B5EF4-FFF2-40B4-BE49-F238E27FC236}">
              <a16:creationId xmlns:a16="http://schemas.microsoft.com/office/drawing/2014/main" id="{1DB8FE5F-0539-44FF-992D-032A41E148DE}"/>
            </a:ext>
          </a:extLst>
        </xdr:cNvPr>
        <xdr:cNvCxnSpPr/>
      </xdr:nvCxnSpPr>
      <xdr:spPr>
        <a:xfrm>
          <a:off x="31291068" y="59793909"/>
          <a:ext cx="532616" cy="423594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288</xdr:row>
      <xdr:rowOff>82550</xdr:rowOff>
    </xdr:from>
    <xdr:to>
      <xdr:col>30</xdr:col>
      <xdr:colOff>4288</xdr:colOff>
      <xdr:row>290</xdr:row>
      <xdr:rowOff>81642</xdr:rowOff>
    </xdr:to>
    <xdr:cxnSp macro="">
      <xdr:nvCxnSpPr>
        <xdr:cNvPr id="52" name="Conexão reta unidirecional 53">
          <a:extLst>
            <a:ext uri="{FF2B5EF4-FFF2-40B4-BE49-F238E27FC236}">
              <a16:creationId xmlns:a16="http://schemas.microsoft.com/office/drawing/2014/main" id="{8C2199A5-9C9E-4EF1-93D3-020A1FB70EC4}"/>
            </a:ext>
          </a:extLst>
        </xdr:cNvPr>
        <xdr:cNvCxnSpPr/>
      </xdr:nvCxnSpPr>
      <xdr:spPr>
        <a:xfrm>
          <a:off x="31273750" y="60178950"/>
          <a:ext cx="550388" cy="405492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750794</xdr:colOff>
      <xdr:row>294</xdr:row>
      <xdr:rowOff>48531</xdr:rowOff>
    </xdr:from>
    <xdr:to>
      <xdr:col>30</xdr:col>
      <xdr:colOff>141967</xdr:colOff>
      <xdr:row>296</xdr:row>
      <xdr:rowOff>78441</xdr:rowOff>
    </xdr:to>
    <xdr:cxnSp macro="">
      <xdr:nvCxnSpPr>
        <xdr:cNvPr id="53" name="Conexão reta unidirecional 54">
          <a:extLst>
            <a:ext uri="{FF2B5EF4-FFF2-40B4-BE49-F238E27FC236}">
              <a16:creationId xmlns:a16="http://schemas.microsoft.com/office/drawing/2014/main" id="{527CFCE1-2F40-43A9-9083-CCF9C43B76CA}"/>
            </a:ext>
          </a:extLst>
        </xdr:cNvPr>
        <xdr:cNvCxnSpPr/>
      </xdr:nvCxnSpPr>
      <xdr:spPr>
        <a:xfrm flipV="1">
          <a:off x="31262544" y="61364131"/>
          <a:ext cx="699273" cy="436310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739588</xdr:colOff>
      <xdr:row>292</xdr:row>
      <xdr:rowOff>69397</xdr:rowOff>
    </xdr:from>
    <xdr:to>
      <xdr:col>30</xdr:col>
      <xdr:colOff>172357</xdr:colOff>
      <xdr:row>294</xdr:row>
      <xdr:rowOff>145677</xdr:rowOff>
    </xdr:to>
    <xdr:cxnSp macro="">
      <xdr:nvCxnSpPr>
        <xdr:cNvPr id="54" name="Conexão reta unidirecional 55">
          <a:extLst>
            <a:ext uri="{FF2B5EF4-FFF2-40B4-BE49-F238E27FC236}">
              <a16:creationId xmlns:a16="http://schemas.microsoft.com/office/drawing/2014/main" id="{6698906D-70A7-4BEA-95FF-DC84736E63E1}"/>
            </a:ext>
          </a:extLst>
        </xdr:cNvPr>
        <xdr:cNvCxnSpPr/>
      </xdr:nvCxnSpPr>
      <xdr:spPr>
        <a:xfrm flipV="1">
          <a:off x="31251338" y="60978597"/>
          <a:ext cx="740869" cy="482680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179294</xdr:colOff>
      <xdr:row>288</xdr:row>
      <xdr:rowOff>84818</xdr:rowOff>
    </xdr:from>
    <xdr:to>
      <xdr:col>30</xdr:col>
      <xdr:colOff>8369</xdr:colOff>
      <xdr:row>347</xdr:row>
      <xdr:rowOff>22411</xdr:rowOff>
    </xdr:to>
    <xdr:cxnSp macro="">
      <xdr:nvCxnSpPr>
        <xdr:cNvPr id="55" name="Conexão reta unidirecional 56">
          <a:extLst>
            <a:ext uri="{FF2B5EF4-FFF2-40B4-BE49-F238E27FC236}">
              <a16:creationId xmlns:a16="http://schemas.microsoft.com/office/drawing/2014/main" id="{30C6C960-9D37-4B3C-A600-31270A9D63B1}"/>
            </a:ext>
          </a:extLst>
        </xdr:cNvPr>
        <xdr:cNvCxnSpPr/>
      </xdr:nvCxnSpPr>
      <xdr:spPr>
        <a:xfrm flipH="1">
          <a:off x="31726094" y="60181218"/>
          <a:ext cx="102125" cy="13469443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288</xdr:row>
      <xdr:rowOff>57728</xdr:rowOff>
    </xdr:from>
    <xdr:to>
      <xdr:col>38</xdr:col>
      <xdr:colOff>83993</xdr:colOff>
      <xdr:row>346</xdr:row>
      <xdr:rowOff>89647</xdr:rowOff>
    </xdr:to>
    <xdr:cxnSp macro="">
      <xdr:nvCxnSpPr>
        <xdr:cNvPr id="56" name="Conexão reta unidirecional 57">
          <a:extLst>
            <a:ext uri="{FF2B5EF4-FFF2-40B4-BE49-F238E27FC236}">
              <a16:creationId xmlns:a16="http://schemas.microsoft.com/office/drawing/2014/main" id="{958EB7BC-9C73-47FB-9D1C-F05C5A9B4384}"/>
            </a:ext>
          </a:extLst>
        </xdr:cNvPr>
        <xdr:cNvCxnSpPr/>
      </xdr:nvCxnSpPr>
      <xdr:spPr>
        <a:xfrm flipH="1">
          <a:off x="36302950" y="60154128"/>
          <a:ext cx="83993" cy="13360569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183184</xdr:colOff>
      <xdr:row>327</xdr:row>
      <xdr:rowOff>410202</xdr:rowOff>
    </xdr:from>
    <xdr:to>
      <xdr:col>38</xdr:col>
      <xdr:colOff>157495</xdr:colOff>
      <xdr:row>329</xdr:row>
      <xdr:rowOff>175438</xdr:rowOff>
    </xdr:to>
    <xdr:sp macro="" textlink="">
      <xdr:nvSpPr>
        <xdr:cNvPr id="57" name="Fluxograma: Decisão 58">
          <a:extLst>
            <a:ext uri="{FF2B5EF4-FFF2-40B4-BE49-F238E27FC236}">
              <a16:creationId xmlns:a16="http://schemas.microsoft.com/office/drawing/2014/main" id="{D42541FE-5407-4653-9E57-5E1E4AFDB3E9}"/>
            </a:ext>
          </a:extLst>
        </xdr:cNvPr>
        <xdr:cNvSpPr/>
      </xdr:nvSpPr>
      <xdr:spPr>
        <a:xfrm rot="16200000">
          <a:off x="36082672" y="68936464"/>
          <a:ext cx="527236" cy="228311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29</xdr:col>
      <xdr:colOff>85744</xdr:colOff>
      <xdr:row>327</xdr:row>
      <xdr:rowOff>393905</xdr:rowOff>
    </xdr:from>
    <xdr:to>
      <xdr:col>30</xdr:col>
      <xdr:colOff>44180</xdr:colOff>
      <xdr:row>329</xdr:row>
      <xdr:rowOff>179294</xdr:rowOff>
    </xdr:to>
    <xdr:sp macro="" textlink="">
      <xdr:nvSpPr>
        <xdr:cNvPr id="58" name="Fluxograma: Decisão 59">
          <a:extLst>
            <a:ext uri="{FF2B5EF4-FFF2-40B4-BE49-F238E27FC236}">
              <a16:creationId xmlns:a16="http://schemas.microsoft.com/office/drawing/2014/main" id="{5EF603FC-8DE6-4BAA-9DA2-ED2A24E3B471}"/>
            </a:ext>
          </a:extLst>
        </xdr:cNvPr>
        <xdr:cNvSpPr/>
      </xdr:nvSpPr>
      <xdr:spPr>
        <a:xfrm rot="16200000">
          <a:off x="31474592" y="68928657"/>
          <a:ext cx="547389" cy="231486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38</xdr:col>
      <xdr:colOff>136338</xdr:colOff>
      <xdr:row>340</xdr:row>
      <xdr:rowOff>100853</xdr:rowOff>
    </xdr:from>
    <xdr:to>
      <xdr:col>40</xdr:col>
      <xdr:colOff>22412</xdr:colOff>
      <xdr:row>343</xdr:row>
      <xdr:rowOff>30442</xdr:rowOff>
    </xdr:to>
    <xdr:cxnSp macro="">
      <xdr:nvCxnSpPr>
        <xdr:cNvPr id="59" name="Conexão reta unidirecional 66">
          <a:extLst>
            <a:ext uri="{FF2B5EF4-FFF2-40B4-BE49-F238E27FC236}">
              <a16:creationId xmlns:a16="http://schemas.microsoft.com/office/drawing/2014/main" id="{DDAD1687-F1C2-4224-8C22-52AB6222C23B}"/>
            </a:ext>
          </a:extLst>
        </xdr:cNvPr>
        <xdr:cNvCxnSpPr/>
      </xdr:nvCxnSpPr>
      <xdr:spPr>
        <a:xfrm flipH="1">
          <a:off x="36439288" y="71970153"/>
          <a:ext cx="394074" cy="539189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748393</xdr:colOff>
      <xdr:row>340</xdr:row>
      <xdr:rowOff>122465</xdr:rowOff>
    </xdr:from>
    <xdr:to>
      <xdr:col>30</xdr:col>
      <xdr:colOff>10432</xdr:colOff>
      <xdr:row>343</xdr:row>
      <xdr:rowOff>54428</xdr:rowOff>
    </xdr:to>
    <xdr:cxnSp macro="">
      <xdr:nvCxnSpPr>
        <xdr:cNvPr id="60" name="Conexão reta unidirecional 67">
          <a:extLst>
            <a:ext uri="{FF2B5EF4-FFF2-40B4-BE49-F238E27FC236}">
              <a16:creationId xmlns:a16="http://schemas.microsoft.com/office/drawing/2014/main" id="{48EED8CF-AD36-4B0E-A4DD-EDFB33741A59}"/>
            </a:ext>
          </a:extLst>
        </xdr:cNvPr>
        <xdr:cNvCxnSpPr/>
      </xdr:nvCxnSpPr>
      <xdr:spPr>
        <a:xfrm>
          <a:off x="31260143" y="71991765"/>
          <a:ext cx="570139" cy="541563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247783</xdr:colOff>
      <xdr:row>346</xdr:row>
      <xdr:rowOff>87538</xdr:rowOff>
    </xdr:from>
    <xdr:to>
      <xdr:col>39</xdr:col>
      <xdr:colOff>246529</xdr:colOff>
      <xdr:row>348</xdr:row>
      <xdr:rowOff>88363</xdr:rowOff>
    </xdr:to>
    <xdr:cxnSp macro="">
      <xdr:nvCxnSpPr>
        <xdr:cNvPr id="61" name="Conexão reta unidirecional 68">
          <a:extLst>
            <a:ext uri="{FF2B5EF4-FFF2-40B4-BE49-F238E27FC236}">
              <a16:creationId xmlns:a16="http://schemas.microsoft.com/office/drawing/2014/main" id="{8167E864-308D-4F5C-BB68-307794AE08F7}"/>
            </a:ext>
          </a:extLst>
        </xdr:cNvPr>
        <xdr:cNvCxnSpPr/>
      </xdr:nvCxnSpPr>
      <xdr:spPr>
        <a:xfrm flipH="1" flipV="1">
          <a:off x="36296733" y="73512588"/>
          <a:ext cx="506746" cy="407225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732237</xdr:colOff>
      <xdr:row>347</xdr:row>
      <xdr:rowOff>22411</xdr:rowOff>
    </xdr:from>
    <xdr:to>
      <xdr:col>29</xdr:col>
      <xdr:colOff>179294</xdr:colOff>
      <xdr:row>348</xdr:row>
      <xdr:rowOff>121449</xdr:rowOff>
    </xdr:to>
    <xdr:cxnSp macro="">
      <xdr:nvCxnSpPr>
        <xdr:cNvPr id="62" name="Conexão reta unidirecional 69">
          <a:extLst>
            <a:ext uri="{FF2B5EF4-FFF2-40B4-BE49-F238E27FC236}">
              <a16:creationId xmlns:a16="http://schemas.microsoft.com/office/drawing/2014/main" id="{88423AD8-7B49-4601-8F35-D05C18495AA6}"/>
            </a:ext>
          </a:extLst>
        </xdr:cNvPr>
        <xdr:cNvCxnSpPr/>
      </xdr:nvCxnSpPr>
      <xdr:spPr>
        <a:xfrm flipV="1">
          <a:off x="31243987" y="73650661"/>
          <a:ext cx="482107" cy="302238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217715</xdr:colOff>
      <xdr:row>343</xdr:row>
      <xdr:rowOff>56029</xdr:rowOff>
    </xdr:from>
    <xdr:to>
      <xdr:col>30</xdr:col>
      <xdr:colOff>25586</xdr:colOff>
      <xdr:row>438</xdr:row>
      <xdr:rowOff>136072</xdr:rowOff>
    </xdr:to>
    <xdr:cxnSp macro="">
      <xdr:nvCxnSpPr>
        <xdr:cNvPr id="63" name="Conexão reta unidirecional 70">
          <a:extLst>
            <a:ext uri="{FF2B5EF4-FFF2-40B4-BE49-F238E27FC236}">
              <a16:creationId xmlns:a16="http://schemas.microsoft.com/office/drawing/2014/main" id="{E1AD9A68-86D5-46FA-AC5D-8CFA5D666655}"/>
            </a:ext>
          </a:extLst>
        </xdr:cNvPr>
        <xdr:cNvCxnSpPr/>
      </xdr:nvCxnSpPr>
      <xdr:spPr>
        <a:xfrm flipH="1">
          <a:off x="31764515" y="72534929"/>
          <a:ext cx="80921" cy="20063493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134471</xdr:colOff>
      <xdr:row>343</xdr:row>
      <xdr:rowOff>0</xdr:rowOff>
    </xdr:from>
    <xdr:to>
      <xdr:col>38</xdr:col>
      <xdr:colOff>149679</xdr:colOff>
      <xdr:row>438</xdr:row>
      <xdr:rowOff>149679</xdr:rowOff>
    </xdr:to>
    <xdr:cxnSp macro="">
      <xdr:nvCxnSpPr>
        <xdr:cNvPr id="64" name="Conexão reta unidirecional 71">
          <a:extLst>
            <a:ext uri="{FF2B5EF4-FFF2-40B4-BE49-F238E27FC236}">
              <a16:creationId xmlns:a16="http://schemas.microsoft.com/office/drawing/2014/main" id="{F417D94E-F551-4038-ADA6-AFC7764F56A5}"/>
            </a:ext>
          </a:extLst>
        </xdr:cNvPr>
        <xdr:cNvCxnSpPr/>
      </xdr:nvCxnSpPr>
      <xdr:spPr>
        <a:xfrm>
          <a:off x="36437421" y="72478900"/>
          <a:ext cx="15208" cy="20133129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10433</xdr:colOff>
      <xdr:row>348</xdr:row>
      <xdr:rowOff>95250</xdr:rowOff>
    </xdr:from>
    <xdr:to>
      <xdr:col>29</xdr:col>
      <xdr:colOff>0</xdr:colOff>
      <xdr:row>350</xdr:row>
      <xdr:rowOff>122465</xdr:rowOff>
    </xdr:to>
    <xdr:cxnSp macro="">
      <xdr:nvCxnSpPr>
        <xdr:cNvPr id="65" name="Conexão reta unidirecional 72">
          <a:extLst>
            <a:ext uri="{FF2B5EF4-FFF2-40B4-BE49-F238E27FC236}">
              <a16:creationId xmlns:a16="http://schemas.microsoft.com/office/drawing/2014/main" id="{01D06928-DF92-438A-8866-13E66BDC49AD}"/>
            </a:ext>
          </a:extLst>
        </xdr:cNvPr>
        <xdr:cNvCxnSpPr/>
      </xdr:nvCxnSpPr>
      <xdr:spPr>
        <a:xfrm>
          <a:off x="31284183" y="73926700"/>
          <a:ext cx="262617" cy="433615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13607</xdr:colOff>
      <xdr:row>354</xdr:row>
      <xdr:rowOff>136071</xdr:rowOff>
    </xdr:from>
    <xdr:to>
      <xdr:col>39</xdr:col>
      <xdr:colOff>10432</xdr:colOff>
      <xdr:row>358</xdr:row>
      <xdr:rowOff>125640</xdr:rowOff>
    </xdr:to>
    <xdr:cxnSp macro="">
      <xdr:nvCxnSpPr>
        <xdr:cNvPr id="66" name="Conexão reta unidirecional 73">
          <a:extLst>
            <a:ext uri="{FF2B5EF4-FFF2-40B4-BE49-F238E27FC236}">
              <a16:creationId xmlns:a16="http://schemas.microsoft.com/office/drawing/2014/main" id="{29BB0575-1691-48C5-8103-CDDF356D4D9C}"/>
            </a:ext>
          </a:extLst>
        </xdr:cNvPr>
        <xdr:cNvCxnSpPr/>
      </xdr:nvCxnSpPr>
      <xdr:spPr>
        <a:xfrm>
          <a:off x="31560407" y="75186721"/>
          <a:ext cx="5006975" cy="802369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360</xdr:row>
      <xdr:rowOff>122464</xdr:rowOff>
    </xdr:from>
    <xdr:to>
      <xdr:col>39</xdr:col>
      <xdr:colOff>244929</xdr:colOff>
      <xdr:row>362</xdr:row>
      <xdr:rowOff>105682</xdr:rowOff>
    </xdr:to>
    <xdr:cxnSp macro="">
      <xdr:nvCxnSpPr>
        <xdr:cNvPr id="67" name="Conexão reta unidirecional 74">
          <a:extLst>
            <a:ext uri="{FF2B5EF4-FFF2-40B4-BE49-F238E27FC236}">
              <a16:creationId xmlns:a16="http://schemas.microsoft.com/office/drawing/2014/main" id="{E4FA7F76-9EFE-470C-BB48-B3F6E145EE2F}"/>
            </a:ext>
          </a:extLst>
        </xdr:cNvPr>
        <xdr:cNvCxnSpPr/>
      </xdr:nvCxnSpPr>
      <xdr:spPr>
        <a:xfrm flipH="1" flipV="1">
          <a:off x="36556950" y="76392314"/>
          <a:ext cx="244929" cy="389618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245300</xdr:colOff>
      <xdr:row>358</xdr:row>
      <xdr:rowOff>104900</xdr:rowOff>
    </xdr:from>
    <xdr:to>
      <xdr:col>39</xdr:col>
      <xdr:colOff>0</xdr:colOff>
      <xdr:row>360</xdr:row>
      <xdr:rowOff>136071</xdr:rowOff>
    </xdr:to>
    <xdr:cxnSp macro="">
      <xdr:nvCxnSpPr>
        <xdr:cNvPr id="68" name="Conexão reta unidirecional 76">
          <a:extLst>
            <a:ext uri="{FF2B5EF4-FFF2-40B4-BE49-F238E27FC236}">
              <a16:creationId xmlns:a16="http://schemas.microsoft.com/office/drawing/2014/main" id="{295F3A69-1987-44C5-93B1-2DB9EB7932DA}"/>
            </a:ext>
          </a:extLst>
        </xdr:cNvPr>
        <xdr:cNvCxnSpPr/>
      </xdr:nvCxnSpPr>
      <xdr:spPr>
        <a:xfrm>
          <a:off x="36548250" y="75968350"/>
          <a:ext cx="8700" cy="437571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337497</xdr:colOff>
      <xdr:row>356</xdr:row>
      <xdr:rowOff>197281</xdr:rowOff>
    </xdr:from>
    <xdr:to>
      <xdr:col>36</xdr:col>
      <xdr:colOff>58638</xdr:colOff>
      <xdr:row>358</xdr:row>
      <xdr:rowOff>36221</xdr:rowOff>
    </xdr:to>
    <xdr:sp macro="" textlink="">
      <xdr:nvSpPr>
        <xdr:cNvPr id="69" name="Fluxograma: Decisão 77">
          <a:extLst>
            <a:ext uri="{FF2B5EF4-FFF2-40B4-BE49-F238E27FC236}">
              <a16:creationId xmlns:a16="http://schemas.microsoft.com/office/drawing/2014/main" id="{BFCE64B9-BEE0-4205-9909-5DDF0FAD2B11}"/>
            </a:ext>
          </a:extLst>
        </xdr:cNvPr>
        <xdr:cNvSpPr/>
      </xdr:nvSpPr>
      <xdr:spPr>
        <a:xfrm rot="6008168">
          <a:off x="35108348" y="75154430"/>
          <a:ext cx="245340" cy="1245141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28</xdr:col>
      <xdr:colOff>0</xdr:colOff>
      <xdr:row>430</xdr:row>
      <xdr:rowOff>68036</xdr:rowOff>
    </xdr:from>
    <xdr:to>
      <xdr:col>30</xdr:col>
      <xdr:colOff>87787</xdr:colOff>
      <xdr:row>432</xdr:row>
      <xdr:rowOff>143824</xdr:rowOff>
    </xdr:to>
    <xdr:cxnSp macro="">
      <xdr:nvCxnSpPr>
        <xdr:cNvPr id="70" name="Conexão reta unidirecional 78">
          <a:extLst>
            <a:ext uri="{FF2B5EF4-FFF2-40B4-BE49-F238E27FC236}">
              <a16:creationId xmlns:a16="http://schemas.microsoft.com/office/drawing/2014/main" id="{5EF2CF98-8D82-49FD-9C95-7A21101B19B8}"/>
            </a:ext>
          </a:extLst>
        </xdr:cNvPr>
        <xdr:cNvCxnSpPr/>
      </xdr:nvCxnSpPr>
      <xdr:spPr>
        <a:xfrm>
          <a:off x="31273750" y="90904786"/>
          <a:ext cx="633887" cy="482188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26266</xdr:colOff>
      <xdr:row>430</xdr:row>
      <xdr:rowOff>80695</xdr:rowOff>
    </xdr:from>
    <xdr:to>
      <xdr:col>40</xdr:col>
      <xdr:colOff>0</xdr:colOff>
      <xdr:row>432</xdr:row>
      <xdr:rowOff>161515</xdr:rowOff>
    </xdr:to>
    <xdr:cxnSp macro="">
      <xdr:nvCxnSpPr>
        <xdr:cNvPr id="71" name="Conexão reta unidirecional 79">
          <a:extLst>
            <a:ext uri="{FF2B5EF4-FFF2-40B4-BE49-F238E27FC236}">
              <a16:creationId xmlns:a16="http://schemas.microsoft.com/office/drawing/2014/main" id="{E4695BAD-5B69-433D-B46E-FC6E18CCB95A}"/>
            </a:ext>
          </a:extLst>
        </xdr:cNvPr>
        <xdr:cNvCxnSpPr/>
      </xdr:nvCxnSpPr>
      <xdr:spPr>
        <a:xfrm flipH="1">
          <a:off x="36329216" y="90917445"/>
          <a:ext cx="481734" cy="487220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54429</xdr:colOff>
      <xdr:row>432</xdr:row>
      <xdr:rowOff>95250</xdr:rowOff>
    </xdr:from>
    <xdr:to>
      <xdr:col>30</xdr:col>
      <xdr:colOff>136072</xdr:colOff>
      <xdr:row>539</xdr:row>
      <xdr:rowOff>204107</xdr:rowOff>
    </xdr:to>
    <xdr:cxnSp macro="">
      <xdr:nvCxnSpPr>
        <xdr:cNvPr id="72" name="Conexão reta unidirecional 80">
          <a:extLst>
            <a:ext uri="{FF2B5EF4-FFF2-40B4-BE49-F238E27FC236}">
              <a16:creationId xmlns:a16="http://schemas.microsoft.com/office/drawing/2014/main" id="{1CF07738-7AF6-4E24-891D-868CDC901FED}"/>
            </a:ext>
          </a:extLst>
        </xdr:cNvPr>
        <xdr:cNvCxnSpPr/>
      </xdr:nvCxnSpPr>
      <xdr:spPr>
        <a:xfrm>
          <a:off x="31874279" y="91338400"/>
          <a:ext cx="81643" cy="23972157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209550</xdr:colOff>
      <xdr:row>432</xdr:row>
      <xdr:rowOff>136072</xdr:rowOff>
    </xdr:from>
    <xdr:to>
      <xdr:col>38</xdr:col>
      <xdr:colOff>0</xdr:colOff>
      <xdr:row>540</xdr:row>
      <xdr:rowOff>63500</xdr:rowOff>
    </xdr:to>
    <xdr:cxnSp macro="">
      <xdr:nvCxnSpPr>
        <xdr:cNvPr id="73" name="Conexão reta unidirecional 81">
          <a:extLst>
            <a:ext uri="{FF2B5EF4-FFF2-40B4-BE49-F238E27FC236}">
              <a16:creationId xmlns:a16="http://schemas.microsoft.com/office/drawing/2014/main" id="{C544A6BA-CC3D-49A6-98F8-55CB664E5BA3}"/>
            </a:ext>
          </a:extLst>
        </xdr:cNvPr>
        <xdr:cNvCxnSpPr/>
      </xdr:nvCxnSpPr>
      <xdr:spPr>
        <a:xfrm flipH="1">
          <a:off x="36258500" y="91379222"/>
          <a:ext cx="44450" cy="24165378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137432</xdr:colOff>
      <xdr:row>438</xdr:row>
      <xdr:rowOff>146794</xdr:rowOff>
    </xdr:from>
    <xdr:to>
      <xdr:col>40</xdr:col>
      <xdr:colOff>12575</xdr:colOff>
      <xdr:row>440</xdr:row>
      <xdr:rowOff>140319</xdr:rowOff>
    </xdr:to>
    <xdr:cxnSp macro="">
      <xdr:nvCxnSpPr>
        <xdr:cNvPr id="74" name="Conexão reta unidirecional 82">
          <a:extLst>
            <a:ext uri="{FF2B5EF4-FFF2-40B4-BE49-F238E27FC236}">
              <a16:creationId xmlns:a16="http://schemas.microsoft.com/office/drawing/2014/main" id="{8B2BD60A-B21B-45F0-A718-CB739317B9DC}"/>
            </a:ext>
          </a:extLst>
        </xdr:cNvPr>
        <xdr:cNvCxnSpPr/>
      </xdr:nvCxnSpPr>
      <xdr:spPr>
        <a:xfrm flipH="1" flipV="1">
          <a:off x="36440382" y="92609144"/>
          <a:ext cx="383143" cy="399925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752641</xdr:colOff>
      <xdr:row>438</xdr:row>
      <xdr:rowOff>149679</xdr:rowOff>
    </xdr:from>
    <xdr:to>
      <xdr:col>29</xdr:col>
      <xdr:colOff>204107</xdr:colOff>
      <xdr:row>440</xdr:row>
      <xdr:rowOff>153100</xdr:rowOff>
    </xdr:to>
    <xdr:cxnSp macro="">
      <xdr:nvCxnSpPr>
        <xdr:cNvPr id="75" name="Conexão reta unidirecional 83">
          <a:extLst>
            <a:ext uri="{FF2B5EF4-FFF2-40B4-BE49-F238E27FC236}">
              <a16:creationId xmlns:a16="http://schemas.microsoft.com/office/drawing/2014/main" id="{331DCEE6-926F-450C-82F7-167B7B36896E}"/>
            </a:ext>
          </a:extLst>
        </xdr:cNvPr>
        <xdr:cNvCxnSpPr/>
      </xdr:nvCxnSpPr>
      <xdr:spPr>
        <a:xfrm flipV="1">
          <a:off x="31264391" y="92612029"/>
          <a:ext cx="486516" cy="409821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17318</xdr:colOff>
      <xdr:row>464</xdr:row>
      <xdr:rowOff>48779</xdr:rowOff>
    </xdr:from>
    <xdr:to>
      <xdr:col>29</xdr:col>
      <xdr:colOff>225136</xdr:colOff>
      <xdr:row>466</xdr:row>
      <xdr:rowOff>138546</xdr:rowOff>
    </xdr:to>
    <xdr:cxnSp macro="">
      <xdr:nvCxnSpPr>
        <xdr:cNvPr id="76" name="Conexão reta unidirecional 84">
          <a:extLst>
            <a:ext uri="{FF2B5EF4-FFF2-40B4-BE49-F238E27FC236}">
              <a16:creationId xmlns:a16="http://schemas.microsoft.com/office/drawing/2014/main" id="{5DE8D454-5735-4167-AAC3-75AA8487F30D}"/>
            </a:ext>
          </a:extLst>
        </xdr:cNvPr>
        <xdr:cNvCxnSpPr/>
      </xdr:nvCxnSpPr>
      <xdr:spPr>
        <a:xfrm>
          <a:off x="31291068" y="97794329"/>
          <a:ext cx="480868" cy="496167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220890</xdr:colOff>
      <xdr:row>470</xdr:row>
      <xdr:rowOff>105682</xdr:rowOff>
    </xdr:from>
    <xdr:to>
      <xdr:col>38</xdr:col>
      <xdr:colOff>122465</xdr:colOff>
      <xdr:row>474</xdr:row>
      <xdr:rowOff>108858</xdr:rowOff>
    </xdr:to>
    <xdr:cxnSp macro="">
      <xdr:nvCxnSpPr>
        <xdr:cNvPr id="77" name="Conexão reta unidirecional 85">
          <a:extLst>
            <a:ext uri="{FF2B5EF4-FFF2-40B4-BE49-F238E27FC236}">
              <a16:creationId xmlns:a16="http://schemas.microsoft.com/office/drawing/2014/main" id="{F66DFD2F-DAE5-4C35-9A5E-167015CD956D}"/>
            </a:ext>
          </a:extLst>
        </xdr:cNvPr>
        <xdr:cNvCxnSpPr/>
      </xdr:nvCxnSpPr>
      <xdr:spPr>
        <a:xfrm>
          <a:off x="31767690" y="99070432"/>
          <a:ext cx="4657725" cy="81597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136072</xdr:colOff>
      <xdr:row>478</xdr:row>
      <xdr:rowOff>68036</xdr:rowOff>
    </xdr:from>
    <xdr:to>
      <xdr:col>39</xdr:col>
      <xdr:colOff>217714</xdr:colOff>
      <xdr:row>480</xdr:row>
      <xdr:rowOff>102507</xdr:rowOff>
    </xdr:to>
    <xdr:cxnSp macro="">
      <xdr:nvCxnSpPr>
        <xdr:cNvPr id="78" name="Conexão reta unidirecional 86">
          <a:extLst>
            <a:ext uri="{FF2B5EF4-FFF2-40B4-BE49-F238E27FC236}">
              <a16:creationId xmlns:a16="http://schemas.microsoft.com/office/drawing/2014/main" id="{D1A00B52-9E6E-439F-844F-154B73B17EDC}"/>
            </a:ext>
          </a:extLst>
        </xdr:cNvPr>
        <xdr:cNvCxnSpPr/>
      </xdr:nvCxnSpPr>
      <xdr:spPr>
        <a:xfrm flipH="1" flipV="1">
          <a:off x="36439022" y="100658386"/>
          <a:ext cx="335642" cy="796471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221674</xdr:colOff>
      <xdr:row>466</xdr:row>
      <xdr:rowOff>135948</xdr:rowOff>
    </xdr:from>
    <xdr:to>
      <xdr:col>29</xdr:col>
      <xdr:colOff>225136</xdr:colOff>
      <xdr:row>470</xdr:row>
      <xdr:rowOff>121227</xdr:rowOff>
    </xdr:to>
    <xdr:cxnSp macro="">
      <xdr:nvCxnSpPr>
        <xdr:cNvPr id="79" name="Conexão reta unidirecional 87">
          <a:extLst>
            <a:ext uri="{FF2B5EF4-FFF2-40B4-BE49-F238E27FC236}">
              <a16:creationId xmlns:a16="http://schemas.microsoft.com/office/drawing/2014/main" id="{28D62F74-722B-494D-963C-7235D266F5C1}"/>
            </a:ext>
          </a:extLst>
        </xdr:cNvPr>
        <xdr:cNvCxnSpPr/>
      </xdr:nvCxnSpPr>
      <xdr:spPr>
        <a:xfrm>
          <a:off x="31768474" y="98287898"/>
          <a:ext cx="3462" cy="798079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125640</xdr:colOff>
      <xdr:row>474</xdr:row>
      <xdr:rowOff>91485</xdr:rowOff>
    </xdr:from>
    <xdr:to>
      <xdr:col>38</xdr:col>
      <xdr:colOff>125640</xdr:colOff>
      <xdr:row>478</xdr:row>
      <xdr:rowOff>64861</xdr:rowOff>
    </xdr:to>
    <xdr:cxnSp macro="">
      <xdr:nvCxnSpPr>
        <xdr:cNvPr id="80" name="Conexão reta unidirecional 88">
          <a:extLst>
            <a:ext uri="{FF2B5EF4-FFF2-40B4-BE49-F238E27FC236}">
              <a16:creationId xmlns:a16="http://schemas.microsoft.com/office/drawing/2014/main" id="{0E03F55F-0DC6-411A-B9C4-247E47892960}"/>
            </a:ext>
          </a:extLst>
        </xdr:cNvPr>
        <xdr:cNvCxnSpPr/>
      </xdr:nvCxnSpPr>
      <xdr:spPr>
        <a:xfrm flipH="1">
          <a:off x="36428590" y="99869035"/>
          <a:ext cx="0" cy="78617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436651</xdr:colOff>
      <xdr:row>471</xdr:row>
      <xdr:rowOff>57954</xdr:rowOff>
    </xdr:from>
    <xdr:to>
      <xdr:col>34</xdr:col>
      <xdr:colOff>226657</xdr:colOff>
      <xdr:row>473</xdr:row>
      <xdr:rowOff>84219</xdr:rowOff>
    </xdr:to>
    <xdr:sp macro="" textlink="">
      <xdr:nvSpPr>
        <xdr:cNvPr id="81" name="Fluxograma: Decisão 89">
          <a:extLst>
            <a:ext uri="{FF2B5EF4-FFF2-40B4-BE49-F238E27FC236}">
              <a16:creationId xmlns:a16="http://schemas.microsoft.com/office/drawing/2014/main" id="{B9FE755B-DEE4-448D-80BB-2F2CB5366EAD}"/>
            </a:ext>
          </a:extLst>
        </xdr:cNvPr>
        <xdr:cNvSpPr/>
      </xdr:nvSpPr>
      <xdr:spPr>
        <a:xfrm rot="535767">
          <a:off x="33564601" y="99225904"/>
          <a:ext cx="933006" cy="432665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37</xdr:col>
      <xdr:colOff>92078</xdr:colOff>
      <xdr:row>479</xdr:row>
      <xdr:rowOff>376919</xdr:rowOff>
    </xdr:from>
    <xdr:to>
      <xdr:col>38</xdr:col>
      <xdr:colOff>91170</xdr:colOff>
      <xdr:row>482</xdr:row>
      <xdr:rowOff>4289</xdr:rowOff>
    </xdr:to>
    <xdr:sp macro="" textlink="">
      <xdr:nvSpPr>
        <xdr:cNvPr id="82" name="Fluxograma: Decisão 90">
          <a:extLst>
            <a:ext uri="{FF2B5EF4-FFF2-40B4-BE49-F238E27FC236}">
              <a16:creationId xmlns:a16="http://schemas.microsoft.com/office/drawing/2014/main" id="{E458A168-2039-466A-B0DA-60F68528D177}"/>
            </a:ext>
          </a:extLst>
        </xdr:cNvPr>
        <xdr:cNvSpPr/>
      </xdr:nvSpPr>
      <xdr:spPr>
        <a:xfrm rot="16200000">
          <a:off x="35971289" y="101340208"/>
          <a:ext cx="592570" cy="253092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29</xdr:col>
      <xdr:colOff>220891</xdr:colOff>
      <xdr:row>479</xdr:row>
      <xdr:rowOff>319893</xdr:rowOff>
    </xdr:from>
    <xdr:to>
      <xdr:col>30</xdr:col>
      <xdr:colOff>218750</xdr:colOff>
      <xdr:row>481</xdr:row>
      <xdr:rowOff>167245</xdr:rowOff>
    </xdr:to>
    <xdr:sp macro="" textlink="">
      <xdr:nvSpPr>
        <xdr:cNvPr id="83" name="Fluxograma: Decisão 91">
          <a:extLst>
            <a:ext uri="{FF2B5EF4-FFF2-40B4-BE49-F238E27FC236}">
              <a16:creationId xmlns:a16="http://schemas.microsoft.com/office/drawing/2014/main" id="{46C6B360-D311-4C5E-A555-BDD1901FEC9E}"/>
            </a:ext>
          </a:extLst>
        </xdr:cNvPr>
        <xdr:cNvSpPr/>
      </xdr:nvSpPr>
      <xdr:spPr>
        <a:xfrm rot="16200000">
          <a:off x="31598470" y="101282664"/>
          <a:ext cx="609352" cy="270909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37</xdr:col>
      <xdr:colOff>191861</xdr:colOff>
      <xdr:row>540</xdr:row>
      <xdr:rowOff>38100</xdr:rowOff>
    </xdr:from>
    <xdr:to>
      <xdr:col>39</xdr:col>
      <xdr:colOff>217714</xdr:colOff>
      <xdr:row>540</xdr:row>
      <xdr:rowOff>122464</xdr:rowOff>
    </xdr:to>
    <xdr:cxnSp macro="">
      <xdr:nvCxnSpPr>
        <xdr:cNvPr id="84" name="Conexão reta unidirecional 92">
          <a:extLst>
            <a:ext uri="{FF2B5EF4-FFF2-40B4-BE49-F238E27FC236}">
              <a16:creationId xmlns:a16="http://schemas.microsoft.com/office/drawing/2014/main" id="{979FB39F-7FE9-4AD0-8A2A-38FCDBB0034E}"/>
            </a:ext>
          </a:extLst>
        </xdr:cNvPr>
        <xdr:cNvCxnSpPr/>
      </xdr:nvCxnSpPr>
      <xdr:spPr>
        <a:xfrm>
          <a:off x="36240811" y="115519200"/>
          <a:ext cx="533853" cy="84364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49357</xdr:colOff>
      <xdr:row>538</xdr:row>
      <xdr:rowOff>108857</xdr:rowOff>
    </xdr:from>
    <xdr:to>
      <xdr:col>40</xdr:col>
      <xdr:colOff>27214</xdr:colOff>
      <xdr:row>539</xdr:row>
      <xdr:rowOff>115455</xdr:rowOff>
    </xdr:to>
    <xdr:cxnSp macro="">
      <xdr:nvCxnSpPr>
        <xdr:cNvPr id="85" name="Conexão reta unidirecional 93">
          <a:extLst>
            <a:ext uri="{FF2B5EF4-FFF2-40B4-BE49-F238E27FC236}">
              <a16:creationId xmlns:a16="http://schemas.microsoft.com/office/drawing/2014/main" id="{0FD3053E-5740-47FE-B688-F3AE5FBEF9C1}"/>
            </a:ext>
          </a:extLst>
        </xdr:cNvPr>
        <xdr:cNvCxnSpPr/>
      </xdr:nvCxnSpPr>
      <xdr:spPr>
        <a:xfrm flipV="1">
          <a:off x="36352307" y="115012107"/>
          <a:ext cx="485857" cy="20979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27215</xdr:colOff>
      <xdr:row>539</xdr:row>
      <xdr:rowOff>204107</xdr:rowOff>
    </xdr:from>
    <xdr:to>
      <xdr:col>30</xdr:col>
      <xdr:colOff>136072</xdr:colOff>
      <xdr:row>540</xdr:row>
      <xdr:rowOff>149678</xdr:rowOff>
    </xdr:to>
    <xdr:cxnSp macro="">
      <xdr:nvCxnSpPr>
        <xdr:cNvPr id="86" name="Conexão reta unidirecional 94">
          <a:extLst>
            <a:ext uri="{FF2B5EF4-FFF2-40B4-BE49-F238E27FC236}">
              <a16:creationId xmlns:a16="http://schemas.microsoft.com/office/drawing/2014/main" id="{E76C8756-595B-4977-A1C1-90F40B968B0D}"/>
            </a:ext>
          </a:extLst>
        </xdr:cNvPr>
        <xdr:cNvCxnSpPr/>
      </xdr:nvCxnSpPr>
      <xdr:spPr>
        <a:xfrm flipH="1">
          <a:off x="31300965" y="115310557"/>
          <a:ext cx="654957" cy="32022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40822</xdr:colOff>
      <xdr:row>538</xdr:row>
      <xdr:rowOff>54428</xdr:rowOff>
    </xdr:from>
    <xdr:to>
      <xdr:col>29</xdr:col>
      <xdr:colOff>256268</xdr:colOff>
      <xdr:row>539</xdr:row>
      <xdr:rowOff>212271</xdr:rowOff>
    </xdr:to>
    <xdr:cxnSp macro="">
      <xdr:nvCxnSpPr>
        <xdr:cNvPr id="87" name="Conexão reta unidirecional 95">
          <a:extLst>
            <a:ext uri="{FF2B5EF4-FFF2-40B4-BE49-F238E27FC236}">
              <a16:creationId xmlns:a16="http://schemas.microsoft.com/office/drawing/2014/main" id="{FF93DF01-09F9-45AB-810E-FD8EC5A90037}"/>
            </a:ext>
          </a:extLst>
        </xdr:cNvPr>
        <xdr:cNvCxnSpPr/>
      </xdr:nvCxnSpPr>
      <xdr:spPr>
        <a:xfrm flipH="1" flipV="1">
          <a:off x="31314572" y="114957678"/>
          <a:ext cx="488496" cy="361043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176893</xdr:colOff>
      <xdr:row>539</xdr:row>
      <xdr:rowOff>201839</xdr:rowOff>
    </xdr:from>
    <xdr:to>
      <xdr:col>29</xdr:col>
      <xdr:colOff>257175</xdr:colOff>
      <xdr:row>606</xdr:row>
      <xdr:rowOff>81643</xdr:rowOff>
    </xdr:to>
    <xdr:cxnSp macro="">
      <xdr:nvCxnSpPr>
        <xdr:cNvPr id="88" name="Conexão reta unidirecional 96">
          <a:extLst>
            <a:ext uri="{FF2B5EF4-FFF2-40B4-BE49-F238E27FC236}">
              <a16:creationId xmlns:a16="http://schemas.microsoft.com/office/drawing/2014/main" id="{70F51D28-DE9C-4E0C-81B8-B5F916F109B2}"/>
            </a:ext>
          </a:extLst>
        </xdr:cNvPr>
        <xdr:cNvCxnSpPr/>
      </xdr:nvCxnSpPr>
      <xdr:spPr>
        <a:xfrm flipH="1">
          <a:off x="31723693" y="115308289"/>
          <a:ext cx="80282" cy="13837104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27215</xdr:colOff>
      <xdr:row>539</xdr:row>
      <xdr:rowOff>107260</xdr:rowOff>
    </xdr:from>
    <xdr:to>
      <xdr:col>38</xdr:col>
      <xdr:colOff>38652</xdr:colOff>
      <xdr:row>606</xdr:row>
      <xdr:rowOff>0</xdr:rowOff>
    </xdr:to>
    <xdr:cxnSp macro="">
      <xdr:nvCxnSpPr>
        <xdr:cNvPr id="89" name="Conexão reta unidirecional 97">
          <a:extLst>
            <a:ext uri="{FF2B5EF4-FFF2-40B4-BE49-F238E27FC236}">
              <a16:creationId xmlns:a16="http://schemas.microsoft.com/office/drawing/2014/main" id="{8D3E9812-2CD1-4E13-A33C-B5FE721AC01E}"/>
            </a:ext>
          </a:extLst>
        </xdr:cNvPr>
        <xdr:cNvCxnSpPr/>
      </xdr:nvCxnSpPr>
      <xdr:spPr>
        <a:xfrm flipH="1">
          <a:off x="36330165" y="115213710"/>
          <a:ext cx="11437" cy="13850040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729550</xdr:colOff>
      <xdr:row>568</xdr:row>
      <xdr:rowOff>97602</xdr:rowOff>
    </xdr:from>
    <xdr:to>
      <xdr:col>29</xdr:col>
      <xdr:colOff>261230</xdr:colOff>
      <xdr:row>570</xdr:row>
      <xdr:rowOff>79458</xdr:rowOff>
    </xdr:to>
    <xdr:cxnSp macro="">
      <xdr:nvCxnSpPr>
        <xdr:cNvPr id="90" name="Conexão reta unidirecional 98">
          <a:extLst>
            <a:ext uri="{FF2B5EF4-FFF2-40B4-BE49-F238E27FC236}">
              <a16:creationId xmlns:a16="http://schemas.microsoft.com/office/drawing/2014/main" id="{E9AA85C3-E70B-4642-9953-E08342A780AC}"/>
            </a:ext>
          </a:extLst>
        </xdr:cNvPr>
        <xdr:cNvCxnSpPr/>
      </xdr:nvCxnSpPr>
      <xdr:spPr>
        <a:xfrm flipH="1" flipV="1">
          <a:off x="31241300" y="121439752"/>
          <a:ext cx="566730" cy="38825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756764</xdr:colOff>
      <xdr:row>570</xdr:row>
      <xdr:rowOff>83993</xdr:rowOff>
    </xdr:from>
    <xdr:to>
      <xdr:col>29</xdr:col>
      <xdr:colOff>260281</xdr:colOff>
      <xdr:row>572</xdr:row>
      <xdr:rowOff>45365</xdr:rowOff>
    </xdr:to>
    <xdr:cxnSp macro="">
      <xdr:nvCxnSpPr>
        <xdr:cNvPr id="91" name="Conexão reta unidirecional 99">
          <a:extLst>
            <a:ext uri="{FF2B5EF4-FFF2-40B4-BE49-F238E27FC236}">
              <a16:creationId xmlns:a16="http://schemas.microsoft.com/office/drawing/2014/main" id="{4457040F-7DB2-4D1F-AE28-3B6684B5A480}"/>
            </a:ext>
          </a:extLst>
        </xdr:cNvPr>
        <xdr:cNvCxnSpPr/>
      </xdr:nvCxnSpPr>
      <xdr:spPr>
        <a:xfrm flipH="1">
          <a:off x="31268514" y="121832543"/>
          <a:ext cx="538567" cy="36777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42470</xdr:colOff>
      <xdr:row>568</xdr:row>
      <xdr:rowOff>96489</xdr:rowOff>
    </xdr:from>
    <xdr:to>
      <xdr:col>40</xdr:col>
      <xdr:colOff>40821</xdr:colOff>
      <xdr:row>570</xdr:row>
      <xdr:rowOff>84241</xdr:rowOff>
    </xdr:to>
    <xdr:cxnSp macro="">
      <xdr:nvCxnSpPr>
        <xdr:cNvPr id="92" name="Conexão reta unidirecional 100">
          <a:extLst>
            <a:ext uri="{FF2B5EF4-FFF2-40B4-BE49-F238E27FC236}">
              <a16:creationId xmlns:a16="http://schemas.microsoft.com/office/drawing/2014/main" id="{DCEC08DE-4F5C-4AC2-B203-0A6F9D7CD4CC}"/>
            </a:ext>
          </a:extLst>
        </xdr:cNvPr>
        <xdr:cNvCxnSpPr/>
      </xdr:nvCxnSpPr>
      <xdr:spPr>
        <a:xfrm flipV="1">
          <a:off x="36345420" y="121438639"/>
          <a:ext cx="506351" cy="39415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21154</xdr:colOff>
      <xdr:row>570</xdr:row>
      <xdr:rowOff>114629</xdr:rowOff>
    </xdr:from>
    <xdr:to>
      <xdr:col>40</xdr:col>
      <xdr:colOff>13608</xdr:colOff>
      <xdr:row>572</xdr:row>
      <xdr:rowOff>96486</xdr:rowOff>
    </xdr:to>
    <xdr:cxnSp macro="">
      <xdr:nvCxnSpPr>
        <xdr:cNvPr id="93" name="Conexão reta unidirecional 101">
          <a:extLst>
            <a:ext uri="{FF2B5EF4-FFF2-40B4-BE49-F238E27FC236}">
              <a16:creationId xmlns:a16="http://schemas.microsoft.com/office/drawing/2014/main" id="{BACD8321-062E-49B5-BA03-41B862EC7D06}"/>
            </a:ext>
          </a:extLst>
        </xdr:cNvPr>
        <xdr:cNvCxnSpPr/>
      </xdr:nvCxnSpPr>
      <xdr:spPr>
        <a:xfrm>
          <a:off x="36324104" y="121863179"/>
          <a:ext cx="500454" cy="388257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235324</xdr:colOff>
      <xdr:row>606</xdr:row>
      <xdr:rowOff>11206</xdr:rowOff>
    </xdr:from>
    <xdr:to>
      <xdr:col>40</xdr:col>
      <xdr:colOff>27294</xdr:colOff>
      <xdr:row>606</xdr:row>
      <xdr:rowOff>124359</xdr:rowOff>
    </xdr:to>
    <xdr:cxnSp macro="">
      <xdr:nvCxnSpPr>
        <xdr:cNvPr id="94" name="Conexão reta unidirecional 102">
          <a:extLst>
            <a:ext uri="{FF2B5EF4-FFF2-40B4-BE49-F238E27FC236}">
              <a16:creationId xmlns:a16="http://schemas.microsoft.com/office/drawing/2014/main" id="{F6CC58CA-0A87-4C15-AA6C-E3E181517131}"/>
            </a:ext>
          </a:extLst>
        </xdr:cNvPr>
        <xdr:cNvCxnSpPr/>
      </xdr:nvCxnSpPr>
      <xdr:spPr>
        <a:xfrm>
          <a:off x="36284274" y="129074956"/>
          <a:ext cx="553970" cy="113153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142422</xdr:colOff>
      <xdr:row>604</xdr:row>
      <xdr:rowOff>68036</xdr:rowOff>
    </xdr:from>
    <xdr:to>
      <xdr:col>39</xdr:col>
      <xdr:colOff>231321</xdr:colOff>
      <xdr:row>605</xdr:row>
      <xdr:rowOff>84818</xdr:rowOff>
    </xdr:to>
    <xdr:cxnSp macro="">
      <xdr:nvCxnSpPr>
        <xdr:cNvPr id="95" name="Conexão reta unidirecional 103">
          <a:extLst>
            <a:ext uri="{FF2B5EF4-FFF2-40B4-BE49-F238E27FC236}">
              <a16:creationId xmlns:a16="http://schemas.microsoft.com/office/drawing/2014/main" id="{160FE605-0BE5-4699-A2CD-D6AA1F880A25}"/>
            </a:ext>
          </a:extLst>
        </xdr:cNvPr>
        <xdr:cNvCxnSpPr/>
      </xdr:nvCxnSpPr>
      <xdr:spPr>
        <a:xfrm flipV="1">
          <a:off x="36445372" y="128725386"/>
          <a:ext cx="342899" cy="21998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734786</xdr:colOff>
      <xdr:row>606</xdr:row>
      <xdr:rowOff>95250</xdr:rowOff>
    </xdr:from>
    <xdr:to>
      <xdr:col>29</xdr:col>
      <xdr:colOff>187325</xdr:colOff>
      <xdr:row>606</xdr:row>
      <xdr:rowOff>176893</xdr:rowOff>
    </xdr:to>
    <xdr:cxnSp macro="">
      <xdr:nvCxnSpPr>
        <xdr:cNvPr id="96" name="Conexão reta unidirecional 104">
          <a:extLst>
            <a:ext uri="{FF2B5EF4-FFF2-40B4-BE49-F238E27FC236}">
              <a16:creationId xmlns:a16="http://schemas.microsoft.com/office/drawing/2014/main" id="{90E5E072-C1DC-4F6B-BA6E-666335478DBC}"/>
            </a:ext>
          </a:extLst>
        </xdr:cNvPr>
        <xdr:cNvCxnSpPr/>
      </xdr:nvCxnSpPr>
      <xdr:spPr>
        <a:xfrm flipH="1">
          <a:off x="31246536" y="129159000"/>
          <a:ext cx="487589" cy="81643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751568</xdr:colOff>
      <xdr:row>604</xdr:row>
      <xdr:rowOff>125640</xdr:rowOff>
    </xdr:from>
    <xdr:to>
      <xdr:col>29</xdr:col>
      <xdr:colOff>258536</xdr:colOff>
      <xdr:row>605</xdr:row>
      <xdr:rowOff>122464</xdr:rowOff>
    </xdr:to>
    <xdr:cxnSp macro="">
      <xdr:nvCxnSpPr>
        <xdr:cNvPr id="97" name="Conexão reta unidirecional 105">
          <a:extLst>
            <a:ext uri="{FF2B5EF4-FFF2-40B4-BE49-F238E27FC236}">
              <a16:creationId xmlns:a16="http://schemas.microsoft.com/office/drawing/2014/main" id="{0C29D855-A5A4-4A42-961C-720F20A35B3A}"/>
            </a:ext>
          </a:extLst>
        </xdr:cNvPr>
        <xdr:cNvCxnSpPr/>
      </xdr:nvCxnSpPr>
      <xdr:spPr>
        <a:xfrm flipH="1" flipV="1">
          <a:off x="31263318" y="128782990"/>
          <a:ext cx="542018" cy="200024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268941</xdr:colOff>
      <xdr:row>605</xdr:row>
      <xdr:rowOff>105682</xdr:rowOff>
    </xdr:from>
    <xdr:to>
      <xdr:col>30</xdr:col>
      <xdr:colOff>0</xdr:colOff>
      <xdr:row>672</xdr:row>
      <xdr:rowOff>56029</xdr:rowOff>
    </xdr:to>
    <xdr:cxnSp macro="">
      <xdr:nvCxnSpPr>
        <xdr:cNvPr id="98" name="Conexão reta unidirecional 106">
          <a:extLst>
            <a:ext uri="{FF2B5EF4-FFF2-40B4-BE49-F238E27FC236}">
              <a16:creationId xmlns:a16="http://schemas.microsoft.com/office/drawing/2014/main" id="{C6E13BE8-7DD6-438E-95BB-A4A4629CC947}"/>
            </a:ext>
          </a:extLst>
        </xdr:cNvPr>
        <xdr:cNvCxnSpPr/>
      </xdr:nvCxnSpPr>
      <xdr:spPr>
        <a:xfrm flipH="1">
          <a:off x="31815741" y="128966232"/>
          <a:ext cx="4109" cy="13564747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44824</xdr:colOff>
      <xdr:row>605</xdr:row>
      <xdr:rowOff>64860</xdr:rowOff>
    </xdr:from>
    <xdr:to>
      <xdr:col>38</xdr:col>
      <xdr:colOff>136072</xdr:colOff>
      <xdr:row>671</xdr:row>
      <xdr:rowOff>134471</xdr:rowOff>
    </xdr:to>
    <xdr:cxnSp macro="">
      <xdr:nvCxnSpPr>
        <xdr:cNvPr id="99" name="Conexão reta unidirecional 107">
          <a:extLst>
            <a:ext uri="{FF2B5EF4-FFF2-40B4-BE49-F238E27FC236}">
              <a16:creationId xmlns:a16="http://schemas.microsoft.com/office/drawing/2014/main" id="{FD28FBA2-36EA-4470-9EC3-6B9DFAA9297C}"/>
            </a:ext>
          </a:extLst>
        </xdr:cNvPr>
        <xdr:cNvCxnSpPr/>
      </xdr:nvCxnSpPr>
      <xdr:spPr>
        <a:xfrm flipH="1">
          <a:off x="36347774" y="128925410"/>
          <a:ext cx="91248" cy="13480811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426357</xdr:colOff>
      <xdr:row>617</xdr:row>
      <xdr:rowOff>117929</xdr:rowOff>
    </xdr:from>
    <xdr:to>
      <xdr:col>34</xdr:col>
      <xdr:colOff>430325</xdr:colOff>
      <xdr:row>619</xdr:row>
      <xdr:rowOff>163697</xdr:rowOff>
    </xdr:to>
    <xdr:cxnSp macro="">
      <xdr:nvCxnSpPr>
        <xdr:cNvPr id="100" name="Conexão reta unidirecional 108">
          <a:extLst>
            <a:ext uri="{FF2B5EF4-FFF2-40B4-BE49-F238E27FC236}">
              <a16:creationId xmlns:a16="http://schemas.microsoft.com/office/drawing/2014/main" id="{98FBD98E-3140-40F8-9F82-D53444DF278D}"/>
            </a:ext>
          </a:extLst>
        </xdr:cNvPr>
        <xdr:cNvCxnSpPr/>
      </xdr:nvCxnSpPr>
      <xdr:spPr>
        <a:xfrm>
          <a:off x="33554307" y="131416879"/>
          <a:ext cx="1146968" cy="452168"/>
        </a:xfrm>
        <a:prstGeom prst="straightConnector1">
          <a:avLst/>
        </a:prstGeom>
        <a:ln w="3048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471715</xdr:colOff>
      <xdr:row>617</xdr:row>
      <xdr:rowOff>136072</xdr:rowOff>
    </xdr:from>
    <xdr:to>
      <xdr:col>34</xdr:col>
      <xdr:colOff>335643</xdr:colOff>
      <xdr:row>619</xdr:row>
      <xdr:rowOff>117929</xdr:rowOff>
    </xdr:to>
    <xdr:cxnSp macro="">
      <xdr:nvCxnSpPr>
        <xdr:cNvPr id="101" name="Conexão reta unidirecional 109">
          <a:extLst>
            <a:ext uri="{FF2B5EF4-FFF2-40B4-BE49-F238E27FC236}">
              <a16:creationId xmlns:a16="http://schemas.microsoft.com/office/drawing/2014/main" id="{881F2FD3-09DD-4B18-B59F-8A27450C0CC8}"/>
            </a:ext>
          </a:extLst>
        </xdr:cNvPr>
        <xdr:cNvCxnSpPr/>
      </xdr:nvCxnSpPr>
      <xdr:spPr>
        <a:xfrm flipV="1">
          <a:off x="33599665" y="131435022"/>
          <a:ext cx="1006928" cy="388257"/>
        </a:xfrm>
        <a:prstGeom prst="straightConnector1">
          <a:avLst/>
        </a:prstGeom>
        <a:ln w="3048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724113</xdr:colOff>
      <xdr:row>636</xdr:row>
      <xdr:rowOff>94476</xdr:rowOff>
    </xdr:from>
    <xdr:to>
      <xdr:col>30</xdr:col>
      <xdr:colOff>0</xdr:colOff>
      <xdr:row>638</xdr:row>
      <xdr:rowOff>156882</xdr:rowOff>
    </xdr:to>
    <xdr:cxnSp macro="">
      <xdr:nvCxnSpPr>
        <xdr:cNvPr id="102" name="Conexão reta unidirecional 110">
          <a:extLst>
            <a:ext uri="{FF2B5EF4-FFF2-40B4-BE49-F238E27FC236}">
              <a16:creationId xmlns:a16="http://schemas.microsoft.com/office/drawing/2014/main" id="{A9FA4CDD-E850-41C2-A985-7ED5408DC0D6}"/>
            </a:ext>
          </a:extLst>
        </xdr:cNvPr>
        <xdr:cNvCxnSpPr/>
      </xdr:nvCxnSpPr>
      <xdr:spPr>
        <a:xfrm flipH="1" flipV="1">
          <a:off x="31235863" y="135254226"/>
          <a:ext cx="583987" cy="46880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724113</xdr:colOff>
      <xdr:row>638</xdr:row>
      <xdr:rowOff>143570</xdr:rowOff>
    </xdr:from>
    <xdr:to>
      <xdr:col>29</xdr:col>
      <xdr:colOff>260403</xdr:colOff>
      <xdr:row>640</xdr:row>
      <xdr:rowOff>123084</xdr:rowOff>
    </xdr:to>
    <xdr:cxnSp macro="">
      <xdr:nvCxnSpPr>
        <xdr:cNvPr id="103" name="Conexão reta unidirecional 111">
          <a:extLst>
            <a:ext uri="{FF2B5EF4-FFF2-40B4-BE49-F238E27FC236}">
              <a16:creationId xmlns:a16="http://schemas.microsoft.com/office/drawing/2014/main" id="{8E635748-DF8D-4894-9340-D3AEA34EBF85}"/>
            </a:ext>
          </a:extLst>
        </xdr:cNvPr>
        <xdr:cNvCxnSpPr/>
      </xdr:nvCxnSpPr>
      <xdr:spPr>
        <a:xfrm flipH="1">
          <a:off x="31235863" y="135709720"/>
          <a:ext cx="571340" cy="385914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96024</xdr:colOff>
      <xdr:row>636</xdr:row>
      <xdr:rowOff>54116</xdr:rowOff>
    </xdr:from>
    <xdr:to>
      <xdr:col>40</xdr:col>
      <xdr:colOff>11206</xdr:colOff>
      <xdr:row>638</xdr:row>
      <xdr:rowOff>38448</xdr:rowOff>
    </xdr:to>
    <xdr:cxnSp macro="">
      <xdr:nvCxnSpPr>
        <xdr:cNvPr id="104" name="Conexão reta unidirecional 112">
          <a:extLst>
            <a:ext uri="{FF2B5EF4-FFF2-40B4-BE49-F238E27FC236}">
              <a16:creationId xmlns:a16="http://schemas.microsoft.com/office/drawing/2014/main" id="{E62F4CDB-5213-4B1C-9F98-E440F6933B94}"/>
            </a:ext>
          </a:extLst>
        </xdr:cNvPr>
        <xdr:cNvCxnSpPr/>
      </xdr:nvCxnSpPr>
      <xdr:spPr>
        <a:xfrm flipV="1">
          <a:off x="36398974" y="135213866"/>
          <a:ext cx="423182" cy="39073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91808</xdr:colOff>
      <xdr:row>638</xdr:row>
      <xdr:rowOff>53869</xdr:rowOff>
    </xdr:from>
    <xdr:to>
      <xdr:col>40</xdr:col>
      <xdr:colOff>22412</xdr:colOff>
      <xdr:row>640</xdr:row>
      <xdr:rowOff>54115</xdr:rowOff>
    </xdr:to>
    <xdr:cxnSp macro="">
      <xdr:nvCxnSpPr>
        <xdr:cNvPr id="105" name="Conexão reta unidirecional 113">
          <a:extLst>
            <a:ext uri="{FF2B5EF4-FFF2-40B4-BE49-F238E27FC236}">
              <a16:creationId xmlns:a16="http://schemas.microsoft.com/office/drawing/2014/main" id="{CD0DE820-2E64-4D52-AF07-62B441A91B63}"/>
            </a:ext>
          </a:extLst>
        </xdr:cNvPr>
        <xdr:cNvCxnSpPr/>
      </xdr:nvCxnSpPr>
      <xdr:spPr>
        <a:xfrm>
          <a:off x="36394758" y="135620019"/>
          <a:ext cx="438604" cy="40664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27934</xdr:colOff>
      <xdr:row>671</xdr:row>
      <xdr:rowOff>106376</xdr:rowOff>
    </xdr:from>
    <xdr:to>
      <xdr:col>40</xdr:col>
      <xdr:colOff>0</xdr:colOff>
      <xdr:row>672</xdr:row>
      <xdr:rowOff>145677</xdr:rowOff>
    </xdr:to>
    <xdr:cxnSp macro="">
      <xdr:nvCxnSpPr>
        <xdr:cNvPr id="106" name="Conexão reta unidirecional 114">
          <a:extLst>
            <a:ext uri="{FF2B5EF4-FFF2-40B4-BE49-F238E27FC236}">
              <a16:creationId xmlns:a16="http://schemas.microsoft.com/office/drawing/2014/main" id="{DA5648C2-A83D-41FF-8C9A-CD73EAB1B1E6}"/>
            </a:ext>
          </a:extLst>
        </xdr:cNvPr>
        <xdr:cNvCxnSpPr/>
      </xdr:nvCxnSpPr>
      <xdr:spPr>
        <a:xfrm>
          <a:off x="36330884" y="142378126"/>
          <a:ext cx="480066" cy="24250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159524</xdr:colOff>
      <xdr:row>670</xdr:row>
      <xdr:rowOff>78441</xdr:rowOff>
    </xdr:from>
    <xdr:to>
      <xdr:col>39</xdr:col>
      <xdr:colOff>235323</xdr:colOff>
      <xdr:row>671</xdr:row>
      <xdr:rowOff>140848</xdr:rowOff>
    </xdr:to>
    <xdr:cxnSp macro="">
      <xdr:nvCxnSpPr>
        <xdr:cNvPr id="107" name="Conexão reta unidirecional 115">
          <a:extLst>
            <a:ext uri="{FF2B5EF4-FFF2-40B4-BE49-F238E27FC236}">
              <a16:creationId xmlns:a16="http://schemas.microsoft.com/office/drawing/2014/main" id="{82D34031-0CB9-4281-8441-BA990B336285}"/>
            </a:ext>
          </a:extLst>
        </xdr:cNvPr>
        <xdr:cNvCxnSpPr/>
      </xdr:nvCxnSpPr>
      <xdr:spPr>
        <a:xfrm flipV="1">
          <a:off x="36462474" y="142146991"/>
          <a:ext cx="329799" cy="265607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731557</xdr:colOff>
      <xdr:row>672</xdr:row>
      <xdr:rowOff>44824</xdr:rowOff>
    </xdr:from>
    <xdr:to>
      <xdr:col>29</xdr:col>
      <xdr:colOff>268941</xdr:colOff>
      <xdr:row>672</xdr:row>
      <xdr:rowOff>126440</xdr:rowOff>
    </xdr:to>
    <xdr:cxnSp macro="">
      <xdr:nvCxnSpPr>
        <xdr:cNvPr id="108" name="Conexão reta unidirecional 116">
          <a:extLst>
            <a:ext uri="{FF2B5EF4-FFF2-40B4-BE49-F238E27FC236}">
              <a16:creationId xmlns:a16="http://schemas.microsoft.com/office/drawing/2014/main" id="{D038F57D-B989-442D-9FD2-22774AE972AF}"/>
            </a:ext>
          </a:extLst>
        </xdr:cNvPr>
        <xdr:cNvCxnSpPr/>
      </xdr:nvCxnSpPr>
      <xdr:spPr>
        <a:xfrm flipH="1">
          <a:off x="31243307" y="142519774"/>
          <a:ext cx="572434" cy="8161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753969</xdr:colOff>
      <xdr:row>670</xdr:row>
      <xdr:rowOff>104028</xdr:rowOff>
    </xdr:from>
    <xdr:to>
      <xdr:col>30</xdr:col>
      <xdr:colOff>89647</xdr:colOff>
      <xdr:row>671</xdr:row>
      <xdr:rowOff>123265</xdr:rowOff>
    </xdr:to>
    <xdr:cxnSp macro="">
      <xdr:nvCxnSpPr>
        <xdr:cNvPr id="109" name="Conexão reta unidirecional 117">
          <a:extLst>
            <a:ext uri="{FF2B5EF4-FFF2-40B4-BE49-F238E27FC236}">
              <a16:creationId xmlns:a16="http://schemas.microsoft.com/office/drawing/2014/main" id="{37B0D118-C680-4837-A2A0-1D50296527A1}"/>
            </a:ext>
          </a:extLst>
        </xdr:cNvPr>
        <xdr:cNvCxnSpPr/>
      </xdr:nvCxnSpPr>
      <xdr:spPr>
        <a:xfrm flipH="1" flipV="1">
          <a:off x="31265719" y="142172578"/>
          <a:ext cx="643778" cy="222437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671</xdr:row>
      <xdr:rowOff>126440</xdr:rowOff>
    </xdr:from>
    <xdr:to>
      <xdr:col>30</xdr:col>
      <xdr:colOff>64060</xdr:colOff>
      <xdr:row>744</xdr:row>
      <xdr:rowOff>44823</xdr:rowOff>
    </xdr:to>
    <xdr:cxnSp macro="">
      <xdr:nvCxnSpPr>
        <xdr:cNvPr id="110" name="Conexão reta unidirecional 118">
          <a:extLst>
            <a:ext uri="{FF2B5EF4-FFF2-40B4-BE49-F238E27FC236}">
              <a16:creationId xmlns:a16="http://schemas.microsoft.com/office/drawing/2014/main" id="{13606B84-119A-40CC-BCF4-2E9423BFF738}"/>
            </a:ext>
          </a:extLst>
        </xdr:cNvPr>
        <xdr:cNvCxnSpPr/>
      </xdr:nvCxnSpPr>
      <xdr:spPr>
        <a:xfrm flipH="1">
          <a:off x="31819850" y="142398190"/>
          <a:ext cx="64060" cy="14751983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134471</xdr:colOff>
      <xdr:row>671</xdr:row>
      <xdr:rowOff>112059</xdr:rowOff>
    </xdr:from>
    <xdr:to>
      <xdr:col>38</xdr:col>
      <xdr:colOff>160058</xdr:colOff>
      <xdr:row>744</xdr:row>
      <xdr:rowOff>11205</xdr:rowOff>
    </xdr:to>
    <xdr:cxnSp macro="">
      <xdr:nvCxnSpPr>
        <xdr:cNvPr id="111" name="Conexão reta unidirecional 119">
          <a:extLst>
            <a:ext uri="{FF2B5EF4-FFF2-40B4-BE49-F238E27FC236}">
              <a16:creationId xmlns:a16="http://schemas.microsoft.com/office/drawing/2014/main" id="{F76CA789-0F5D-4225-B1D4-ED1B0A7BAA4B}"/>
            </a:ext>
          </a:extLst>
        </xdr:cNvPr>
        <xdr:cNvCxnSpPr/>
      </xdr:nvCxnSpPr>
      <xdr:spPr>
        <a:xfrm flipH="1">
          <a:off x="36437421" y="142383809"/>
          <a:ext cx="25587" cy="1473274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690</xdr:row>
      <xdr:rowOff>0</xdr:rowOff>
    </xdr:from>
    <xdr:to>
      <xdr:col>35</xdr:col>
      <xdr:colOff>3968</xdr:colOff>
      <xdr:row>692</xdr:row>
      <xdr:rowOff>45768</xdr:rowOff>
    </xdr:to>
    <xdr:cxnSp macro="">
      <xdr:nvCxnSpPr>
        <xdr:cNvPr id="112" name="Conexão reta unidirecional 120">
          <a:extLst>
            <a:ext uri="{FF2B5EF4-FFF2-40B4-BE49-F238E27FC236}">
              <a16:creationId xmlns:a16="http://schemas.microsoft.com/office/drawing/2014/main" id="{BD89A2BD-448E-4A9D-BA72-B6B626CBEC74}"/>
            </a:ext>
          </a:extLst>
        </xdr:cNvPr>
        <xdr:cNvCxnSpPr/>
      </xdr:nvCxnSpPr>
      <xdr:spPr>
        <a:xfrm>
          <a:off x="34270950" y="146132550"/>
          <a:ext cx="765968" cy="452168"/>
        </a:xfrm>
        <a:prstGeom prst="straightConnector1">
          <a:avLst/>
        </a:prstGeom>
        <a:ln w="3048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45358</xdr:colOff>
      <xdr:row>690</xdr:row>
      <xdr:rowOff>18143</xdr:rowOff>
    </xdr:from>
    <xdr:to>
      <xdr:col>34</xdr:col>
      <xdr:colOff>512536</xdr:colOff>
      <xdr:row>692</xdr:row>
      <xdr:rowOff>0</xdr:rowOff>
    </xdr:to>
    <xdr:cxnSp macro="">
      <xdr:nvCxnSpPr>
        <xdr:cNvPr id="113" name="Conexão reta unidirecional 121">
          <a:extLst>
            <a:ext uri="{FF2B5EF4-FFF2-40B4-BE49-F238E27FC236}">
              <a16:creationId xmlns:a16="http://schemas.microsoft.com/office/drawing/2014/main" id="{0C6B173C-36C8-4992-9473-988CA2BCE61A}"/>
            </a:ext>
          </a:extLst>
        </xdr:cNvPr>
        <xdr:cNvCxnSpPr/>
      </xdr:nvCxnSpPr>
      <xdr:spPr>
        <a:xfrm flipV="1">
          <a:off x="34316308" y="146150693"/>
          <a:ext cx="467178" cy="388257"/>
        </a:xfrm>
        <a:prstGeom prst="straightConnector1">
          <a:avLst/>
        </a:prstGeom>
        <a:ln w="3048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156883</xdr:colOff>
      <xdr:row>700</xdr:row>
      <xdr:rowOff>29696</xdr:rowOff>
    </xdr:from>
    <xdr:to>
      <xdr:col>40</xdr:col>
      <xdr:colOff>0</xdr:colOff>
      <xdr:row>702</xdr:row>
      <xdr:rowOff>78441</xdr:rowOff>
    </xdr:to>
    <xdr:cxnSp macro="">
      <xdr:nvCxnSpPr>
        <xdr:cNvPr id="114" name="Conexão reta unidirecional 122">
          <a:extLst>
            <a:ext uri="{FF2B5EF4-FFF2-40B4-BE49-F238E27FC236}">
              <a16:creationId xmlns:a16="http://schemas.microsoft.com/office/drawing/2014/main" id="{505DB280-71C8-427E-B81A-E91568DEE854}"/>
            </a:ext>
          </a:extLst>
        </xdr:cNvPr>
        <xdr:cNvCxnSpPr/>
      </xdr:nvCxnSpPr>
      <xdr:spPr>
        <a:xfrm flipV="1">
          <a:off x="36459833" y="148194246"/>
          <a:ext cx="351117" cy="455145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142502</xdr:colOff>
      <xdr:row>702</xdr:row>
      <xdr:rowOff>104027</xdr:rowOff>
    </xdr:from>
    <xdr:to>
      <xdr:col>40</xdr:col>
      <xdr:colOff>0</xdr:colOff>
      <xdr:row>704</xdr:row>
      <xdr:rowOff>100853</xdr:rowOff>
    </xdr:to>
    <xdr:cxnSp macro="">
      <xdr:nvCxnSpPr>
        <xdr:cNvPr id="115" name="Conexão reta unidirecional 123">
          <a:extLst>
            <a:ext uri="{FF2B5EF4-FFF2-40B4-BE49-F238E27FC236}">
              <a16:creationId xmlns:a16="http://schemas.microsoft.com/office/drawing/2014/main" id="{4C62A405-B02A-499F-9894-EF9184B304D9}"/>
            </a:ext>
          </a:extLst>
        </xdr:cNvPr>
        <xdr:cNvCxnSpPr/>
      </xdr:nvCxnSpPr>
      <xdr:spPr>
        <a:xfrm>
          <a:off x="36445452" y="148674977"/>
          <a:ext cx="365498" cy="40322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753969</xdr:colOff>
      <xdr:row>700</xdr:row>
      <xdr:rowOff>64434</xdr:rowOff>
    </xdr:from>
    <xdr:to>
      <xdr:col>30</xdr:col>
      <xdr:colOff>67235</xdr:colOff>
      <xdr:row>702</xdr:row>
      <xdr:rowOff>123264</xdr:rowOff>
    </xdr:to>
    <xdr:cxnSp macro="">
      <xdr:nvCxnSpPr>
        <xdr:cNvPr id="116" name="Conexão reta unidirecional 124">
          <a:extLst>
            <a:ext uri="{FF2B5EF4-FFF2-40B4-BE49-F238E27FC236}">
              <a16:creationId xmlns:a16="http://schemas.microsoft.com/office/drawing/2014/main" id="{C80E97A3-AF64-41A3-8298-320DB3AD2B8B}"/>
            </a:ext>
          </a:extLst>
        </xdr:cNvPr>
        <xdr:cNvCxnSpPr/>
      </xdr:nvCxnSpPr>
      <xdr:spPr>
        <a:xfrm flipH="1" flipV="1">
          <a:off x="31265719" y="148228984"/>
          <a:ext cx="621366" cy="465230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11206</xdr:colOff>
      <xdr:row>702</xdr:row>
      <xdr:rowOff>142874</xdr:rowOff>
    </xdr:from>
    <xdr:to>
      <xdr:col>30</xdr:col>
      <xdr:colOff>30256</xdr:colOff>
      <xdr:row>704</xdr:row>
      <xdr:rowOff>107422</xdr:rowOff>
    </xdr:to>
    <xdr:cxnSp macro="">
      <xdr:nvCxnSpPr>
        <xdr:cNvPr id="117" name="Conexão reta unidirecional 125">
          <a:extLst>
            <a:ext uri="{FF2B5EF4-FFF2-40B4-BE49-F238E27FC236}">
              <a16:creationId xmlns:a16="http://schemas.microsoft.com/office/drawing/2014/main" id="{EF7B89EB-0F29-4329-AF2F-C8797B0ABB0A}"/>
            </a:ext>
          </a:extLst>
        </xdr:cNvPr>
        <xdr:cNvCxnSpPr/>
      </xdr:nvCxnSpPr>
      <xdr:spPr>
        <a:xfrm flipH="1">
          <a:off x="31284956" y="148713824"/>
          <a:ext cx="565150" cy="37094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739588</xdr:colOff>
      <xdr:row>734</xdr:row>
      <xdr:rowOff>112059</xdr:rowOff>
    </xdr:from>
    <xdr:to>
      <xdr:col>40</xdr:col>
      <xdr:colOff>0</xdr:colOff>
      <xdr:row>736</xdr:row>
      <xdr:rowOff>134470</xdr:rowOff>
    </xdr:to>
    <xdr:cxnSp macro="">
      <xdr:nvCxnSpPr>
        <xdr:cNvPr id="118" name="Conexão reta unidirecional 128">
          <a:extLst>
            <a:ext uri="{FF2B5EF4-FFF2-40B4-BE49-F238E27FC236}">
              <a16:creationId xmlns:a16="http://schemas.microsoft.com/office/drawing/2014/main" id="{83B7BD71-A9CA-41C6-80CE-C27E62F6FE0E}"/>
            </a:ext>
          </a:extLst>
        </xdr:cNvPr>
        <xdr:cNvCxnSpPr/>
      </xdr:nvCxnSpPr>
      <xdr:spPr>
        <a:xfrm flipV="1">
          <a:off x="31251338" y="155185409"/>
          <a:ext cx="5559612" cy="428811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105709</xdr:colOff>
      <xdr:row>743</xdr:row>
      <xdr:rowOff>190500</xdr:rowOff>
    </xdr:from>
    <xdr:to>
      <xdr:col>40</xdr:col>
      <xdr:colOff>22412</xdr:colOff>
      <xdr:row>744</xdr:row>
      <xdr:rowOff>145676</xdr:rowOff>
    </xdr:to>
    <xdr:cxnSp macro="">
      <xdr:nvCxnSpPr>
        <xdr:cNvPr id="119" name="Conexão reta unidirecional 129">
          <a:extLst>
            <a:ext uri="{FF2B5EF4-FFF2-40B4-BE49-F238E27FC236}">
              <a16:creationId xmlns:a16="http://schemas.microsoft.com/office/drawing/2014/main" id="{1D65B465-F8F4-4044-9A36-997ED4D04EEE}"/>
            </a:ext>
          </a:extLst>
        </xdr:cNvPr>
        <xdr:cNvCxnSpPr/>
      </xdr:nvCxnSpPr>
      <xdr:spPr>
        <a:xfrm>
          <a:off x="36408659" y="157092650"/>
          <a:ext cx="424703" cy="15837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235324</xdr:colOff>
      <xdr:row>742</xdr:row>
      <xdr:rowOff>64060</xdr:rowOff>
    </xdr:from>
    <xdr:to>
      <xdr:col>40</xdr:col>
      <xdr:colOff>0</xdr:colOff>
      <xdr:row>743</xdr:row>
      <xdr:rowOff>112059</xdr:rowOff>
    </xdr:to>
    <xdr:cxnSp macro="">
      <xdr:nvCxnSpPr>
        <xdr:cNvPr id="120" name="Conexão reta unidirecional 130">
          <a:extLst>
            <a:ext uri="{FF2B5EF4-FFF2-40B4-BE49-F238E27FC236}">
              <a16:creationId xmlns:a16="http://schemas.microsoft.com/office/drawing/2014/main" id="{DC9FF87E-AAC3-4E7D-85C2-701E98F3D380}"/>
            </a:ext>
          </a:extLst>
        </xdr:cNvPr>
        <xdr:cNvCxnSpPr/>
      </xdr:nvCxnSpPr>
      <xdr:spPr>
        <a:xfrm flipV="1">
          <a:off x="36538274" y="156763010"/>
          <a:ext cx="272676" cy="251199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714001</xdr:colOff>
      <xdr:row>744</xdr:row>
      <xdr:rowOff>22411</xdr:rowOff>
    </xdr:from>
    <xdr:to>
      <xdr:col>30</xdr:col>
      <xdr:colOff>11206</xdr:colOff>
      <xdr:row>744</xdr:row>
      <xdr:rowOff>134470</xdr:rowOff>
    </xdr:to>
    <xdr:cxnSp macro="">
      <xdr:nvCxnSpPr>
        <xdr:cNvPr id="121" name="Conexão reta unidirecional 131">
          <a:extLst>
            <a:ext uri="{FF2B5EF4-FFF2-40B4-BE49-F238E27FC236}">
              <a16:creationId xmlns:a16="http://schemas.microsoft.com/office/drawing/2014/main" id="{1D7C9894-94C9-4A19-AA0D-E27837C9AD52}"/>
            </a:ext>
          </a:extLst>
        </xdr:cNvPr>
        <xdr:cNvCxnSpPr/>
      </xdr:nvCxnSpPr>
      <xdr:spPr>
        <a:xfrm flipH="1">
          <a:off x="31225751" y="157127761"/>
          <a:ext cx="605305" cy="112059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753969</xdr:colOff>
      <xdr:row>742</xdr:row>
      <xdr:rowOff>86472</xdr:rowOff>
    </xdr:from>
    <xdr:to>
      <xdr:col>30</xdr:col>
      <xdr:colOff>134470</xdr:colOff>
      <xdr:row>743</xdr:row>
      <xdr:rowOff>156882</xdr:rowOff>
    </xdr:to>
    <xdr:cxnSp macro="">
      <xdr:nvCxnSpPr>
        <xdr:cNvPr id="122" name="Conexão reta unidirecional 132">
          <a:extLst>
            <a:ext uri="{FF2B5EF4-FFF2-40B4-BE49-F238E27FC236}">
              <a16:creationId xmlns:a16="http://schemas.microsoft.com/office/drawing/2014/main" id="{3E8F6C9A-5309-4100-89E6-DCAA4D43BEC5}"/>
            </a:ext>
          </a:extLst>
        </xdr:cNvPr>
        <xdr:cNvCxnSpPr/>
      </xdr:nvCxnSpPr>
      <xdr:spPr>
        <a:xfrm flipH="1" flipV="1">
          <a:off x="31265719" y="156785422"/>
          <a:ext cx="688601" cy="273610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89647</xdr:colOff>
      <xdr:row>743</xdr:row>
      <xdr:rowOff>134470</xdr:rowOff>
    </xdr:from>
    <xdr:to>
      <xdr:col>30</xdr:col>
      <xdr:colOff>134470</xdr:colOff>
      <xdr:row>808</xdr:row>
      <xdr:rowOff>78441</xdr:rowOff>
    </xdr:to>
    <xdr:cxnSp macro="">
      <xdr:nvCxnSpPr>
        <xdr:cNvPr id="123" name="Conexão reta unidirecional 133">
          <a:extLst>
            <a:ext uri="{FF2B5EF4-FFF2-40B4-BE49-F238E27FC236}">
              <a16:creationId xmlns:a16="http://schemas.microsoft.com/office/drawing/2014/main" id="{A7AA2B3A-2122-4B75-B297-17013E8FAAC6}"/>
            </a:ext>
          </a:extLst>
        </xdr:cNvPr>
        <xdr:cNvCxnSpPr/>
      </xdr:nvCxnSpPr>
      <xdr:spPr>
        <a:xfrm flipH="1">
          <a:off x="31909497" y="157036620"/>
          <a:ext cx="44823" cy="13863171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156883</xdr:colOff>
      <xdr:row>743</xdr:row>
      <xdr:rowOff>112059</xdr:rowOff>
    </xdr:from>
    <xdr:to>
      <xdr:col>39</xdr:col>
      <xdr:colOff>0</xdr:colOff>
      <xdr:row>808</xdr:row>
      <xdr:rowOff>100852</xdr:rowOff>
    </xdr:to>
    <xdr:cxnSp macro="">
      <xdr:nvCxnSpPr>
        <xdr:cNvPr id="124" name="Conexão reta unidirecional 134">
          <a:extLst>
            <a:ext uri="{FF2B5EF4-FFF2-40B4-BE49-F238E27FC236}">
              <a16:creationId xmlns:a16="http://schemas.microsoft.com/office/drawing/2014/main" id="{7B1B196B-0D19-4C83-8A64-8AC581AD7DD2}"/>
            </a:ext>
          </a:extLst>
        </xdr:cNvPr>
        <xdr:cNvCxnSpPr/>
      </xdr:nvCxnSpPr>
      <xdr:spPr>
        <a:xfrm flipH="1">
          <a:off x="36459833" y="157014209"/>
          <a:ext cx="97117" cy="13907993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750794</xdr:colOff>
      <xdr:row>772</xdr:row>
      <xdr:rowOff>72787</xdr:rowOff>
    </xdr:from>
    <xdr:to>
      <xdr:col>30</xdr:col>
      <xdr:colOff>95878</xdr:colOff>
      <xdr:row>774</xdr:row>
      <xdr:rowOff>72786</xdr:rowOff>
    </xdr:to>
    <xdr:cxnSp macro="">
      <xdr:nvCxnSpPr>
        <xdr:cNvPr id="125" name="Conexão reta unidirecional 135">
          <a:extLst>
            <a:ext uri="{FF2B5EF4-FFF2-40B4-BE49-F238E27FC236}">
              <a16:creationId xmlns:a16="http://schemas.microsoft.com/office/drawing/2014/main" id="{6DE98202-5B0A-413D-A12E-69D86DB2D740}"/>
            </a:ext>
          </a:extLst>
        </xdr:cNvPr>
        <xdr:cNvCxnSpPr/>
      </xdr:nvCxnSpPr>
      <xdr:spPr>
        <a:xfrm flipH="1" flipV="1">
          <a:off x="31262544" y="163578937"/>
          <a:ext cx="653184" cy="406399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753969</xdr:colOff>
      <xdr:row>774</xdr:row>
      <xdr:rowOff>78441</xdr:rowOff>
    </xdr:from>
    <xdr:to>
      <xdr:col>30</xdr:col>
      <xdr:colOff>112059</xdr:colOff>
      <xdr:row>776</xdr:row>
      <xdr:rowOff>143043</xdr:rowOff>
    </xdr:to>
    <xdr:cxnSp macro="">
      <xdr:nvCxnSpPr>
        <xdr:cNvPr id="126" name="Conexão reta unidirecional 136">
          <a:extLst>
            <a:ext uri="{FF2B5EF4-FFF2-40B4-BE49-F238E27FC236}">
              <a16:creationId xmlns:a16="http://schemas.microsoft.com/office/drawing/2014/main" id="{4B809226-381D-4BB3-8881-3F59F87DA955}"/>
            </a:ext>
          </a:extLst>
        </xdr:cNvPr>
        <xdr:cNvCxnSpPr/>
      </xdr:nvCxnSpPr>
      <xdr:spPr>
        <a:xfrm flipH="1">
          <a:off x="31265719" y="163990991"/>
          <a:ext cx="666190" cy="47100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179295</xdr:colOff>
      <xdr:row>772</xdr:row>
      <xdr:rowOff>26077</xdr:rowOff>
    </xdr:from>
    <xdr:to>
      <xdr:col>40</xdr:col>
      <xdr:colOff>1377</xdr:colOff>
      <xdr:row>774</xdr:row>
      <xdr:rowOff>89647</xdr:rowOff>
    </xdr:to>
    <xdr:cxnSp macro="">
      <xdr:nvCxnSpPr>
        <xdr:cNvPr id="127" name="Conexão reta unidirecional 137">
          <a:extLst>
            <a:ext uri="{FF2B5EF4-FFF2-40B4-BE49-F238E27FC236}">
              <a16:creationId xmlns:a16="http://schemas.microsoft.com/office/drawing/2014/main" id="{D4F805C9-71D6-4E04-A78A-D312329B59DD}"/>
            </a:ext>
          </a:extLst>
        </xdr:cNvPr>
        <xdr:cNvCxnSpPr/>
      </xdr:nvCxnSpPr>
      <xdr:spPr>
        <a:xfrm flipV="1">
          <a:off x="36482245" y="163532227"/>
          <a:ext cx="330082" cy="469970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774</xdr:row>
      <xdr:rowOff>104027</xdr:rowOff>
    </xdr:from>
    <xdr:to>
      <xdr:col>40</xdr:col>
      <xdr:colOff>33618</xdr:colOff>
      <xdr:row>776</xdr:row>
      <xdr:rowOff>123265</xdr:rowOff>
    </xdr:to>
    <xdr:cxnSp macro="">
      <xdr:nvCxnSpPr>
        <xdr:cNvPr id="128" name="Conexão reta unidirecional 138">
          <a:extLst>
            <a:ext uri="{FF2B5EF4-FFF2-40B4-BE49-F238E27FC236}">
              <a16:creationId xmlns:a16="http://schemas.microsoft.com/office/drawing/2014/main" id="{B8657BC0-464D-4C11-941D-E9326FD0276D}"/>
            </a:ext>
          </a:extLst>
        </xdr:cNvPr>
        <xdr:cNvCxnSpPr/>
      </xdr:nvCxnSpPr>
      <xdr:spPr>
        <a:xfrm>
          <a:off x="36493450" y="164016577"/>
          <a:ext cx="351118" cy="42563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162170</xdr:colOff>
      <xdr:row>808</xdr:row>
      <xdr:rowOff>77421</xdr:rowOff>
    </xdr:from>
    <xdr:to>
      <xdr:col>40</xdr:col>
      <xdr:colOff>21981</xdr:colOff>
      <xdr:row>808</xdr:row>
      <xdr:rowOff>139212</xdr:rowOff>
    </xdr:to>
    <xdr:cxnSp macro="">
      <xdr:nvCxnSpPr>
        <xdr:cNvPr id="129" name="Conexão reta unidirecional 139">
          <a:extLst>
            <a:ext uri="{FF2B5EF4-FFF2-40B4-BE49-F238E27FC236}">
              <a16:creationId xmlns:a16="http://schemas.microsoft.com/office/drawing/2014/main" id="{4776119D-9C1C-49A8-86D0-584BB74E6AE9}"/>
            </a:ext>
          </a:extLst>
        </xdr:cNvPr>
        <xdr:cNvCxnSpPr/>
      </xdr:nvCxnSpPr>
      <xdr:spPr>
        <a:xfrm>
          <a:off x="36465120" y="170898771"/>
          <a:ext cx="367811" cy="6179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806</xdr:row>
      <xdr:rowOff>86472</xdr:rowOff>
    </xdr:from>
    <xdr:to>
      <xdr:col>40</xdr:col>
      <xdr:colOff>8031</xdr:colOff>
      <xdr:row>807</xdr:row>
      <xdr:rowOff>123264</xdr:rowOff>
    </xdr:to>
    <xdr:cxnSp macro="">
      <xdr:nvCxnSpPr>
        <xdr:cNvPr id="130" name="Conexão reta unidirecional 140">
          <a:extLst>
            <a:ext uri="{FF2B5EF4-FFF2-40B4-BE49-F238E27FC236}">
              <a16:creationId xmlns:a16="http://schemas.microsoft.com/office/drawing/2014/main" id="{D57DFC71-4400-4960-BF43-B939289AA081}"/>
            </a:ext>
          </a:extLst>
        </xdr:cNvPr>
        <xdr:cNvCxnSpPr/>
      </xdr:nvCxnSpPr>
      <xdr:spPr>
        <a:xfrm flipV="1">
          <a:off x="36556950" y="170501422"/>
          <a:ext cx="262031" cy="23999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28761</xdr:colOff>
      <xdr:row>808</xdr:row>
      <xdr:rowOff>38100</xdr:rowOff>
    </xdr:from>
    <xdr:to>
      <xdr:col>30</xdr:col>
      <xdr:colOff>95250</xdr:colOff>
      <xdr:row>808</xdr:row>
      <xdr:rowOff>163232</xdr:rowOff>
    </xdr:to>
    <xdr:cxnSp macro="">
      <xdr:nvCxnSpPr>
        <xdr:cNvPr id="131" name="Conexão reta unidirecional 141">
          <a:extLst>
            <a:ext uri="{FF2B5EF4-FFF2-40B4-BE49-F238E27FC236}">
              <a16:creationId xmlns:a16="http://schemas.microsoft.com/office/drawing/2014/main" id="{0C4DF160-B740-4316-87AB-FDB58C4A9485}"/>
            </a:ext>
          </a:extLst>
        </xdr:cNvPr>
        <xdr:cNvCxnSpPr/>
      </xdr:nvCxnSpPr>
      <xdr:spPr>
        <a:xfrm flipH="1">
          <a:off x="31302511" y="170859450"/>
          <a:ext cx="612589" cy="12513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736413</xdr:colOff>
      <xdr:row>806</xdr:row>
      <xdr:rowOff>104028</xdr:rowOff>
    </xdr:from>
    <xdr:to>
      <xdr:col>30</xdr:col>
      <xdr:colOff>142875</xdr:colOff>
      <xdr:row>807</xdr:row>
      <xdr:rowOff>190500</xdr:rowOff>
    </xdr:to>
    <xdr:cxnSp macro="">
      <xdr:nvCxnSpPr>
        <xdr:cNvPr id="132" name="Conexão reta unidirecional 142">
          <a:extLst>
            <a:ext uri="{FF2B5EF4-FFF2-40B4-BE49-F238E27FC236}">
              <a16:creationId xmlns:a16="http://schemas.microsoft.com/office/drawing/2014/main" id="{A1A7F297-106D-43D6-9EF6-97D125C46DD8}"/>
            </a:ext>
          </a:extLst>
        </xdr:cNvPr>
        <xdr:cNvCxnSpPr/>
      </xdr:nvCxnSpPr>
      <xdr:spPr>
        <a:xfrm flipH="1" flipV="1">
          <a:off x="31248163" y="170518978"/>
          <a:ext cx="714562" cy="28967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27215</xdr:colOff>
      <xdr:row>836</xdr:row>
      <xdr:rowOff>78467</xdr:rowOff>
    </xdr:from>
    <xdr:to>
      <xdr:col>30</xdr:col>
      <xdr:colOff>57605</xdr:colOff>
      <xdr:row>838</xdr:row>
      <xdr:rowOff>96611</xdr:rowOff>
    </xdr:to>
    <xdr:cxnSp macro="">
      <xdr:nvCxnSpPr>
        <xdr:cNvPr id="133" name="Conexão reta unidirecional 143">
          <a:extLst>
            <a:ext uri="{FF2B5EF4-FFF2-40B4-BE49-F238E27FC236}">
              <a16:creationId xmlns:a16="http://schemas.microsoft.com/office/drawing/2014/main" id="{31D671A7-DD99-4AA9-8C02-FB1D7E7D942D}"/>
            </a:ext>
          </a:extLst>
        </xdr:cNvPr>
        <xdr:cNvCxnSpPr/>
      </xdr:nvCxnSpPr>
      <xdr:spPr>
        <a:xfrm flipH="1" flipV="1">
          <a:off x="31300965" y="176589417"/>
          <a:ext cx="576490" cy="424544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13607</xdr:colOff>
      <xdr:row>838</xdr:row>
      <xdr:rowOff>123826</xdr:rowOff>
    </xdr:from>
    <xdr:to>
      <xdr:col>30</xdr:col>
      <xdr:colOff>31750</xdr:colOff>
      <xdr:row>840</xdr:row>
      <xdr:rowOff>67054</xdr:rowOff>
    </xdr:to>
    <xdr:cxnSp macro="">
      <xdr:nvCxnSpPr>
        <xdr:cNvPr id="134" name="Conexão reta unidirecional 144">
          <a:extLst>
            <a:ext uri="{FF2B5EF4-FFF2-40B4-BE49-F238E27FC236}">
              <a16:creationId xmlns:a16="http://schemas.microsoft.com/office/drawing/2014/main" id="{2D83B3F8-930F-4338-841B-E6EA19ED5943}"/>
            </a:ext>
          </a:extLst>
        </xdr:cNvPr>
        <xdr:cNvCxnSpPr/>
      </xdr:nvCxnSpPr>
      <xdr:spPr>
        <a:xfrm flipH="1">
          <a:off x="31287357" y="177041176"/>
          <a:ext cx="564243" cy="34962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137432</xdr:colOff>
      <xdr:row>836</xdr:row>
      <xdr:rowOff>66922</xdr:rowOff>
    </xdr:from>
    <xdr:to>
      <xdr:col>40</xdr:col>
      <xdr:colOff>11008</xdr:colOff>
      <xdr:row>838</xdr:row>
      <xdr:rowOff>51254</xdr:rowOff>
    </xdr:to>
    <xdr:cxnSp macro="">
      <xdr:nvCxnSpPr>
        <xdr:cNvPr id="135" name="Conexão reta unidirecional 145">
          <a:extLst>
            <a:ext uri="{FF2B5EF4-FFF2-40B4-BE49-F238E27FC236}">
              <a16:creationId xmlns:a16="http://schemas.microsoft.com/office/drawing/2014/main" id="{BD3B6830-7880-41AC-8F36-7D9A8DC4B918}"/>
            </a:ext>
          </a:extLst>
        </xdr:cNvPr>
        <xdr:cNvCxnSpPr/>
      </xdr:nvCxnSpPr>
      <xdr:spPr>
        <a:xfrm flipV="1">
          <a:off x="36440382" y="176577872"/>
          <a:ext cx="381576" cy="390732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149678</xdr:colOff>
      <xdr:row>838</xdr:row>
      <xdr:rowOff>68036</xdr:rowOff>
    </xdr:from>
    <xdr:to>
      <xdr:col>40</xdr:col>
      <xdr:colOff>9194</xdr:colOff>
      <xdr:row>840</xdr:row>
      <xdr:rowOff>53314</xdr:rowOff>
    </xdr:to>
    <xdr:cxnSp macro="">
      <xdr:nvCxnSpPr>
        <xdr:cNvPr id="136" name="Conexão reta unidirecional 146">
          <a:extLst>
            <a:ext uri="{FF2B5EF4-FFF2-40B4-BE49-F238E27FC236}">
              <a16:creationId xmlns:a16="http://schemas.microsoft.com/office/drawing/2014/main" id="{FF30D774-D7E2-49D8-B81F-496FA54420F8}"/>
            </a:ext>
          </a:extLst>
        </xdr:cNvPr>
        <xdr:cNvCxnSpPr/>
      </xdr:nvCxnSpPr>
      <xdr:spPr>
        <a:xfrm>
          <a:off x="36452628" y="176985386"/>
          <a:ext cx="367516" cy="39167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244929</xdr:colOff>
      <xdr:row>807</xdr:row>
      <xdr:rowOff>160057</xdr:rowOff>
    </xdr:from>
    <xdr:to>
      <xdr:col>30</xdr:col>
      <xdr:colOff>134470</xdr:colOff>
      <xdr:row>870</xdr:row>
      <xdr:rowOff>81643</xdr:rowOff>
    </xdr:to>
    <xdr:cxnSp macro="">
      <xdr:nvCxnSpPr>
        <xdr:cNvPr id="137" name="Conexão reta unidirecional 147">
          <a:extLst>
            <a:ext uri="{FF2B5EF4-FFF2-40B4-BE49-F238E27FC236}">
              <a16:creationId xmlns:a16="http://schemas.microsoft.com/office/drawing/2014/main" id="{E54433A5-CEE7-4443-A843-83404224DFE8}"/>
            </a:ext>
          </a:extLst>
        </xdr:cNvPr>
        <xdr:cNvCxnSpPr/>
      </xdr:nvCxnSpPr>
      <xdr:spPr>
        <a:xfrm flipH="1">
          <a:off x="31791729" y="170778207"/>
          <a:ext cx="162591" cy="1272318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95250</xdr:colOff>
      <xdr:row>807</xdr:row>
      <xdr:rowOff>103554</xdr:rowOff>
    </xdr:from>
    <xdr:to>
      <xdr:col>39</xdr:col>
      <xdr:colOff>0</xdr:colOff>
      <xdr:row>869</xdr:row>
      <xdr:rowOff>68035</xdr:rowOff>
    </xdr:to>
    <xdr:cxnSp macro="">
      <xdr:nvCxnSpPr>
        <xdr:cNvPr id="138" name="Conexão reta unidirecional 148">
          <a:extLst>
            <a:ext uri="{FF2B5EF4-FFF2-40B4-BE49-F238E27FC236}">
              <a16:creationId xmlns:a16="http://schemas.microsoft.com/office/drawing/2014/main" id="{1242C4CD-D68B-4559-B893-9BAD2497710C}"/>
            </a:ext>
          </a:extLst>
        </xdr:cNvPr>
        <xdr:cNvCxnSpPr/>
      </xdr:nvCxnSpPr>
      <xdr:spPr>
        <a:xfrm flipH="1">
          <a:off x="36398200" y="170721704"/>
          <a:ext cx="158750" cy="12562881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108857</xdr:colOff>
      <xdr:row>869</xdr:row>
      <xdr:rowOff>68035</xdr:rowOff>
    </xdr:from>
    <xdr:to>
      <xdr:col>40</xdr:col>
      <xdr:colOff>27214</xdr:colOff>
      <xdr:row>870</xdr:row>
      <xdr:rowOff>95249</xdr:rowOff>
    </xdr:to>
    <xdr:cxnSp macro="">
      <xdr:nvCxnSpPr>
        <xdr:cNvPr id="139" name="Conexão reta unidirecional 149">
          <a:extLst>
            <a:ext uri="{FF2B5EF4-FFF2-40B4-BE49-F238E27FC236}">
              <a16:creationId xmlns:a16="http://schemas.microsoft.com/office/drawing/2014/main" id="{D8FB77D8-106B-4F05-BAC7-4998CE7E17CD}"/>
            </a:ext>
          </a:extLst>
        </xdr:cNvPr>
        <xdr:cNvCxnSpPr/>
      </xdr:nvCxnSpPr>
      <xdr:spPr>
        <a:xfrm>
          <a:off x="36411807" y="183284585"/>
          <a:ext cx="426357" cy="230414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163739</xdr:colOff>
      <xdr:row>868</xdr:row>
      <xdr:rowOff>81642</xdr:rowOff>
    </xdr:from>
    <xdr:to>
      <xdr:col>39</xdr:col>
      <xdr:colOff>244929</xdr:colOff>
      <xdr:row>870</xdr:row>
      <xdr:rowOff>54428</xdr:rowOff>
    </xdr:to>
    <xdr:cxnSp macro="">
      <xdr:nvCxnSpPr>
        <xdr:cNvPr id="140" name="Conexão reta unidirecional 150">
          <a:extLst>
            <a:ext uri="{FF2B5EF4-FFF2-40B4-BE49-F238E27FC236}">
              <a16:creationId xmlns:a16="http://schemas.microsoft.com/office/drawing/2014/main" id="{EECF802A-09A5-4E0D-9D85-7899A341F780}"/>
            </a:ext>
          </a:extLst>
        </xdr:cNvPr>
        <xdr:cNvCxnSpPr/>
      </xdr:nvCxnSpPr>
      <xdr:spPr>
        <a:xfrm flipV="1">
          <a:off x="36466689" y="183094992"/>
          <a:ext cx="335190" cy="379186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724354</xdr:colOff>
      <xdr:row>870</xdr:row>
      <xdr:rowOff>40821</xdr:rowOff>
    </xdr:from>
    <xdr:to>
      <xdr:col>29</xdr:col>
      <xdr:colOff>244929</xdr:colOff>
      <xdr:row>871</xdr:row>
      <xdr:rowOff>0</xdr:rowOff>
    </xdr:to>
    <xdr:cxnSp macro="">
      <xdr:nvCxnSpPr>
        <xdr:cNvPr id="141" name="Conexão reta unidirecional 151">
          <a:extLst>
            <a:ext uri="{FF2B5EF4-FFF2-40B4-BE49-F238E27FC236}">
              <a16:creationId xmlns:a16="http://schemas.microsoft.com/office/drawing/2014/main" id="{2AFFEA58-76B5-4278-9B99-795199D9E725}"/>
            </a:ext>
          </a:extLst>
        </xdr:cNvPr>
        <xdr:cNvCxnSpPr/>
      </xdr:nvCxnSpPr>
      <xdr:spPr>
        <a:xfrm flipH="1">
          <a:off x="31236104" y="183460571"/>
          <a:ext cx="555625" cy="162379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10433</xdr:colOff>
      <xdr:row>868</xdr:row>
      <xdr:rowOff>125639</xdr:rowOff>
    </xdr:from>
    <xdr:to>
      <xdr:col>30</xdr:col>
      <xdr:colOff>68036</xdr:colOff>
      <xdr:row>869</xdr:row>
      <xdr:rowOff>122464</xdr:rowOff>
    </xdr:to>
    <xdr:cxnSp macro="">
      <xdr:nvCxnSpPr>
        <xdr:cNvPr id="142" name="Conexão reta unidirecional 152">
          <a:extLst>
            <a:ext uri="{FF2B5EF4-FFF2-40B4-BE49-F238E27FC236}">
              <a16:creationId xmlns:a16="http://schemas.microsoft.com/office/drawing/2014/main" id="{6B5607F6-DA1D-4FC1-8A84-FA5CD8B0C60B}"/>
            </a:ext>
          </a:extLst>
        </xdr:cNvPr>
        <xdr:cNvCxnSpPr/>
      </xdr:nvCxnSpPr>
      <xdr:spPr>
        <a:xfrm flipH="1" flipV="1">
          <a:off x="31284183" y="183138989"/>
          <a:ext cx="603703" cy="200025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44450</xdr:colOff>
      <xdr:row>869</xdr:row>
      <xdr:rowOff>122464</xdr:rowOff>
    </xdr:from>
    <xdr:to>
      <xdr:col>30</xdr:col>
      <xdr:colOff>68036</xdr:colOff>
      <xdr:row>941</xdr:row>
      <xdr:rowOff>123825</xdr:rowOff>
    </xdr:to>
    <xdr:cxnSp macro="">
      <xdr:nvCxnSpPr>
        <xdr:cNvPr id="143" name="Conexão reta unidirecional 153">
          <a:extLst>
            <a:ext uri="{FF2B5EF4-FFF2-40B4-BE49-F238E27FC236}">
              <a16:creationId xmlns:a16="http://schemas.microsoft.com/office/drawing/2014/main" id="{8ADF9B5A-ECA3-402E-87E5-795A7A55B35E}"/>
            </a:ext>
          </a:extLst>
        </xdr:cNvPr>
        <xdr:cNvCxnSpPr/>
      </xdr:nvCxnSpPr>
      <xdr:spPr>
        <a:xfrm flipH="1">
          <a:off x="31864300" y="183339014"/>
          <a:ext cx="23586" cy="14942911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73025</xdr:colOff>
      <xdr:row>870</xdr:row>
      <xdr:rowOff>30389</xdr:rowOff>
    </xdr:from>
    <xdr:to>
      <xdr:col>38</xdr:col>
      <xdr:colOff>160111</xdr:colOff>
      <xdr:row>941</xdr:row>
      <xdr:rowOff>66675</xdr:rowOff>
    </xdr:to>
    <xdr:cxnSp macro="">
      <xdr:nvCxnSpPr>
        <xdr:cNvPr id="144" name="Conexão reta unidirecional 154">
          <a:extLst>
            <a:ext uri="{FF2B5EF4-FFF2-40B4-BE49-F238E27FC236}">
              <a16:creationId xmlns:a16="http://schemas.microsoft.com/office/drawing/2014/main" id="{3DACDF11-080B-46E0-8A3E-84F8B817169A}"/>
            </a:ext>
          </a:extLst>
        </xdr:cNvPr>
        <xdr:cNvCxnSpPr/>
      </xdr:nvCxnSpPr>
      <xdr:spPr>
        <a:xfrm flipH="1">
          <a:off x="36375975" y="183450139"/>
          <a:ext cx="87086" cy="1477463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2268</xdr:colOff>
      <xdr:row>886</xdr:row>
      <xdr:rowOff>42182</xdr:rowOff>
    </xdr:from>
    <xdr:to>
      <xdr:col>30</xdr:col>
      <xdr:colOff>32658</xdr:colOff>
      <xdr:row>888</xdr:row>
      <xdr:rowOff>60325</xdr:rowOff>
    </xdr:to>
    <xdr:cxnSp macro="">
      <xdr:nvCxnSpPr>
        <xdr:cNvPr id="145" name="Conexão reta unidirecional 155">
          <a:extLst>
            <a:ext uri="{FF2B5EF4-FFF2-40B4-BE49-F238E27FC236}">
              <a16:creationId xmlns:a16="http://schemas.microsoft.com/office/drawing/2014/main" id="{8A3365DB-692C-4766-AB79-DBE131FFE49A}"/>
            </a:ext>
          </a:extLst>
        </xdr:cNvPr>
        <xdr:cNvCxnSpPr/>
      </xdr:nvCxnSpPr>
      <xdr:spPr>
        <a:xfrm flipH="1" flipV="1">
          <a:off x="31276018" y="186713132"/>
          <a:ext cx="576490" cy="424543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15875</xdr:colOff>
      <xdr:row>888</xdr:row>
      <xdr:rowOff>87540</xdr:rowOff>
    </xdr:from>
    <xdr:to>
      <xdr:col>30</xdr:col>
      <xdr:colOff>30843</xdr:colOff>
      <xdr:row>890</xdr:row>
      <xdr:rowOff>30768</xdr:rowOff>
    </xdr:to>
    <xdr:cxnSp macro="">
      <xdr:nvCxnSpPr>
        <xdr:cNvPr id="146" name="Conexão reta unidirecional 156">
          <a:extLst>
            <a:ext uri="{FF2B5EF4-FFF2-40B4-BE49-F238E27FC236}">
              <a16:creationId xmlns:a16="http://schemas.microsoft.com/office/drawing/2014/main" id="{1CD63C21-4A50-4FE3-B945-E8860A506B06}"/>
            </a:ext>
          </a:extLst>
        </xdr:cNvPr>
        <xdr:cNvCxnSpPr/>
      </xdr:nvCxnSpPr>
      <xdr:spPr>
        <a:xfrm flipH="1">
          <a:off x="31289625" y="187164890"/>
          <a:ext cx="561068" cy="34962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153307</xdr:colOff>
      <xdr:row>886</xdr:row>
      <xdr:rowOff>91415</xdr:rowOff>
    </xdr:from>
    <xdr:to>
      <xdr:col>40</xdr:col>
      <xdr:colOff>13607</xdr:colOff>
      <xdr:row>888</xdr:row>
      <xdr:rowOff>69396</xdr:rowOff>
    </xdr:to>
    <xdr:cxnSp macro="">
      <xdr:nvCxnSpPr>
        <xdr:cNvPr id="147" name="Conexão reta unidirecional 157">
          <a:extLst>
            <a:ext uri="{FF2B5EF4-FFF2-40B4-BE49-F238E27FC236}">
              <a16:creationId xmlns:a16="http://schemas.microsoft.com/office/drawing/2014/main" id="{EA4E53CA-8C35-42F3-AD8C-3DFC48229033}"/>
            </a:ext>
          </a:extLst>
        </xdr:cNvPr>
        <xdr:cNvCxnSpPr/>
      </xdr:nvCxnSpPr>
      <xdr:spPr>
        <a:xfrm flipV="1">
          <a:off x="36456257" y="186762365"/>
          <a:ext cx="368300" cy="384381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151946</xdr:colOff>
      <xdr:row>888</xdr:row>
      <xdr:rowOff>99786</xdr:rowOff>
    </xdr:from>
    <xdr:to>
      <xdr:col>39</xdr:col>
      <xdr:colOff>257298</xdr:colOff>
      <xdr:row>890</xdr:row>
      <xdr:rowOff>91414</xdr:rowOff>
    </xdr:to>
    <xdr:cxnSp macro="">
      <xdr:nvCxnSpPr>
        <xdr:cNvPr id="148" name="Conexão reta unidirecional 158">
          <a:extLst>
            <a:ext uri="{FF2B5EF4-FFF2-40B4-BE49-F238E27FC236}">
              <a16:creationId xmlns:a16="http://schemas.microsoft.com/office/drawing/2014/main" id="{7B87DEE9-3F2A-4F3F-887A-7F9350DE5E92}"/>
            </a:ext>
          </a:extLst>
        </xdr:cNvPr>
        <xdr:cNvCxnSpPr/>
      </xdr:nvCxnSpPr>
      <xdr:spPr>
        <a:xfrm>
          <a:off x="36454896" y="187177136"/>
          <a:ext cx="353002" cy="398028"/>
        </a:xfrm>
        <a:prstGeom prst="straightConnector1">
          <a:avLst/>
        </a:prstGeom>
        <a:ln w="3048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11546</xdr:colOff>
      <xdr:row>894</xdr:row>
      <xdr:rowOff>138545</xdr:rowOff>
    </xdr:from>
    <xdr:to>
      <xdr:col>39</xdr:col>
      <xdr:colOff>588818</xdr:colOff>
      <xdr:row>902</xdr:row>
      <xdr:rowOff>69273</xdr:rowOff>
    </xdr:to>
    <xdr:cxnSp macro="">
      <xdr:nvCxnSpPr>
        <xdr:cNvPr id="149" name="Conexão reta unidirecional 159">
          <a:extLst>
            <a:ext uri="{FF2B5EF4-FFF2-40B4-BE49-F238E27FC236}">
              <a16:creationId xmlns:a16="http://schemas.microsoft.com/office/drawing/2014/main" id="{A3D8E1DB-1C31-4016-9112-7D3626B3F81A}"/>
            </a:ext>
          </a:extLst>
        </xdr:cNvPr>
        <xdr:cNvCxnSpPr/>
      </xdr:nvCxnSpPr>
      <xdr:spPr>
        <a:xfrm flipH="1">
          <a:off x="31285296" y="188435095"/>
          <a:ext cx="5523922" cy="1556328"/>
        </a:xfrm>
        <a:prstGeom prst="straightConnector1">
          <a:avLst/>
        </a:prstGeom>
        <a:ln w="30480"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46182</xdr:colOff>
      <xdr:row>894</xdr:row>
      <xdr:rowOff>92363</xdr:rowOff>
    </xdr:from>
    <xdr:to>
      <xdr:col>40</xdr:col>
      <xdr:colOff>0</xdr:colOff>
      <xdr:row>903</xdr:row>
      <xdr:rowOff>103909</xdr:rowOff>
    </xdr:to>
    <xdr:cxnSp macro="">
      <xdr:nvCxnSpPr>
        <xdr:cNvPr id="150" name="Conexão reta unidirecional 160">
          <a:extLst>
            <a:ext uri="{FF2B5EF4-FFF2-40B4-BE49-F238E27FC236}">
              <a16:creationId xmlns:a16="http://schemas.microsoft.com/office/drawing/2014/main" id="{BC3297D5-EBEA-4A85-8D90-E8DEF0339479}"/>
            </a:ext>
          </a:extLst>
        </xdr:cNvPr>
        <xdr:cNvCxnSpPr/>
      </xdr:nvCxnSpPr>
      <xdr:spPr>
        <a:xfrm flipH="1" flipV="1">
          <a:off x="31319932" y="188388913"/>
          <a:ext cx="5491018" cy="1840346"/>
        </a:xfrm>
        <a:prstGeom prst="straightConnector1">
          <a:avLst/>
        </a:prstGeom>
        <a:ln w="30480"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92364</xdr:colOff>
      <xdr:row>933</xdr:row>
      <xdr:rowOff>115454</xdr:rowOff>
    </xdr:from>
    <xdr:to>
      <xdr:col>38</xdr:col>
      <xdr:colOff>0</xdr:colOff>
      <xdr:row>941</xdr:row>
      <xdr:rowOff>31750</xdr:rowOff>
    </xdr:to>
    <xdr:cxnSp macro="">
      <xdr:nvCxnSpPr>
        <xdr:cNvPr id="151" name="Conexão reta unidirecional 161">
          <a:extLst>
            <a:ext uri="{FF2B5EF4-FFF2-40B4-BE49-F238E27FC236}">
              <a16:creationId xmlns:a16="http://schemas.microsoft.com/office/drawing/2014/main" id="{16693911-AF70-4BCE-8463-1B3357A40171}"/>
            </a:ext>
          </a:extLst>
        </xdr:cNvPr>
        <xdr:cNvCxnSpPr/>
      </xdr:nvCxnSpPr>
      <xdr:spPr>
        <a:xfrm flipH="1" flipV="1">
          <a:off x="31366114" y="196667004"/>
          <a:ext cx="4936836" cy="1522846"/>
        </a:xfrm>
        <a:prstGeom prst="straightConnector1">
          <a:avLst/>
        </a:prstGeom>
        <a:ln w="30480"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350</xdr:row>
      <xdr:rowOff>122465</xdr:rowOff>
    </xdr:from>
    <xdr:to>
      <xdr:col>29</xdr:col>
      <xdr:colOff>10432</xdr:colOff>
      <xdr:row>354</xdr:row>
      <xdr:rowOff>136071</xdr:rowOff>
    </xdr:to>
    <xdr:cxnSp macro="">
      <xdr:nvCxnSpPr>
        <xdr:cNvPr id="152" name="Conexão reta unidirecional 76">
          <a:extLst>
            <a:ext uri="{FF2B5EF4-FFF2-40B4-BE49-F238E27FC236}">
              <a16:creationId xmlns:a16="http://schemas.microsoft.com/office/drawing/2014/main" id="{BBC24A32-06D3-4E01-9BC2-024A09735534}"/>
            </a:ext>
          </a:extLst>
        </xdr:cNvPr>
        <xdr:cNvCxnSpPr/>
      </xdr:nvCxnSpPr>
      <xdr:spPr>
        <a:xfrm>
          <a:off x="31546800" y="74360315"/>
          <a:ext cx="10432" cy="826406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348</xdr:row>
      <xdr:rowOff>105682</xdr:rowOff>
    </xdr:from>
    <xdr:to>
      <xdr:col>40</xdr:col>
      <xdr:colOff>10432</xdr:colOff>
      <xdr:row>350</xdr:row>
      <xdr:rowOff>136072</xdr:rowOff>
    </xdr:to>
    <xdr:cxnSp macro="">
      <xdr:nvCxnSpPr>
        <xdr:cNvPr id="153" name="Conexão reta unidirecional 72">
          <a:extLst>
            <a:ext uri="{FF2B5EF4-FFF2-40B4-BE49-F238E27FC236}">
              <a16:creationId xmlns:a16="http://schemas.microsoft.com/office/drawing/2014/main" id="{BBB98D3B-0975-4C15-87C9-7784A522D54E}"/>
            </a:ext>
          </a:extLst>
        </xdr:cNvPr>
        <xdr:cNvCxnSpPr/>
      </xdr:nvCxnSpPr>
      <xdr:spPr>
        <a:xfrm flipH="1">
          <a:off x="36556950" y="73937132"/>
          <a:ext cx="264432" cy="436790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350</xdr:row>
      <xdr:rowOff>136072</xdr:rowOff>
    </xdr:from>
    <xdr:to>
      <xdr:col>39</xdr:col>
      <xdr:colOff>13607</xdr:colOff>
      <xdr:row>354</xdr:row>
      <xdr:rowOff>81643</xdr:rowOff>
    </xdr:to>
    <xdr:cxnSp macro="">
      <xdr:nvCxnSpPr>
        <xdr:cNvPr id="154" name="Conexão reta unidirecional 76">
          <a:extLst>
            <a:ext uri="{FF2B5EF4-FFF2-40B4-BE49-F238E27FC236}">
              <a16:creationId xmlns:a16="http://schemas.microsoft.com/office/drawing/2014/main" id="{EEDD77CA-EA6F-466F-BD32-89BC6C174C7C}"/>
            </a:ext>
          </a:extLst>
        </xdr:cNvPr>
        <xdr:cNvCxnSpPr/>
      </xdr:nvCxnSpPr>
      <xdr:spPr>
        <a:xfrm>
          <a:off x="36556950" y="74373922"/>
          <a:ext cx="13607" cy="758371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95250</xdr:colOff>
      <xdr:row>354</xdr:row>
      <xdr:rowOff>64860</xdr:rowOff>
    </xdr:from>
    <xdr:to>
      <xdr:col>39</xdr:col>
      <xdr:colOff>47172</xdr:colOff>
      <xdr:row>358</xdr:row>
      <xdr:rowOff>136072</xdr:rowOff>
    </xdr:to>
    <xdr:cxnSp macro="">
      <xdr:nvCxnSpPr>
        <xdr:cNvPr id="155" name="Conexão reta unidirecional 73">
          <a:extLst>
            <a:ext uri="{FF2B5EF4-FFF2-40B4-BE49-F238E27FC236}">
              <a16:creationId xmlns:a16="http://schemas.microsoft.com/office/drawing/2014/main" id="{CAEF8635-2555-45A5-8692-592866D138C1}"/>
            </a:ext>
          </a:extLst>
        </xdr:cNvPr>
        <xdr:cNvCxnSpPr/>
      </xdr:nvCxnSpPr>
      <xdr:spPr>
        <a:xfrm flipV="1">
          <a:off x="31642050" y="75115510"/>
          <a:ext cx="4962072" cy="884012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316139</xdr:colOff>
      <xdr:row>354</xdr:row>
      <xdr:rowOff>173720</xdr:rowOff>
    </xdr:from>
    <xdr:to>
      <xdr:col>36</xdr:col>
      <xdr:colOff>30930</xdr:colOff>
      <xdr:row>356</xdr:row>
      <xdr:rowOff>25360</xdr:rowOff>
    </xdr:to>
    <xdr:sp macro="" textlink="">
      <xdr:nvSpPr>
        <xdr:cNvPr id="156" name="Fluxograma: Decisão 77">
          <a:extLst>
            <a:ext uri="{FF2B5EF4-FFF2-40B4-BE49-F238E27FC236}">
              <a16:creationId xmlns:a16="http://schemas.microsoft.com/office/drawing/2014/main" id="{9DB62968-62F0-4421-9F23-0594F36C2116}"/>
            </a:ext>
          </a:extLst>
        </xdr:cNvPr>
        <xdr:cNvSpPr/>
      </xdr:nvSpPr>
      <xdr:spPr>
        <a:xfrm rot="4672580">
          <a:off x="35077465" y="74733994"/>
          <a:ext cx="258040" cy="1238791"/>
        </a:xfrm>
        <a:prstGeom prst="flowChartDecisi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29</xdr:col>
      <xdr:colOff>81643</xdr:colOff>
      <xdr:row>358</xdr:row>
      <xdr:rowOff>136072</xdr:rowOff>
    </xdr:from>
    <xdr:to>
      <xdr:col>29</xdr:col>
      <xdr:colOff>84818</xdr:colOff>
      <xdr:row>360</xdr:row>
      <xdr:rowOff>108857</xdr:rowOff>
    </xdr:to>
    <xdr:cxnSp macro="">
      <xdr:nvCxnSpPr>
        <xdr:cNvPr id="157" name="Conexão reta unidirecional 76">
          <a:extLst>
            <a:ext uri="{FF2B5EF4-FFF2-40B4-BE49-F238E27FC236}">
              <a16:creationId xmlns:a16="http://schemas.microsoft.com/office/drawing/2014/main" id="{9724EC1E-2656-44E0-BC53-0C554D29D276}"/>
            </a:ext>
          </a:extLst>
        </xdr:cNvPr>
        <xdr:cNvCxnSpPr/>
      </xdr:nvCxnSpPr>
      <xdr:spPr>
        <a:xfrm flipH="1">
          <a:off x="31628443" y="75999522"/>
          <a:ext cx="3175" cy="379185"/>
        </a:xfrm>
        <a:prstGeom prst="straightConnector1">
          <a:avLst/>
        </a:prstGeom>
        <a:ln w="30480">
          <a:solidFill>
            <a:srgbClr val="0070C0"/>
          </a:solidFill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64862</xdr:colOff>
      <xdr:row>360</xdr:row>
      <xdr:rowOff>84818</xdr:rowOff>
    </xdr:from>
    <xdr:to>
      <xdr:col>39</xdr:col>
      <xdr:colOff>244929</xdr:colOff>
      <xdr:row>364</xdr:row>
      <xdr:rowOff>81643</xdr:rowOff>
    </xdr:to>
    <xdr:cxnSp macro="">
      <xdr:nvCxnSpPr>
        <xdr:cNvPr id="158" name="Conexão reta unidirecional 74">
          <a:extLst>
            <a:ext uri="{FF2B5EF4-FFF2-40B4-BE49-F238E27FC236}">
              <a16:creationId xmlns:a16="http://schemas.microsoft.com/office/drawing/2014/main" id="{B48949E9-1B96-47F9-80D2-ED42AFA95E0F}"/>
            </a:ext>
          </a:extLst>
        </xdr:cNvPr>
        <xdr:cNvCxnSpPr/>
      </xdr:nvCxnSpPr>
      <xdr:spPr>
        <a:xfrm flipH="1" flipV="1">
          <a:off x="31611662" y="76354668"/>
          <a:ext cx="5190217" cy="809625"/>
        </a:xfrm>
        <a:prstGeom prst="straightConnector1">
          <a:avLst/>
        </a:prstGeom>
        <a:ln w="30480">
          <a:solidFill>
            <a:srgbClr val="0070C0"/>
          </a:solidFill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cobra.sharepoint.com/sites/SYN_INGENIERIA/Documentos%20compartidos/02%20PROYECTOS/02%20INTERNACIONAL/CI25XX_METRO%20PORTO%20LINHA%20RUBI/11_Cuantificaci&#243;n%20de%20elementos%20CAT-Flexible/Cuadernos%20de%20montaje/P-PR-LH-3800-SC-MD-AYQ-111003-02.07.2026.xlsm" TargetMode="External"/><Relationship Id="rId2" Type="http://schemas.microsoft.com/office/2019/04/relationships/externalLinkLongPath" Target="https://grupocobra.sharepoint.com/sites/SYN_INGENIERIA/Documentos%20compartidos/02%20PROYECTOS/02%20INTERNACIONAL/CI25XX_METRO%20PORTO%20LINHA%20RUBI/11_Cuantificaci&#243;n%20de%20elementos%20CAT-Flexible/Cuadernos%20de%20montaje/P-PR-LH-3800-SC-MD-AYQ-111003-02.07.2026.xlsm?8B6743B6" TargetMode="External"/><Relationship Id="rId1" Type="http://schemas.openxmlformats.org/officeDocument/2006/relationships/externalLinkPath" Target="file:///\\8B6743B6\P-PR-LH-3800-SC-MD-AYQ-111003-02.07.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ortada"/>
      <sheetName val="Leyenda"/>
      <sheetName val="V1 V2"/>
      <sheetName val="VIA 2"/>
      <sheetName val="Bret. 6+225"/>
      <sheetName val="Sinóptico"/>
      <sheetName val="Tablas_separadas"/>
      <sheetName val="Inconsistencias"/>
      <sheetName val="Conjuntos por configuracion"/>
      <sheetName val="Total piezas"/>
      <sheetName val="Configuraciones"/>
      <sheetName val="Conjuntos Flexibles "/>
      <sheetName val="Mensulas sin identificar"/>
      <sheetName val=" P-PR-LH-3800-SC-DS-AYQ-111131"/>
      <sheetName val=" P-PR-LH-3800-SC-DS-AYQ-111132"/>
      <sheetName val=" P-PR-LH-3800-SC-DS-AYQ-111133"/>
      <sheetName val=" P-PR-LH-3800-SC-DS-AYQ-111134"/>
      <sheetName val=" P-PR-LH-3800-SC-DS-AYQ-111157"/>
      <sheetName val=" P-PR-LH-3800-SC-DS-AYQ-111158"/>
      <sheetName val="conductores F"/>
      <sheetName val="conductores HC"/>
      <sheetName val="RFI 1 Perfis"/>
      <sheetName val="RFI 2 Config dup"/>
      <sheetName val="RFI 3 Consolas"/>
      <sheetName val="RFI 4 Feeder"/>
      <sheetName val="RFI 5 Maciço"/>
      <sheetName val="Lista Quantidades Fornecedor"/>
      <sheetName val="Hoja1"/>
      <sheetName val="_TempTransfer"/>
    </sheetNames>
    <sheetDataSet>
      <sheetData sheetId="0" refreshError="1"/>
      <sheetData sheetId="1" refreshError="1"/>
      <sheetData sheetId="2">
        <row r="5">
          <cell r="B5" t="str">
            <v>SUPORTE</v>
          </cell>
          <cell r="C5" t="str">
            <v>Vão (m)</v>
          </cell>
          <cell r="D5" t="str">
            <v>P.K.
(vía 1)</v>
          </cell>
          <cell r="E5" t="str">
            <v>P.K.
Abs.vía 1</v>
          </cell>
          <cell r="F5" t="str">
            <v>Coord. X</v>
          </cell>
          <cell r="G5" t="str">
            <v>Coord. Y</v>
          </cell>
          <cell r="H5" t="str">
            <v>Curve Radius (m)</v>
          </cell>
          <cell r="I5" t="str">
            <v>Tipología</v>
          </cell>
          <cell r="J5" t="str">
            <v>Implantação (m)</v>
          </cell>
          <cell r="K5" t="str">
            <v>Tipologia</v>
          </cell>
          <cell r="L5" t="str">
            <v>Tipo de Suporte</v>
          </cell>
          <cell r="M5" t="str">
            <v>Maciços</v>
          </cell>
          <cell r="N5" t="str">
            <v>Consolas 1</v>
          </cell>
          <cell r="O5" t="str">
            <v>Consolas 2</v>
          </cell>
          <cell r="P5" t="str">
            <v>L tubos consola</v>
          </cell>
          <cell r="Q5" t="str">
            <v>Alt. FC (m)</v>
          </cell>
          <cell r="S5" t="str">
            <v>Desalinhamentos (cm)</v>
          </cell>
          <cell r="U5" t="str">
            <v>Seccionamento</v>
          </cell>
          <cell r="V5" t="str">
            <v>Equipamentos associados 1</v>
          </cell>
          <cell r="W5" t="str">
            <v>Equipamentos associados 2</v>
          </cell>
          <cell r="X5" t="str">
            <v>SUBIDA FEEDER V1</v>
          </cell>
          <cell r="Z5" t="str">
            <v>POSTEA</v>
          </cell>
          <cell r="AA5" t="str">
            <v>TIPOA</v>
          </cell>
          <cell r="AB5" t="str">
            <v>POSTEB</v>
          </cell>
          <cell r="AC5" t="str">
            <v>TIPOB</v>
          </cell>
          <cell r="AD5" t="str">
            <v>IMPLANT. A</v>
          </cell>
          <cell r="AE5" t="str">
            <v>ENTRE EIXOS</v>
          </cell>
          <cell r="AF5" t="str">
            <v>IMPLANT. B</v>
          </cell>
          <cell r="AG5" t="str">
            <v>Hc1</v>
          </cell>
          <cell r="AH5" t="str">
            <v>Hc2</v>
          </cell>
          <cell r="AI5" t="str">
            <v>D1</v>
          </cell>
          <cell r="AJ5" t="str">
            <v>D2</v>
          </cell>
          <cell r="AK5" t="str">
            <v>Altura 1</v>
          </cell>
          <cell r="AL5" t="str">
            <v>Altura 2</v>
          </cell>
          <cell r="AM5" t="str">
            <v>A</v>
          </cell>
          <cell r="AN5" t="str">
            <v>B</v>
          </cell>
          <cell r="AO5" t="str">
            <v>C</v>
          </cell>
          <cell r="AP5" t="str">
            <v>Pendiente A</v>
          </cell>
          <cell r="AQ5" t="str">
            <v>Pendiente B</v>
          </cell>
          <cell r="AR5" t="str">
            <v>Hc1*</v>
          </cell>
          <cell r="AS5" t="str">
            <v>Hc2*</v>
          </cell>
          <cell r="AT5" t="str">
            <v>D1*</v>
          </cell>
          <cell r="AU5" t="str">
            <v>D2*</v>
          </cell>
          <cell r="AV5" t="str">
            <v>Altura 1*</v>
          </cell>
          <cell r="AW5" t="str">
            <v>Altura 2*</v>
          </cell>
          <cell r="AX5" t="str">
            <v>A*</v>
          </cell>
          <cell r="AY5" t="str">
            <v>B*</v>
          </cell>
          <cell r="AZ5" t="str">
            <v>C*</v>
          </cell>
          <cell r="BA5" t="str">
            <v>Pendiente A*</v>
          </cell>
          <cell r="BB5" t="str">
            <v>Pendiente B*</v>
          </cell>
          <cell r="BC5" t="str">
            <v>Fixagao direta a parede</v>
          </cell>
          <cell r="BD5" t="str">
            <v>LTransversal</v>
          </cell>
          <cell r="BE5" t="str">
            <v>Configuracion</v>
          </cell>
          <cell r="BF5" t="str">
            <v>D</v>
          </cell>
          <cell r="BG5" t="str">
            <v>E</v>
          </cell>
          <cell r="BH5" t="str">
            <v>F</v>
          </cell>
          <cell r="BI5" t="str">
            <v>G</v>
          </cell>
          <cell r="BJ5" t="str">
            <v>H</v>
          </cell>
          <cell r="BK5" t="str">
            <v>I</v>
          </cell>
          <cell r="BL5" t="str">
            <v>J</v>
          </cell>
          <cell r="BM5" t="str">
            <v>K</v>
          </cell>
          <cell r="BN5" t="str">
            <v>L</v>
          </cell>
          <cell r="BO5" t="str">
            <v>M</v>
          </cell>
          <cell r="BP5" t="str">
            <v>N</v>
          </cell>
          <cell r="BQ5" t="str">
            <v>O</v>
          </cell>
          <cell r="BR5" t="str">
            <v>P</v>
          </cell>
          <cell r="BS5" t="str">
            <v>Q</v>
          </cell>
          <cell r="BT5" t="str">
            <v>R</v>
          </cell>
          <cell r="BU5" t="str">
            <v>S</v>
          </cell>
          <cell r="BV5" t="str">
            <v>hanc</v>
          </cell>
          <cell r="BW5" t="str">
            <v>NºPlano</v>
          </cell>
        </row>
        <row r="6">
          <cell r="B6" t="str">
            <v>Existente</v>
          </cell>
          <cell r="D6" t="str">
            <v>??</v>
          </cell>
          <cell r="I6" t="str">
            <v>S</v>
          </cell>
          <cell r="K6" t="str">
            <v>Rígida</v>
          </cell>
          <cell r="Q6">
            <v>3.8</v>
          </cell>
        </row>
        <row r="7">
          <cell r="C7" t="str">
            <v>??</v>
          </cell>
        </row>
        <row r="8">
          <cell r="B8" t="str">
            <v>1-00.01</v>
          </cell>
          <cell r="D8">
            <v>-2.84</v>
          </cell>
          <cell r="E8">
            <v>34806.788999999997</v>
          </cell>
          <cell r="I8" t="str">
            <v>SE</v>
          </cell>
          <cell r="K8" t="str">
            <v>Rígida</v>
          </cell>
          <cell r="Q8">
            <v>3.8</v>
          </cell>
        </row>
        <row r="9">
          <cell r="C9">
            <v>6.2</v>
          </cell>
        </row>
        <row r="10">
          <cell r="B10" t="str">
            <v>1-00.03</v>
          </cell>
          <cell r="D10">
            <v>3.3600000000000003</v>
          </cell>
          <cell r="E10">
            <v>34800.589</v>
          </cell>
          <cell r="I10" t="str">
            <v>SE</v>
          </cell>
          <cell r="K10" t="str">
            <v>Rígida</v>
          </cell>
          <cell r="Q10">
            <v>3.8</v>
          </cell>
        </row>
        <row r="11">
          <cell r="C11">
            <v>8</v>
          </cell>
        </row>
        <row r="12">
          <cell r="B12" t="str">
            <v>1-00.05</v>
          </cell>
          <cell r="D12">
            <v>11.36</v>
          </cell>
          <cell r="E12">
            <v>34792.589</v>
          </cell>
          <cell r="I12" t="str">
            <v>S</v>
          </cell>
          <cell r="K12" t="str">
            <v>Rígida</v>
          </cell>
          <cell r="Q12">
            <v>3.8</v>
          </cell>
        </row>
        <row r="13">
          <cell r="C13">
            <v>12</v>
          </cell>
        </row>
        <row r="14">
          <cell r="B14" t="str">
            <v>1-00.07</v>
          </cell>
          <cell r="D14">
            <v>23.36</v>
          </cell>
          <cell r="E14">
            <v>34780.589</v>
          </cell>
          <cell r="I14" t="str">
            <v>S</v>
          </cell>
          <cell r="K14" t="str">
            <v>Rígida</v>
          </cell>
          <cell r="Q14">
            <v>3.8</v>
          </cell>
        </row>
        <row r="15">
          <cell r="C15">
            <v>12</v>
          </cell>
        </row>
        <row r="16">
          <cell r="B16" t="str">
            <v>1-00.10</v>
          </cell>
          <cell r="D16">
            <v>35.36</v>
          </cell>
          <cell r="E16">
            <v>34768.589</v>
          </cell>
          <cell r="I16" t="str">
            <v>SE</v>
          </cell>
          <cell r="K16" t="str">
            <v>Rígida</v>
          </cell>
          <cell r="Q16">
            <v>3.8</v>
          </cell>
        </row>
        <row r="17">
          <cell r="B17" t="str">
            <v>Fin Anden Casa Da Música (00+040)</v>
          </cell>
          <cell r="C17">
            <v>6.2</v>
          </cell>
        </row>
        <row r="18">
          <cell r="B18" t="str">
            <v>3503CCA01</v>
          </cell>
          <cell r="D18">
            <v>41.56</v>
          </cell>
          <cell r="E18">
            <v>34762.389000000003</v>
          </cell>
          <cell r="I18" t="str">
            <v>SE</v>
          </cell>
          <cell r="K18" t="str">
            <v>Rígida</v>
          </cell>
          <cell r="Q18">
            <v>3.8</v>
          </cell>
        </row>
        <row r="19">
          <cell r="C19">
            <v>12</v>
          </cell>
        </row>
        <row r="20">
          <cell r="B20" t="str">
            <v>3503CCA03</v>
          </cell>
          <cell r="D20">
            <v>53.56</v>
          </cell>
          <cell r="E20">
            <v>34750.389000000003</v>
          </cell>
          <cell r="I20" t="str">
            <v>S</v>
          </cell>
          <cell r="K20" t="str">
            <v>Rígida</v>
          </cell>
          <cell r="Q20">
            <v>3.8</v>
          </cell>
        </row>
        <row r="21">
          <cell r="C21">
            <v>12</v>
          </cell>
          <cell r="H21" t="str">
            <v>Clo</v>
          </cell>
        </row>
        <row r="22">
          <cell r="B22" t="str">
            <v>3503CCA05</v>
          </cell>
          <cell r="D22">
            <v>65.56</v>
          </cell>
          <cell r="E22">
            <v>34738.389000000003</v>
          </cell>
          <cell r="I22" t="str">
            <v>S</v>
          </cell>
          <cell r="K22" t="str">
            <v>Rígida</v>
          </cell>
          <cell r="Q22">
            <v>3.8</v>
          </cell>
        </row>
        <row r="23">
          <cell r="C23">
            <v>12</v>
          </cell>
          <cell r="H23" t="str">
            <v>Clo</v>
          </cell>
        </row>
        <row r="24">
          <cell r="B24" t="str">
            <v>3503CCA07</v>
          </cell>
          <cell r="D24">
            <v>77.56</v>
          </cell>
          <cell r="E24">
            <v>34726.389000000003</v>
          </cell>
          <cell r="I24" t="str">
            <v>S</v>
          </cell>
          <cell r="K24" t="str">
            <v>Rígida</v>
          </cell>
          <cell r="Q24">
            <v>3.8</v>
          </cell>
        </row>
        <row r="25">
          <cell r="C25">
            <v>12</v>
          </cell>
          <cell r="H25">
            <v>-200</v>
          </cell>
        </row>
        <row r="26">
          <cell r="B26" t="str">
            <v>3503CCA09</v>
          </cell>
          <cell r="D26">
            <v>89.56</v>
          </cell>
          <cell r="E26">
            <v>34714.389000000003</v>
          </cell>
          <cell r="I26" t="str">
            <v>S</v>
          </cell>
          <cell r="K26" t="str">
            <v>Rígida</v>
          </cell>
          <cell r="Q26">
            <v>3.8</v>
          </cell>
        </row>
        <row r="27">
          <cell r="C27">
            <v>12</v>
          </cell>
          <cell r="H27">
            <v>-200</v>
          </cell>
        </row>
        <row r="28">
          <cell r="B28" t="str">
            <v>3503CCA11</v>
          </cell>
          <cell r="D28">
            <v>101.56</v>
          </cell>
          <cell r="E28">
            <v>34702.389000000003</v>
          </cell>
          <cell r="I28" t="str">
            <v>S</v>
          </cell>
          <cell r="K28" t="str">
            <v>Rígida</v>
          </cell>
          <cell r="Q28">
            <v>3.8</v>
          </cell>
        </row>
        <row r="29">
          <cell r="C29">
            <v>12</v>
          </cell>
          <cell r="H29" t="str">
            <v>Clo</v>
          </cell>
        </row>
        <row r="30">
          <cell r="B30" t="str">
            <v>3503CCA13</v>
          </cell>
          <cell r="D30">
            <v>113.56</v>
          </cell>
          <cell r="E30">
            <v>34690.389000000003</v>
          </cell>
          <cell r="I30" t="str">
            <v>S</v>
          </cell>
          <cell r="K30" t="str">
            <v>Rígida</v>
          </cell>
          <cell r="Q30">
            <v>3.8</v>
          </cell>
        </row>
        <row r="31">
          <cell r="C31">
            <v>12</v>
          </cell>
          <cell r="H31" t="str">
            <v>Clo</v>
          </cell>
        </row>
        <row r="32">
          <cell r="B32" t="str">
            <v>3503CCA15</v>
          </cell>
          <cell r="D32">
            <v>125.56</v>
          </cell>
          <cell r="E32">
            <v>34678.389000000003</v>
          </cell>
          <cell r="I32" t="str">
            <v>S</v>
          </cell>
          <cell r="K32" t="str">
            <v>Rígida</v>
          </cell>
          <cell r="Q32">
            <v>3.8</v>
          </cell>
        </row>
        <row r="33">
          <cell r="C33">
            <v>12</v>
          </cell>
        </row>
        <row r="34">
          <cell r="B34" t="str">
            <v>3503CCA17</v>
          </cell>
          <cell r="D34">
            <v>137.56</v>
          </cell>
          <cell r="E34">
            <v>34666.389000000003</v>
          </cell>
          <cell r="I34" t="str">
            <v>S</v>
          </cell>
          <cell r="K34" t="str">
            <v>Rígida</v>
          </cell>
          <cell r="Q34">
            <v>3.8</v>
          </cell>
        </row>
        <row r="35">
          <cell r="C35">
            <v>12</v>
          </cell>
        </row>
        <row r="36">
          <cell r="B36" t="str">
            <v>3503CCA19</v>
          </cell>
          <cell r="D36">
            <v>149.56</v>
          </cell>
          <cell r="E36">
            <v>34654.389000000003</v>
          </cell>
          <cell r="I36" t="str">
            <v>S</v>
          </cell>
          <cell r="K36" t="str">
            <v>Rígida</v>
          </cell>
          <cell r="Q36">
            <v>3.8</v>
          </cell>
        </row>
        <row r="37">
          <cell r="C37">
            <v>9.8000000000000007</v>
          </cell>
        </row>
        <row r="38">
          <cell r="B38" t="str">
            <v>3503CCA21</v>
          </cell>
          <cell r="D38">
            <v>159.36000000000001</v>
          </cell>
          <cell r="E38">
            <v>34644.589</v>
          </cell>
          <cell r="I38" t="str">
            <v>S</v>
          </cell>
          <cell r="K38" t="str">
            <v>Rígida</v>
          </cell>
          <cell r="Q38">
            <v>3.8</v>
          </cell>
        </row>
        <row r="39">
          <cell r="C39">
            <v>5.9</v>
          </cell>
        </row>
        <row r="40">
          <cell r="B40" t="str">
            <v>3503CCA23</v>
          </cell>
          <cell r="D40">
            <v>165.26000000000002</v>
          </cell>
          <cell r="E40">
            <v>34638.688999999998</v>
          </cell>
          <cell r="I40" t="str">
            <v>S</v>
          </cell>
          <cell r="K40" t="str">
            <v>Rígida</v>
          </cell>
          <cell r="Q40">
            <v>3.8</v>
          </cell>
        </row>
        <row r="41">
          <cell r="C41">
            <v>3</v>
          </cell>
          <cell r="I41" t="str">
            <v>PA80</v>
          </cell>
        </row>
        <row r="42">
          <cell r="B42" t="str">
            <v>3503CCA25</v>
          </cell>
          <cell r="D42">
            <v>168.26000000000002</v>
          </cell>
          <cell r="E42">
            <v>34635.688999999998</v>
          </cell>
          <cell r="I42" t="str">
            <v>S</v>
          </cell>
          <cell r="K42" t="str">
            <v>Rígida</v>
          </cell>
          <cell r="Q42">
            <v>3.8</v>
          </cell>
        </row>
        <row r="43">
          <cell r="C43">
            <v>3</v>
          </cell>
          <cell r="I43" t="str">
            <v>PA50</v>
          </cell>
        </row>
        <row r="44">
          <cell r="B44" t="str">
            <v>3503CCA27</v>
          </cell>
          <cell r="D44">
            <v>171.26000000000002</v>
          </cell>
          <cell r="E44">
            <v>34632.688999999998</v>
          </cell>
          <cell r="I44" t="str">
            <v>S</v>
          </cell>
          <cell r="K44" t="str">
            <v>Rígida</v>
          </cell>
          <cell r="Q44">
            <v>3.8</v>
          </cell>
        </row>
        <row r="45">
          <cell r="C45">
            <v>1.6</v>
          </cell>
          <cell r="I45" t="str">
            <v>PA30</v>
          </cell>
        </row>
        <row r="46">
          <cell r="B46" t="str">
            <v>3503CCA29</v>
          </cell>
          <cell r="D46">
            <v>172.86</v>
          </cell>
          <cell r="E46">
            <v>34631.089</v>
          </cell>
          <cell r="I46" t="str">
            <v>S</v>
          </cell>
          <cell r="K46" t="str">
            <v>Rígida</v>
          </cell>
          <cell r="Q46">
            <v>3.8</v>
          </cell>
        </row>
        <row r="47">
          <cell r="C47">
            <v>7.2</v>
          </cell>
        </row>
        <row r="48">
          <cell r="B48" t="str">
            <v>3503CCA31</v>
          </cell>
          <cell r="D48">
            <v>180.06</v>
          </cell>
          <cell r="E48">
            <v>34623.889000000003</v>
          </cell>
          <cell r="I48" t="str">
            <v>S</v>
          </cell>
          <cell r="K48" t="str">
            <v>Rígida</v>
          </cell>
          <cell r="Q48">
            <v>3.8</v>
          </cell>
        </row>
        <row r="49">
          <cell r="C49">
            <v>8</v>
          </cell>
        </row>
        <row r="50">
          <cell r="B50" t="str">
            <v>3503CCA33</v>
          </cell>
          <cell r="D50">
            <v>188.06</v>
          </cell>
          <cell r="E50">
            <v>34615.889000000003</v>
          </cell>
          <cell r="I50" t="str">
            <v>S</v>
          </cell>
          <cell r="K50" t="str">
            <v>Rígida</v>
          </cell>
          <cell r="Q50">
            <v>3.8</v>
          </cell>
        </row>
        <row r="51">
          <cell r="C51">
            <v>9.8000000000000007</v>
          </cell>
        </row>
        <row r="52">
          <cell r="B52" t="str">
            <v>3503CCA35</v>
          </cell>
          <cell r="D52">
            <v>197.86</v>
          </cell>
          <cell r="E52">
            <v>34606.089</v>
          </cell>
          <cell r="F52" t="str">
            <v>-41642.72</v>
          </cell>
          <cell r="G52" t="str">
            <v>165559.40</v>
          </cell>
          <cell r="I52" t="str">
            <v>SE</v>
          </cell>
          <cell r="K52" t="str">
            <v>Rígida</v>
          </cell>
          <cell r="L52" t="str">
            <v>C860-A</v>
          </cell>
          <cell r="Q52">
            <v>3.8</v>
          </cell>
          <cell r="S52">
            <v>-20</v>
          </cell>
        </row>
        <row r="53">
          <cell r="C53">
            <v>6.2</v>
          </cell>
          <cell r="F53" t="str">
            <v/>
          </cell>
          <cell r="G53" t="str">
            <v/>
          </cell>
          <cell r="U53" t="str">
            <v>Seccionamento</v>
          </cell>
        </row>
        <row r="54">
          <cell r="B54" t="str">
            <v>3503CCA37</v>
          </cell>
          <cell r="D54">
            <v>204.06</v>
          </cell>
          <cell r="E54">
            <v>34599.889000000003</v>
          </cell>
          <cell r="F54" t="str">
            <v>-41643.83</v>
          </cell>
          <cell r="G54" t="str">
            <v>165553.30</v>
          </cell>
          <cell r="I54" t="str">
            <v>SE</v>
          </cell>
          <cell r="K54" t="str">
            <v>Rígida</v>
          </cell>
          <cell r="L54" t="str">
            <v>C860-A</v>
          </cell>
          <cell r="Q54">
            <v>3.8</v>
          </cell>
          <cell r="S54">
            <v>-20</v>
          </cell>
          <cell r="U54" t="str">
            <v>Cantón 192,4m</v>
          </cell>
        </row>
        <row r="55">
          <cell r="C55">
            <v>12</v>
          </cell>
          <cell r="F55" t="str">
            <v/>
          </cell>
          <cell r="G55" t="str">
            <v/>
          </cell>
        </row>
        <row r="56">
          <cell r="B56" t="str">
            <v>3503CCA39</v>
          </cell>
          <cell r="D56">
            <v>216.06</v>
          </cell>
          <cell r="E56">
            <v>34587.889000000003</v>
          </cell>
          <cell r="F56" t="str">
            <v>-41646.02</v>
          </cell>
          <cell r="G56" t="str">
            <v>165541.25</v>
          </cell>
          <cell r="I56" t="str">
            <v>S</v>
          </cell>
          <cell r="K56" t="str">
            <v>Rígida</v>
          </cell>
          <cell r="L56" t="str">
            <v>C859-A</v>
          </cell>
          <cell r="Q56">
            <v>3.8</v>
          </cell>
          <cell r="S56">
            <v>-12</v>
          </cell>
        </row>
        <row r="57">
          <cell r="C57">
            <v>12</v>
          </cell>
          <cell r="F57" t="str">
            <v/>
          </cell>
          <cell r="G57" t="str">
            <v/>
          </cell>
        </row>
        <row r="58">
          <cell r="B58" t="str">
            <v>3503CCA41</v>
          </cell>
          <cell r="D58">
            <v>228.06</v>
          </cell>
          <cell r="E58">
            <v>34575.889000000003</v>
          </cell>
          <cell r="F58" t="str">
            <v>-41648.16</v>
          </cell>
          <cell r="G58" t="str">
            <v>165529.44</v>
          </cell>
          <cell r="I58" t="str">
            <v>S</v>
          </cell>
          <cell r="K58" t="str">
            <v>Rígida</v>
          </cell>
          <cell r="L58" t="str">
            <v>C859-A</v>
          </cell>
          <cell r="Q58">
            <v>3.8</v>
          </cell>
          <cell r="S58">
            <v>-4</v>
          </cell>
        </row>
        <row r="59">
          <cell r="C59">
            <v>12</v>
          </cell>
          <cell r="F59" t="str">
            <v/>
          </cell>
          <cell r="G59" t="str">
            <v/>
          </cell>
        </row>
        <row r="60">
          <cell r="B60" t="str">
            <v>3503CCA43</v>
          </cell>
          <cell r="D60">
            <v>240.06</v>
          </cell>
          <cell r="E60">
            <v>34563.889000000003</v>
          </cell>
          <cell r="F60" t="str">
            <v>-41650.30</v>
          </cell>
          <cell r="G60" t="str">
            <v>165517.64</v>
          </cell>
          <cell r="I60" t="str">
            <v>S</v>
          </cell>
          <cell r="K60" t="str">
            <v>Rígida</v>
          </cell>
          <cell r="L60" t="str">
            <v>C859-A</v>
          </cell>
          <cell r="Q60">
            <v>3.8</v>
          </cell>
          <cell r="S60" t="str">
            <v>+4</v>
          </cell>
        </row>
        <row r="61">
          <cell r="C61">
            <v>12</v>
          </cell>
          <cell r="F61" t="str">
            <v/>
          </cell>
          <cell r="G61" t="str">
            <v/>
          </cell>
        </row>
        <row r="62">
          <cell r="B62" t="str">
            <v>3503CCA45</v>
          </cell>
          <cell r="D62">
            <v>252.06</v>
          </cell>
          <cell r="E62">
            <v>34551.889000000003</v>
          </cell>
          <cell r="F62" t="str">
            <v>-41652.45</v>
          </cell>
          <cell r="G62" t="str">
            <v>165505.83</v>
          </cell>
          <cell r="I62" t="str">
            <v>S</v>
          </cell>
          <cell r="K62" t="str">
            <v>Rígida</v>
          </cell>
          <cell r="L62" t="str">
            <v>C859-A</v>
          </cell>
          <cell r="Q62">
            <v>3.8</v>
          </cell>
          <cell r="S62" t="str">
            <v>+12</v>
          </cell>
        </row>
        <row r="63">
          <cell r="C63">
            <v>12</v>
          </cell>
          <cell r="F63" t="str">
            <v/>
          </cell>
          <cell r="G63" t="str">
            <v/>
          </cell>
        </row>
        <row r="64">
          <cell r="B64" t="str">
            <v>3503CCA47</v>
          </cell>
          <cell r="D64">
            <v>264.06</v>
          </cell>
          <cell r="E64">
            <v>34539.889000000003</v>
          </cell>
          <cell r="F64" t="str">
            <v>-41654.59</v>
          </cell>
          <cell r="G64" t="str">
            <v>165494.02</v>
          </cell>
          <cell r="I64" t="str">
            <v>S</v>
          </cell>
          <cell r="K64" t="str">
            <v>Rígida</v>
          </cell>
          <cell r="L64" t="str">
            <v>C859-A</v>
          </cell>
          <cell r="Q64">
            <v>3.8</v>
          </cell>
          <cell r="S64" t="str">
            <v>+20</v>
          </cell>
        </row>
        <row r="65">
          <cell r="C65">
            <v>12</v>
          </cell>
          <cell r="F65" t="str">
            <v/>
          </cell>
          <cell r="G65" t="str">
            <v/>
          </cell>
        </row>
        <row r="66">
          <cell r="B66" t="str">
            <v>3503CCA49</v>
          </cell>
          <cell r="D66">
            <v>276.06</v>
          </cell>
          <cell r="E66">
            <v>34527.889000000003</v>
          </cell>
          <cell r="F66" t="str">
            <v>-41656.73</v>
          </cell>
          <cell r="G66" t="str">
            <v>165482.22</v>
          </cell>
          <cell r="I66" t="str">
            <v>S</v>
          </cell>
          <cell r="K66" t="str">
            <v>Rígida</v>
          </cell>
          <cell r="L66" t="str">
            <v>C859-A</v>
          </cell>
          <cell r="Q66">
            <v>3.8</v>
          </cell>
          <cell r="S66" t="str">
            <v>+12</v>
          </cell>
        </row>
        <row r="67">
          <cell r="C67">
            <v>12</v>
          </cell>
          <cell r="F67" t="str">
            <v/>
          </cell>
          <cell r="G67" t="str">
            <v/>
          </cell>
        </row>
        <row r="68">
          <cell r="B68" t="str">
            <v>3503CCA51</v>
          </cell>
          <cell r="D68">
            <v>288.06</v>
          </cell>
          <cell r="E68">
            <v>34515.889000000003</v>
          </cell>
          <cell r="F68" t="str">
            <v>-41658.87</v>
          </cell>
          <cell r="G68" t="str">
            <v>165470.41</v>
          </cell>
          <cell r="I68" t="str">
            <v>PF</v>
          </cell>
          <cell r="K68" t="str">
            <v>Rígida</v>
          </cell>
          <cell r="L68" t="str">
            <v>C863-A</v>
          </cell>
          <cell r="Q68">
            <v>3.8</v>
          </cell>
          <cell r="S68" t="str">
            <v>+4</v>
          </cell>
        </row>
        <row r="69">
          <cell r="C69">
            <v>12</v>
          </cell>
          <cell r="F69" t="str">
            <v/>
          </cell>
          <cell r="G69" t="str">
            <v/>
          </cell>
        </row>
        <row r="70">
          <cell r="B70" t="str">
            <v>3503CCA53</v>
          </cell>
          <cell r="D70">
            <v>300.06</v>
          </cell>
          <cell r="E70">
            <v>34503.889000000003</v>
          </cell>
          <cell r="F70" t="str">
            <v>-41661.02</v>
          </cell>
          <cell r="G70" t="str">
            <v>165458.60</v>
          </cell>
          <cell r="I70" t="str">
            <v>S</v>
          </cell>
          <cell r="K70" t="str">
            <v>Rígida</v>
          </cell>
          <cell r="L70" t="str">
            <v>C859-A</v>
          </cell>
          <cell r="Q70">
            <v>3.8</v>
          </cell>
          <cell r="S70">
            <v>-4</v>
          </cell>
        </row>
        <row r="71">
          <cell r="C71">
            <v>12</v>
          </cell>
          <cell r="F71" t="str">
            <v/>
          </cell>
          <cell r="G71" t="str">
            <v/>
          </cell>
        </row>
        <row r="72">
          <cell r="B72" t="str">
            <v>3503CCA55</v>
          </cell>
          <cell r="D72">
            <v>312.06</v>
          </cell>
          <cell r="E72">
            <v>34491.889000000003</v>
          </cell>
          <cell r="F72" t="str">
            <v>-41663.16</v>
          </cell>
          <cell r="G72" t="str">
            <v>165446.79</v>
          </cell>
          <cell r="I72" t="str">
            <v>S</v>
          </cell>
          <cell r="K72" t="str">
            <v>Rígida</v>
          </cell>
          <cell r="L72" t="str">
            <v>C859-A</v>
          </cell>
          <cell r="Q72">
            <v>3.8</v>
          </cell>
          <cell r="S72">
            <v>-12</v>
          </cell>
        </row>
        <row r="73">
          <cell r="C73">
            <v>12</v>
          </cell>
          <cell r="F73" t="str">
            <v/>
          </cell>
          <cell r="G73" t="str">
            <v/>
          </cell>
        </row>
        <row r="74">
          <cell r="B74" t="str">
            <v>3503CCA57</v>
          </cell>
          <cell r="D74">
            <v>324.06</v>
          </cell>
          <cell r="E74">
            <v>34479.889000000003</v>
          </cell>
          <cell r="F74" t="str">
            <v>-41665.30</v>
          </cell>
          <cell r="G74" t="str">
            <v>165434.99</v>
          </cell>
          <cell r="I74" t="str">
            <v>S</v>
          </cell>
          <cell r="K74" t="str">
            <v>Rígida</v>
          </cell>
          <cell r="L74" t="str">
            <v>C859-A</v>
          </cell>
          <cell r="Q74">
            <v>3.8</v>
          </cell>
          <cell r="S74">
            <v>-20</v>
          </cell>
        </row>
        <row r="75">
          <cell r="C75">
            <v>12</v>
          </cell>
          <cell r="F75" t="str">
            <v/>
          </cell>
          <cell r="G75" t="str">
            <v/>
          </cell>
        </row>
        <row r="76">
          <cell r="B76" t="str">
            <v>3503CCA59</v>
          </cell>
          <cell r="D76">
            <v>336.06</v>
          </cell>
          <cell r="E76">
            <v>34467.889000000003</v>
          </cell>
          <cell r="F76" t="str">
            <v>-41667.44</v>
          </cell>
          <cell r="G76" t="str">
            <v>165423.18</v>
          </cell>
          <cell r="I76" t="str">
            <v>S</v>
          </cell>
          <cell r="K76" t="str">
            <v>Rígida</v>
          </cell>
          <cell r="L76" t="str">
            <v>C859-A</v>
          </cell>
          <cell r="Q76">
            <v>3.8</v>
          </cell>
          <cell r="S76">
            <v>-12</v>
          </cell>
        </row>
        <row r="77">
          <cell r="C77">
            <v>12</v>
          </cell>
          <cell r="F77" t="str">
            <v/>
          </cell>
          <cell r="G77" t="str">
            <v/>
          </cell>
        </row>
        <row r="78">
          <cell r="B78" t="str">
            <v>3503CCA61</v>
          </cell>
          <cell r="D78">
            <v>348.06</v>
          </cell>
          <cell r="E78">
            <v>34455.889000000003</v>
          </cell>
          <cell r="F78" t="str">
            <v>-41669.58</v>
          </cell>
          <cell r="G78" t="str">
            <v>165411.37</v>
          </cell>
          <cell r="I78" t="str">
            <v>S</v>
          </cell>
          <cell r="K78" t="str">
            <v>Rígida</v>
          </cell>
          <cell r="L78" t="str">
            <v>C859-A</v>
          </cell>
          <cell r="Q78">
            <v>3.8</v>
          </cell>
          <cell r="S78">
            <v>-4</v>
          </cell>
        </row>
        <row r="79">
          <cell r="C79">
            <v>12</v>
          </cell>
          <cell r="F79" t="str">
            <v/>
          </cell>
          <cell r="G79" t="str">
            <v/>
          </cell>
        </row>
        <row r="80">
          <cell r="B80" t="str">
            <v>3503CCA63</v>
          </cell>
          <cell r="D80">
            <v>360.06</v>
          </cell>
          <cell r="E80">
            <v>34443.889000000003</v>
          </cell>
          <cell r="F80" t="str">
            <v>-41671.73</v>
          </cell>
          <cell r="G80" t="str">
            <v>165399.56</v>
          </cell>
          <cell r="I80" t="str">
            <v>S</v>
          </cell>
          <cell r="K80" t="str">
            <v>Rígida</v>
          </cell>
          <cell r="L80" t="str">
            <v>C859-A</v>
          </cell>
          <cell r="Q80">
            <v>3.8</v>
          </cell>
          <cell r="S80" t="str">
            <v>+4</v>
          </cell>
        </row>
        <row r="81">
          <cell r="C81">
            <v>12</v>
          </cell>
          <cell r="F81" t="str">
            <v/>
          </cell>
          <cell r="G81" t="str">
            <v/>
          </cell>
          <cell r="H81" t="str">
            <v>Clo</v>
          </cell>
        </row>
        <row r="82">
          <cell r="B82" t="str">
            <v>3503CCA65</v>
          </cell>
          <cell r="D82">
            <v>372.06</v>
          </cell>
          <cell r="E82">
            <v>34431.889000000003</v>
          </cell>
          <cell r="F82" t="str">
            <v>-41673.87</v>
          </cell>
          <cell r="G82" t="str">
            <v>165387.76</v>
          </cell>
          <cell r="I82" t="str">
            <v>S</v>
          </cell>
          <cell r="K82" t="str">
            <v>Rígida</v>
          </cell>
          <cell r="L82" t="str">
            <v>C859-A</v>
          </cell>
          <cell r="Q82">
            <v>3.8</v>
          </cell>
          <cell r="S82" t="str">
            <v>+12</v>
          </cell>
        </row>
        <row r="83">
          <cell r="C83">
            <v>12</v>
          </cell>
          <cell r="F83" t="str">
            <v/>
          </cell>
          <cell r="G83" t="str">
            <v/>
          </cell>
          <cell r="H83" t="str">
            <v>Clo</v>
          </cell>
        </row>
        <row r="84">
          <cell r="B84" t="str">
            <v>3503CCA67</v>
          </cell>
          <cell r="D84">
            <v>384.06</v>
          </cell>
          <cell r="E84">
            <v>34419.889000000003</v>
          </cell>
          <cell r="F84" t="str">
            <v>-41676.10</v>
          </cell>
          <cell r="G84" t="str">
            <v>165375.97</v>
          </cell>
          <cell r="I84" t="str">
            <v>SE</v>
          </cell>
          <cell r="K84" t="str">
            <v>Rígida</v>
          </cell>
          <cell r="L84" t="str">
            <v>C860-A</v>
          </cell>
          <cell r="Q84">
            <v>3.8</v>
          </cell>
          <cell r="S84">
            <v>0</v>
          </cell>
          <cell r="T84" t="str">
            <v>+20</v>
          </cell>
          <cell r="U84" t="str">
            <v>Cantón 192,4m</v>
          </cell>
        </row>
        <row r="85">
          <cell r="C85">
            <v>6.2</v>
          </cell>
          <cell r="F85" t="str">
            <v/>
          </cell>
          <cell r="G85" t="str">
            <v/>
          </cell>
          <cell r="H85" t="str">
            <v>Clo</v>
          </cell>
          <cell r="U85" t="str">
            <v>Seccionamento</v>
          </cell>
        </row>
        <row r="86">
          <cell r="B86" t="str">
            <v>3503CCA69</v>
          </cell>
          <cell r="D86">
            <v>390.26</v>
          </cell>
          <cell r="E86">
            <v>34413.688999999998</v>
          </cell>
          <cell r="F86" t="str">
            <v>-41677.30</v>
          </cell>
          <cell r="G86" t="str">
            <v>165369.89</v>
          </cell>
          <cell r="I86" t="str">
            <v>SE</v>
          </cell>
          <cell r="K86" t="str">
            <v>Rígida</v>
          </cell>
          <cell r="L86" t="str">
            <v>C860-A</v>
          </cell>
          <cell r="Q86">
            <v>3.8</v>
          </cell>
          <cell r="S86">
            <v>0</v>
          </cell>
          <cell r="T86" t="str">
            <v>+20</v>
          </cell>
          <cell r="U86" t="str">
            <v>Cantón 396,1 m</v>
          </cell>
        </row>
        <row r="87">
          <cell r="C87">
            <v>12</v>
          </cell>
          <cell r="F87" t="str">
            <v/>
          </cell>
          <cell r="G87" t="str">
            <v/>
          </cell>
          <cell r="H87" t="str">
            <v>Clo</v>
          </cell>
        </row>
        <row r="88">
          <cell r="B88" t="str">
            <v>3503CCA71</v>
          </cell>
          <cell r="D88">
            <v>402.26</v>
          </cell>
          <cell r="E88">
            <v>34401.688999999998</v>
          </cell>
          <cell r="F88" t="str">
            <v>-41679.80</v>
          </cell>
          <cell r="G88" t="str">
            <v>165358.16</v>
          </cell>
          <cell r="I88" t="str">
            <v>S</v>
          </cell>
          <cell r="K88" t="str">
            <v>Rígida</v>
          </cell>
          <cell r="L88" t="str">
            <v>C859-A</v>
          </cell>
          <cell r="Q88">
            <v>3.8</v>
          </cell>
          <cell r="S88" t="str">
            <v>+4</v>
          </cell>
        </row>
        <row r="89">
          <cell r="C89">
            <v>12</v>
          </cell>
          <cell r="F89" t="str">
            <v/>
          </cell>
          <cell r="G89" t="str">
            <v/>
          </cell>
          <cell r="H89" t="str">
            <v>Clo</v>
          </cell>
        </row>
        <row r="90">
          <cell r="B90" t="str">
            <v>3503CCA73</v>
          </cell>
          <cell r="D90">
            <v>414.26</v>
          </cell>
          <cell r="E90">
            <v>34389.688999999998</v>
          </cell>
          <cell r="F90" t="str">
            <v>-41682.60</v>
          </cell>
          <cell r="G90" t="str">
            <v>165346.44</v>
          </cell>
          <cell r="I90" t="str">
            <v>S</v>
          </cell>
          <cell r="K90" t="str">
            <v>Rígida</v>
          </cell>
          <cell r="L90" t="str">
            <v>C859-A</v>
          </cell>
          <cell r="Q90">
            <v>3.8</v>
          </cell>
          <cell r="S90" t="str">
            <v>+12</v>
          </cell>
        </row>
        <row r="91">
          <cell r="C91">
            <v>12</v>
          </cell>
          <cell r="F91" t="str">
            <v/>
          </cell>
          <cell r="G91" t="str">
            <v/>
          </cell>
          <cell r="H91">
            <v>-345</v>
          </cell>
        </row>
        <row r="92">
          <cell r="B92" t="str">
            <v>3503CCA75</v>
          </cell>
          <cell r="D92">
            <v>426.36</v>
          </cell>
          <cell r="E92">
            <v>34377.589</v>
          </cell>
          <cell r="F92" t="str">
            <v>-41685.77</v>
          </cell>
          <cell r="G92" t="str">
            <v>165334.82</v>
          </cell>
          <cell r="I92" t="str">
            <v>S</v>
          </cell>
          <cell r="K92" t="str">
            <v>Rígida</v>
          </cell>
          <cell r="L92" t="str">
            <v>C859-A</v>
          </cell>
          <cell r="Q92">
            <v>3.8</v>
          </cell>
          <cell r="S92" t="str">
            <v>+20</v>
          </cell>
        </row>
        <row r="93">
          <cell r="C93">
            <v>12</v>
          </cell>
          <cell r="F93" t="str">
            <v/>
          </cell>
          <cell r="G93" t="str">
            <v/>
          </cell>
          <cell r="H93">
            <v>-345</v>
          </cell>
        </row>
        <row r="94">
          <cell r="B94" t="str">
            <v>3503CCA77</v>
          </cell>
          <cell r="D94">
            <v>438.36</v>
          </cell>
          <cell r="E94">
            <v>34365.589</v>
          </cell>
          <cell r="F94" t="str">
            <v>-41689.35</v>
          </cell>
          <cell r="G94" t="str">
            <v>165323.32</v>
          </cell>
          <cell r="I94" t="str">
            <v>S</v>
          </cell>
          <cell r="K94" t="str">
            <v>Rígida</v>
          </cell>
          <cell r="L94" t="str">
            <v>C859-A</v>
          </cell>
          <cell r="Q94">
            <v>3.8</v>
          </cell>
          <cell r="S94" t="str">
            <v>+10</v>
          </cell>
        </row>
        <row r="95">
          <cell r="C95">
            <v>12</v>
          </cell>
          <cell r="F95" t="str">
            <v/>
          </cell>
          <cell r="G95" t="str">
            <v/>
          </cell>
          <cell r="H95">
            <v>-345</v>
          </cell>
        </row>
        <row r="96">
          <cell r="B96" t="str">
            <v>3503CCA79</v>
          </cell>
          <cell r="D96">
            <v>450.36</v>
          </cell>
          <cell r="E96">
            <v>34353.589</v>
          </cell>
          <cell r="F96" t="str">
            <v>-41693.33</v>
          </cell>
          <cell r="G96" t="str">
            <v>165311.95</v>
          </cell>
          <cell r="I96" t="str">
            <v>S</v>
          </cell>
          <cell r="K96" t="str">
            <v>Rígida</v>
          </cell>
          <cell r="L96" t="str">
            <v>C859-A</v>
          </cell>
          <cell r="Q96">
            <v>3.8</v>
          </cell>
          <cell r="S96" t="str">
            <v>+4</v>
          </cell>
        </row>
        <row r="97">
          <cell r="C97">
            <v>12</v>
          </cell>
          <cell r="F97" t="str">
            <v/>
          </cell>
          <cell r="G97" t="str">
            <v/>
          </cell>
          <cell r="H97">
            <v>-345</v>
          </cell>
        </row>
        <row r="98">
          <cell r="B98" t="str">
            <v>3503CCA81</v>
          </cell>
          <cell r="D98">
            <v>462.36</v>
          </cell>
          <cell r="E98">
            <v>34341.589</v>
          </cell>
          <cell r="F98" t="str">
            <v>-41697.70</v>
          </cell>
          <cell r="G98" t="str">
            <v>165300.73</v>
          </cell>
          <cell r="I98" t="str">
            <v>S</v>
          </cell>
          <cell r="K98" t="str">
            <v>Rígida</v>
          </cell>
          <cell r="L98" t="str">
            <v>C859-A</v>
          </cell>
          <cell r="Q98">
            <v>3.8</v>
          </cell>
          <cell r="S98">
            <v>-4</v>
          </cell>
        </row>
        <row r="99">
          <cell r="C99">
            <v>12</v>
          </cell>
          <cell r="F99" t="str">
            <v/>
          </cell>
          <cell r="G99" t="str">
            <v/>
          </cell>
          <cell r="H99">
            <v>-345</v>
          </cell>
        </row>
        <row r="100">
          <cell r="B100" t="str">
            <v>3503CCA83</v>
          </cell>
          <cell r="D100">
            <v>474.36</v>
          </cell>
          <cell r="E100">
            <v>34329.589</v>
          </cell>
          <cell r="F100" t="str">
            <v>-41702.45</v>
          </cell>
          <cell r="G100" t="str">
            <v>165289.66</v>
          </cell>
          <cell r="I100" t="str">
            <v>S</v>
          </cell>
          <cell r="K100" t="str">
            <v>Rígida</v>
          </cell>
          <cell r="L100" t="str">
            <v>C859-A</v>
          </cell>
          <cell r="Q100">
            <v>3.8</v>
          </cell>
          <cell r="S100">
            <v>-12</v>
          </cell>
        </row>
        <row r="101">
          <cell r="C101">
            <v>12</v>
          </cell>
          <cell r="F101" t="str">
            <v/>
          </cell>
          <cell r="G101" t="str">
            <v/>
          </cell>
          <cell r="H101">
            <v>-345</v>
          </cell>
        </row>
        <row r="102">
          <cell r="B102" t="str">
            <v>3503CCA85</v>
          </cell>
          <cell r="D102">
            <v>486.36</v>
          </cell>
          <cell r="E102">
            <v>34317.589</v>
          </cell>
          <cell r="F102" t="str">
            <v>-41707.59</v>
          </cell>
          <cell r="G102" t="str">
            <v>165278.76</v>
          </cell>
          <cell r="I102" t="str">
            <v>S</v>
          </cell>
          <cell r="K102" t="str">
            <v>Rígida</v>
          </cell>
          <cell r="L102" t="str">
            <v>C859-A</v>
          </cell>
          <cell r="Q102">
            <v>3.8</v>
          </cell>
          <cell r="S102">
            <v>-20</v>
          </cell>
        </row>
        <row r="103">
          <cell r="C103">
            <v>12</v>
          </cell>
          <cell r="F103" t="str">
            <v/>
          </cell>
          <cell r="G103" t="str">
            <v/>
          </cell>
          <cell r="H103">
            <v>-345</v>
          </cell>
        </row>
        <row r="104">
          <cell r="B104" t="str">
            <v>3503CCA87</v>
          </cell>
          <cell r="D104">
            <v>498.36</v>
          </cell>
          <cell r="E104">
            <v>34305.589</v>
          </cell>
          <cell r="F104" t="str">
            <v>-41713.11</v>
          </cell>
          <cell r="G104" t="str">
            <v>165268.05</v>
          </cell>
          <cell r="I104" t="str">
            <v>S</v>
          </cell>
          <cell r="K104" t="str">
            <v>Rígida</v>
          </cell>
          <cell r="L104" t="str">
            <v>C859-A</v>
          </cell>
          <cell r="Q104">
            <v>3.8</v>
          </cell>
          <cell r="S104">
            <v>-12</v>
          </cell>
        </row>
        <row r="105">
          <cell r="C105">
            <v>12</v>
          </cell>
          <cell r="F105" t="str">
            <v/>
          </cell>
          <cell r="G105" t="str">
            <v/>
          </cell>
          <cell r="H105">
            <v>-345</v>
          </cell>
        </row>
        <row r="106">
          <cell r="B106" t="str">
            <v>3503CCA89</v>
          </cell>
          <cell r="D106">
            <v>510.36</v>
          </cell>
          <cell r="E106">
            <v>34293.589</v>
          </cell>
          <cell r="F106" t="str">
            <v>-41718.99</v>
          </cell>
          <cell r="G106" t="str">
            <v>165257.54</v>
          </cell>
          <cell r="I106" t="str">
            <v>S</v>
          </cell>
          <cell r="K106" t="str">
            <v>Rígida</v>
          </cell>
          <cell r="L106" t="str">
            <v>C859-A</v>
          </cell>
          <cell r="Q106">
            <v>3.8</v>
          </cell>
          <cell r="S106">
            <v>-4</v>
          </cell>
        </row>
        <row r="107">
          <cell r="C107">
            <v>12</v>
          </cell>
          <cell r="F107" t="str">
            <v/>
          </cell>
          <cell r="G107" t="str">
            <v/>
          </cell>
          <cell r="H107">
            <v>-345</v>
          </cell>
        </row>
        <row r="108">
          <cell r="B108" t="str">
            <v>3503CCA91</v>
          </cell>
          <cell r="D108">
            <v>522.36</v>
          </cell>
          <cell r="E108">
            <v>34281.589</v>
          </cell>
          <cell r="F108" t="str">
            <v>-41725.23</v>
          </cell>
          <cell r="G108" t="str">
            <v>165247.24</v>
          </cell>
          <cell r="I108" t="str">
            <v>S</v>
          </cell>
          <cell r="K108" t="str">
            <v>Rígida</v>
          </cell>
          <cell r="L108" t="str">
            <v>C859-A</v>
          </cell>
          <cell r="Q108">
            <v>3.8</v>
          </cell>
          <cell r="S108" t="str">
            <v>+4</v>
          </cell>
        </row>
        <row r="109">
          <cell r="C109">
            <v>12</v>
          </cell>
          <cell r="F109" t="str">
            <v/>
          </cell>
          <cell r="G109" t="str">
            <v/>
          </cell>
          <cell r="H109">
            <v>-345</v>
          </cell>
        </row>
        <row r="110">
          <cell r="B110" t="str">
            <v>3503CCA93</v>
          </cell>
          <cell r="D110">
            <v>534.36</v>
          </cell>
          <cell r="E110">
            <v>34269.589</v>
          </cell>
          <cell r="F110" t="str">
            <v>-41731.83</v>
          </cell>
          <cell r="G110" t="str">
            <v>165237.16</v>
          </cell>
          <cell r="I110" t="str">
            <v>S</v>
          </cell>
          <cell r="K110" t="str">
            <v>Rígida</v>
          </cell>
          <cell r="L110" t="str">
            <v>C859-A</v>
          </cell>
          <cell r="Q110">
            <v>3.8</v>
          </cell>
          <cell r="S110" t="str">
            <v>+12</v>
          </cell>
        </row>
        <row r="111">
          <cell r="C111">
            <v>12</v>
          </cell>
          <cell r="F111" t="str">
            <v/>
          </cell>
          <cell r="G111" t="str">
            <v/>
          </cell>
          <cell r="H111">
            <v>-345</v>
          </cell>
        </row>
        <row r="112">
          <cell r="B112" t="str">
            <v>3503CCA95</v>
          </cell>
          <cell r="D112">
            <v>546.36</v>
          </cell>
          <cell r="E112">
            <v>34257.589</v>
          </cell>
          <cell r="F112" t="str">
            <v>-41738.78</v>
          </cell>
          <cell r="G112" t="str">
            <v>165227.32</v>
          </cell>
          <cell r="I112" t="str">
            <v>S</v>
          </cell>
          <cell r="K112" t="str">
            <v>Rígida</v>
          </cell>
          <cell r="L112" t="str">
            <v>C859-A</v>
          </cell>
          <cell r="Q112">
            <v>3.8</v>
          </cell>
          <cell r="S112" t="str">
            <v>+20</v>
          </cell>
        </row>
        <row r="113">
          <cell r="C113">
            <v>12</v>
          </cell>
          <cell r="F113" t="str">
            <v/>
          </cell>
          <cell r="G113" t="str">
            <v/>
          </cell>
          <cell r="H113">
            <v>-345</v>
          </cell>
        </row>
        <row r="114">
          <cell r="B114" t="str">
            <v>3503CCA97</v>
          </cell>
          <cell r="D114">
            <v>558.86</v>
          </cell>
          <cell r="E114">
            <v>34245.089</v>
          </cell>
          <cell r="F114" t="str">
            <v>-41746.05</v>
          </cell>
          <cell r="G114" t="str">
            <v>165217.71</v>
          </cell>
          <cell r="I114" t="str">
            <v>S</v>
          </cell>
          <cell r="K114" t="str">
            <v>Rígida</v>
          </cell>
          <cell r="L114" t="str">
            <v>C859-A</v>
          </cell>
          <cell r="Q114">
            <v>3.8</v>
          </cell>
          <cell r="S114" t="str">
            <v>+12</v>
          </cell>
        </row>
        <row r="115">
          <cell r="C115">
            <v>12</v>
          </cell>
          <cell r="F115" t="str">
            <v/>
          </cell>
          <cell r="G115" t="str">
            <v/>
          </cell>
          <cell r="H115">
            <v>-345</v>
          </cell>
        </row>
        <row r="116">
          <cell r="B116" t="str">
            <v>3503CCA99</v>
          </cell>
          <cell r="D116">
            <v>570.86</v>
          </cell>
          <cell r="E116">
            <v>34233.089</v>
          </cell>
          <cell r="F116" t="str">
            <v>-41753.67</v>
          </cell>
          <cell r="G116" t="str">
            <v>165208.38</v>
          </cell>
          <cell r="I116" t="str">
            <v>S</v>
          </cell>
          <cell r="K116" t="str">
            <v>Rígida</v>
          </cell>
          <cell r="L116" t="str">
            <v>C859-A</v>
          </cell>
          <cell r="Q116">
            <v>3.8</v>
          </cell>
          <cell r="S116" t="str">
            <v>+4</v>
          </cell>
        </row>
        <row r="117">
          <cell r="C117">
            <v>12</v>
          </cell>
          <cell r="F117" t="str">
            <v/>
          </cell>
          <cell r="G117" t="str">
            <v/>
          </cell>
          <cell r="H117" t="str">
            <v>Clo</v>
          </cell>
        </row>
        <row r="118">
          <cell r="B118" t="str">
            <v>3503CCA101</v>
          </cell>
          <cell r="D118">
            <v>582.86</v>
          </cell>
          <cell r="E118">
            <v>34221.089</v>
          </cell>
          <cell r="F118" t="str">
            <v>-41761.60</v>
          </cell>
          <cell r="G118" t="str">
            <v>165199.31</v>
          </cell>
          <cell r="I118" t="str">
            <v>PF</v>
          </cell>
          <cell r="K118" t="str">
            <v>Rígida</v>
          </cell>
          <cell r="L118" t="str">
            <v>C863-A</v>
          </cell>
          <cell r="Q118">
            <v>3.8</v>
          </cell>
          <cell r="S118">
            <v>-4</v>
          </cell>
        </row>
        <row r="119">
          <cell r="C119">
            <v>12</v>
          </cell>
          <cell r="F119" t="str">
            <v/>
          </cell>
          <cell r="G119" t="str">
            <v/>
          </cell>
          <cell r="H119" t="str">
            <v>Clo</v>
          </cell>
        </row>
        <row r="120">
          <cell r="B120" t="str">
            <v>3503CCA103</v>
          </cell>
          <cell r="D120">
            <v>594.86</v>
          </cell>
          <cell r="E120">
            <v>34209.089</v>
          </cell>
          <cell r="F120" t="str">
            <v>-41769.78</v>
          </cell>
          <cell r="G120" t="str">
            <v>165190.47</v>
          </cell>
          <cell r="I120" t="str">
            <v>S</v>
          </cell>
          <cell r="K120" t="str">
            <v>Rígida</v>
          </cell>
          <cell r="L120" t="str">
            <v>C859-A</v>
          </cell>
          <cell r="Q120">
            <v>3.8</v>
          </cell>
          <cell r="S120">
            <v>-12</v>
          </cell>
        </row>
        <row r="121">
          <cell r="C121">
            <v>12</v>
          </cell>
          <cell r="F121" t="str">
            <v/>
          </cell>
          <cell r="G121" t="str">
            <v/>
          </cell>
          <cell r="H121" t="str">
            <v>Clo</v>
          </cell>
        </row>
        <row r="122">
          <cell r="B122" t="str">
            <v>3503CCA105</v>
          </cell>
          <cell r="D122">
            <v>606.86</v>
          </cell>
          <cell r="E122">
            <v>34197.089</v>
          </cell>
          <cell r="F122" t="str">
            <v>-41778.15</v>
          </cell>
          <cell r="G122" t="str">
            <v>165181.80</v>
          </cell>
          <cell r="I122" t="str">
            <v>S</v>
          </cell>
          <cell r="K122" t="str">
            <v>Rígida</v>
          </cell>
          <cell r="L122" t="str">
            <v>C859-A</v>
          </cell>
          <cell r="Q122">
            <v>3.8</v>
          </cell>
          <cell r="S122">
            <v>-20</v>
          </cell>
        </row>
        <row r="123">
          <cell r="C123">
            <v>12</v>
          </cell>
          <cell r="F123" t="str">
            <v/>
          </cell>
          <cell r="G123" t="str">
            <v/>
          </cell>
          <cell r="H123" t="str">
            <v>Clo</v>
          </cell>
        </row>
        <row r="124">
          <cell r="B124" t="str">
            <v>3503CCA107</v>
          </cell>
          <cell r="D124">
            <v>618.86</v>
          </cell>
          <cell r="E124">
            <v>34185.089</v>
          </cell>
          <cell r="F124" t="str">
            <v>-41786.60</v>
          </cell>
          <cell r="G124" t="str">
            <v>165173.22</v>
          </cell>
          <cell r="I124" t="str">
            <v>S</v>
          </cell>
          <cell r="K124" t="str">
            <v>Rígida</v>
          </cell>
          <cell r="L124" t="str">
            <v>C859-A</v>
          </cell>
          <cell r="Q124">
            <v>3.8</v>
          </cell>
          <cell r="S124">
            <v>-12</v>
          </cell>
        </row>
        <row r="125">
          <cell r="C125">
            <v>12</v>
          </cell>
          <cell r="F125" t="str">
            <v/>
          </cell>
          <cell r="G125" t="str">
            <v/>
          </cell>
          <cell r="H125" t="str">
            <v>Clo</v>
          </cell>
        </row>
        <row r="126">
          <cell r="B126" t="str">
            <v>3503CCA109</v>
          </cell>
          <cell r="D126">
            <v>631.06000000000006</v>
          </cell>
          <cell r="E126">
            <v>34172.889000000003</v>
          </cell>
          <cell r="F126" t="str">
            <v>-41795.13</v>
          </cell>
          <cell r="G126" t="str">
            <v>165164.78</v>
          </cell>
          <cell r="I126" t="str">
            <v>S</v>
          </cell>
          <cell r="K126" t="str">
            <v>Rígida</v>
          </cell>
          <cell r="L126" t="str">
            <v>C859-A</v>
          </cell>
          <cell r="Q126">
            <v>3.8</v>
          </cell>
          <cell r="S126">
            <v>-4</v>
          </cell>
        </row>
        <row r="127">
          <cell r="C127">
            <v>12</v>
          </cell>
          <cell r="F127" t="str">
            <v/>
          </cell>
          <cell r="G127" t="str">
            <v/>
          </cell>
        </row>
        <row r="128">
          <cell r="B128" t="str">
            <v>3503CCA111</v>
          </cell>
          <cell r="D128">
            <v>643.06000000000006</v>
          </cell>
          <cell r="E128">
            <v>34160.889000000003</v>
          </cell>
          <cell r="F128" t="str">
            <v>-41803.65</v>
          </cell>
          <cell r="G128" t="str">
            <v>165156.29</v>
          </cell>
          <cell r="I128" t="str">
            <v>S</v>
          </cell>
          <cell r="K128" t="str">
            <v>Rígida</v>
          </cell>
          <cell r="L128" t="str">
            <v>C859-A</v>
          </cell>
          <cell r="Q128">
            <v>3.8</v>
          </cell>
          <cell r="S128" t="str">
            <v>+4</v>
          </cell>
        </row>
        <row r="129">
          <cell r="C129">
            <v>12</v>
          </cell>
          <cell r="F129" t="str">
            <v/>
          </cell>
          <cell r="G129" t="str">
            <v/>
          </cell>
          <cell r="H129" t="str">
            <v>Clo</v>
          </cell>
        </row>
        <row r="130">
          <cell r="B130" t="str">
            <v>3503CCA113</v>
          </cell>
          <cell r="D130">
            <v>655.06000000000006</v>
          </cell>
          <cell r="E130">
            <v>34148.889000000003</v>
          </cell>
          <cell r="F130" t="str">
            <v>-41812.11</v>
          </cell>
          <cell r="G130" t="str">
            <v>165147.81</v>
          </cell>
          <cell r="I130" t="str">
            <v>S</v>
          </cell>
          <cell r="K130" t="str">
            <v>Rígida</v>
          </cell>
          <cell r="L130" t="str">
            <v>C859-A</v>
          </cell>
          <cell r="Q130">
            <v>3.8</v>
          </cell>
          <cell r="S130" t="str">
            <v>+12</v>
          </cell>
        </row>
        <row r="131">
          <cell r="C131">
            <v>12</v>
          </cell>
          <cell r="F131" t="str">
            <v/>
          </cell>
          <cell r="G131" t="str">
            <v/>
          </cell>
          <cell r="H131" t="str">
            <v>Clo</v>
          </cell>
        </row>
        <row r="132">
          <cell r="B132" t="str">
            <v>3503CCA115</v>
          </cell>
          <cell r="D132">
            <v>667.06000000000006</v>
          </cell>
          <cell r="E132">
            <v>34136.889000000003</v>
          </cell>
          <cell r="F132" t="str">
            <v>-41820.52</v>
          </cell>
          <cell r="G132" t="str">
            <v>165139.26</v>
          </cell>
          <cell r="I132" t="str">
            <v>S</v>
          </cell>
          <cell r="K132" t="str">
            <v>Rígida</v>
          </cell>
          <cell r="L132" t="str">
            <v>C859-A</v>
          </cell>
          <cell r="Q132">
            <v>3.8</v>
          </cell>
          <cell r="S132" t="str">
            <v>+20</v>
          </cell>
        </row>
        <row r="133">
          <cell r="C133">
            <v>12</v>
          </cell>
          <cell r="F133" t="str">
            <v/>
          </cell>
          <cell r="G133" t="str">
            <v/>
          </cell>
          <cell r="H133" t="str">
            <v>Clo</v>
          </cell>
        </row>
        <row r="134">
          <cell r="B134" t="str">
            <v>3503CCA117</v>
          </cell>
          <cell r="D134">
            <v>679.06000000000006</v>
          </cell>
          <cell r="E134">
            <v>34124.889000000003</v>
          </cell>
          <cell r="F134" t="str">
            <v>-41828.77</v>
          </cell>
          <cell r="G134" t="str">
            <v>165130.54</v>
          </cell>
          <cell r="I134" t="str">
            <v>S</v>
          </cell>
          <cell r="K134" t="str">
            <v>Rígida</v>
          </cell>
          <cell r="L134" t="str">
            <v>C859-A</v>
          </cell>
          <cell r="Q134">
            <v>3.8</v>
          </cell>
          <cell r="S134" t="str">
            <v>+12</v>
          </cell>
        </row>
        <row r="135">
          <cell r="C135">
            <v>12</v>
          </cell>
          <cell r="F135" t="str">
            <v/>
          </cell>
          <cell r="G135" t="str">
            <v/>
          </cell>
          <cell r="H135" t="str">
            <v>Clo</v>
          </cell>
        </row>
        <row r="136">
          <cell r="B136" t="str">
            <v>3503CCA119</v>
          </cell>
          <cell r="D136">
            <v>691.06000000000006</v>
          </cell>
          <cell r="E136">
            <v>34112.889000000003</v>
          </cell>
          <cell r="F136" t="str">
            <v>-41836.87</v>
          </cell>
          <cell r="G136" t="str">
            <v>165121.69</v>
          </cell>
          <cell r="I136" t="str">
            <v>S</v>
          </cell>
          <cell r="K136" t="str">
            <v>Rígida</v>
          </cell>
          <cell r="L136" t="str">
            <v>C859-A</v>
          </cell>
          <cell r="Q136">
            <v>3.8</v>
          </cell>
          <cell r="S136" t="str">
            <v>+4</v>
          </cell>
        </row>
        <row r="137">
          <cell r="C137">
            <v>12</v>
          </cell>
          <cell r="F137" t="str">
            <v/>
          </cell>
          <cell r="G137" t="str">
            <v/>
          </cell>
          <cell r="H137" t="str">
            <v>Clo</v>
          </cell>
        </row>
        <row r="138">
          <cell r="B138" t="str">
            <v>3503CCA121</v>
          </cell>
          <cell r="D138">
            <v>703.06000000000006</v>
          </cell>
          <cell r="E138">
            <v>34100.889000000003</v>
          </cell>
          <cell r="F138" t="str">
            <v>-41844.57</v>
          </cell>
          <cell r="G138" t="str">
            <v>165112.49</v>
          </cell>
          <cell r="I138" t="str">
            <v>S</v>
          </cell>
          <cell r="K138" t="str">
            <v>Rígida</v>
          </cell>
          <cell r="L138" t="str">
            <v>C859-A</v>
          </cell>
          <cell r="Q138">
            <v>3.8</v>
          </cell>
          <cell r="S138">
            <v>-4</v>
          </cell>
        </row>
        <row r="139">
          <cell r="C139">
            <v>12</v>
          </cell>
          <cell r="F139" t="str">
            <v/>
          </cell>
          <cell r="G139" t="str">
            <v/>
          </cell>
          <cell r="H139">
            <v>345</v>
          </cell>
        </row>
        <row r="140">
          <cell r="B140" t="str">
            <v>3503CCA123</v>
          </cell>
          <cell r="D140">
            <v>715.06000000000006</v>
          </cell>
          <cell r="E140">
            <v>34088.889000000003</v>
          </cell>
          <cell r="F140" t="str">
            <v>-41852.04</v>
          </cell>
          <cell r="G140" t="str">
            <v>165103.09</v>
          </cell>
          <cell r="I140" t="str">
            <v>S</v>
          </cell>
          <cell r="K140" t="str">
            <v>Rígida</v>
          </cell>
          <cell r="L140" t="str">
            <v>C859-A</v>
          </cell>
          <cell r="Q140">
            <v>3.8</v>
          </cell>
          <cell r="S140">
            <v>-12</v>
          </cell>
        </row>
        <row r="141">
          <cell r="C141">
            <v>12</v>
          </cell>
          <cell r="F141" t="str">
            <v/>
          </cell>
          <cell r="G141" t="str">
            <v/>
          </cell>
          <cell r="H141">
            <v>345</v>
          </cell>
        </row>
        <row r="142">
          <cell r="B142" t="str">
            <v>3503CCA125</v>
          </cell>
          <cell r="D142">
            <v>727.06000000000006</v>
          </cell>
          <cell r="E142">
            <v>34076.889000000003</v>
          </cell>
          <cell r="F142" t="str">
            <v>-41859.12</v>
          </cell>
          <cell r="G142" t="str">
            <v>165093.41</v>
          </cell>
          <cell r="I142" t="str">
            <v>S</v>
          </cell>
          <cell r="K142" t="str">
            <v>Rígida</v>
          </cell>
          <cell r="L142" t="str">
            <v>C859-A</v>
          </cell>
          <cell r="Q142">
            <v>3.8</v>
          </cell>
          <cell r="S142">
            <v>-20</v>
          </cell>
        </row>
        <row r="143">
          <cell r="C143">
            <v>12</v>
          </cell>
          <cell r="F143" t="str">
            <v/>
          </cell>
          <cell r="G143" t="str">
            <v/>
          </cell>
          <cell r="H143">
            <v>345</v>
          </cell>
        </row>
        <row r="144">
          <cell r="B144" t="str">
            <v>3503CCA127</v>
          </cell>
          <cell r="D144">
            <v>739.06000000000006</v>
          </cell>
          <cell r="E144">
            <v>34064.889000000003</v>
          </cell>
          <cell r="F144" t="str">
            <v>-41865.93</v>
          </cell>
          <cell r="G144" t="str">
            <v>165083.53</v>
          </cell>
          <cell r="I144" t="str">
            <v>S</v>
          </cell>
          <cell r="K144" t="str">
            <v>Rígida</v>
          </cell>
          <cell r="L144" t="str">
            <v>C859-A</v>
          </cell>
          <cell r="Q144">
            <v>3.8</v>
          </cell>
          <cell r="S144">
            <v>-12</v>
          </cell>
        </row>
        <row r="145">
          <cell r="C145">
            <v>12</v>
          </cell>
          <cell r="F145" t="str">
            <v/>
          </cell>
          <cell r="G145" t="str">
            <v/>
          </cell>
          <cell r="H145" t="str">
            <v>Clo</v>
          </cell>
        </row>
        <row r="146">
          <cell r="B146" t="str">
            <v>3503CCA129</v>
          </cell>
          <cell r="D146">
            <v>751.06000000000006</v>
          </cell>
          <cell r="E146">
            <v>34052.889000000003</v>
          </cell>
          <cell r="F146" t="str">
            <v>-41872.36</v>
          </cell>
          <cell r="G146" t="str">
            <v>165073.39</v>
          </cell>
          <cell r="I146" t="str">
            <v>S</v>
          </cell>
          <cell r="K146" t="str">
            <v>Rígida</v>
          </cell>
          <cell r="L146" t="str">
            <v>C859-A</v>
          </cell>
          <cell r="Q146">
            <v>3.8</v>
          </cell>
          <cell r="S146">
            <v>-4</v>
          </cell>
        </row>
        <row r="147">
          <cell r="C147">
            <v>12</v>
          </cell>
          <cell r="F147" t="str">
            <v/>
          </cell>
          <cell r="G147" t="str">
            <v/>
          </cell>
          <cell r="H147" t="str">
            <v>Clo</v>
          </cell>
        </row>
        <row r="148">
          <cell r="B148" t="str">
            <v>3503CCA131</v>
          </cell>
          <cell r="D148">
            <v>763.06000000000006</v>
          </cell>
          <cell r="E148">
            <v>34040.889000000003</v>
          </cell>
          <cell r="F148" t="str">
            <v>-41878.48</v>
          </cell>
          <cell r="G148" t="str">
            <v>165063.07</v>
          </cell>
          <cell r="I148" t="str">
            <v>S</v>
          </cell>
          <cell r="K148" t="str">
            <v>Rígida</v>
          </cell>
          <cell r="L148" t="str">
            <v>C859-A</v>
          </cell>
          <cell r="Q148">
            <v>3.8</v>
          </cell>
          <cell r="S148" t="str">
            <v>+4</v>
          </cell>
        </row>
        <row r="149">
          <cell r="C149">
            <v>11.7</v>
          </cell>
          <cell r="F149" t="str">
            <v/>
          </cell>
          <cell r="G149" t="str">
            <v/>
          </cell>
          <cell r="H149" t="str">
            <v>Clo</v>
          </cell>
        </row>
        <row r="150">
          <cell r="B150" t="str">
            <v>3503CCA133</v>
          </cell>
          <cell r="D150">
            <v>774.7600000000001</v>
          </cell>
          <cell r="E150">
            <v>34029.188999999998</v>
          </cell>
          <cell r="F150" t="str">
            <v>-41884.28</v>
          </cell>
          <cell r="G150" t="str">
            <v>165052.91</v>
          </cell>
          <cell r="I150" t="str">
            <v>SE</v>
          </cell>
          <cell r="K150" t="str">
            <v>Rígida</v>
          </cell>
          <cell r="L150" t="str">
            <v>C860-A</v>
          </cell>
          <cell r="Q150">
            <v>3.8</v>
          </cell>
          <cell r="S150">
            <v>-12</v>
          </cell>
          <cell r="T150" t="str">
            <v>+12</v>
          </cell>
          <cell r="U150" t="str">
            <v>Cantón 396,1 m</v>
          </cell>
          <cell r="X150" t="str">
            <v>FA</v>
          </cell>
        </row>
        <row r="151">
          <cell r="C151">
            <v>6.2</v>
          </cell>
          <cell r="F151" t="str">
            <v/>
          </cell>
          <cell r="G151" t="str">
            <v/>
          </cell>
          <cell r="H151" t="str">
            <v>Clo</v>
          </cell>
          <cell r="U151" t="str">
            <v>Seccionamento</v>
          </cell>
        </row>
        <row r="152">
          <cell r="B152" t="str">
            <v>3503CCA135</v>
          </cell>
          <cell r="D152">
            <v>780.96000000000015</v>
          </cell>
          <cell r="E152">
            <v>34022.989000000001</v>
          </cell>
          <cell r="F152" t="str">
            <v>-41887.31</v>
          </cell>
          <cell r="G152" t="str">
            <v>165047.50</v>
          </cell>
          <cell r="I152" t="str">
            <v>SE</v>
          </cell>
          <cell r="K152" t="str">
            <v>Rígida</v>
          </cell>
          <cell r="L152" t="str">
            <v>C860-A</v>
          </cell>
          <cell r="Q152">
            <v>3.8</v>
          </cell>
          <cell r="S152">
            <v>-20</v>
          </cell>
          <cell r="T152" t="str">
            <v>+20</v>
          </cell>
          <cell r="U152" t="str">
            <v>Cantón 260 m</v>
          </cell>
          <cell r="V152" t="str">
            <v>Caix. Secc. e Con.</v>
          </cell>
          <cell r="W152" t="str">
            <v>Caix. Imped.</v>
          </cell>
        </row>
        <row r="153">
          <cell r="C153">
            <v>12</v>
          </cell>
          <cell r="F153" t="str">
            <v/>
          </cell>
          <cell r="G153" t="str">
            <v/>
          </cell>
          <cell r="H153" t="str">
            <v>Clo</v>
          </cell>
        </row>
        <row r="154">
          <cell r="B154" t="str">
            <v>3503CCA137</v>
          </cell>
          <cell r="D154">
            <v>792.96000000000015</v>
          </cell>
          <cell r="E154">
            <v>34010.989000000001</v>
          </cell>
          <cell r="F154" t="str">
            <v>-41893.08</v>
          </cell>
          <cell r="G154" t="str">
            <v>165036.98</v>
          </cell>
          <cell r="I154" t="str">
            <v>S</v>
          </cell>
          <cell r="K154" t="str">
            <v>Rígida</v>
          </cell>
          <cell r="L154" t="str">
            <v>C859-A</v>
          </cell>
          <cell r="Q154">
            <v>3.8</v>
          </cell>
          <cell r="S154">
            <v>-12</v>
          </cell>
        </row>
        <row r="155">
          <cell r="C155">
            <v>12</v>
          </cell>
          <cell r="F155" t="str">
            <v/>
          </cell>
          <cell r="G155" t="str">
            <v/>
          </cell>
        </row>
        <row r="156">
          <cell r="B156" t="str">
            <v>3503CCA139</v>
          </cell>
          <cell r="D156">
            <v>804.96000000000015</v>
          </cell>
          <cell r="E156">
            <v>33998.989000000001</v>
          </cell>
          <cell r="F156" t="str">
            <v>-41898.84</v>
          </cell>
          <cell r="G156" t="str">
            <v>165026.45</v>
          </cell>
          <cell r="I156" t="str">
            <v>S</v>
          </cell>
          <cell r="K156" t="str">
            <v>Rígida</v>
          </cell>
          <cell r="L156" t="str">
            <v>C859-A</v>
          </cell>
          <cell r="Q156">
            <v>3.8</v>
          </cell>
          <cell r="S156">
            <v>-4</v>
          </cell>
        </row>
        <row r="157">
          <cell r="C157">
            <v>12</v>
          </cell>
          <cell r="F157" t="str">
            <v/>
          </cell>
          <cell r="G157" t="str">
            <v/>
          </cell>
        </row>
        <row r="158">
          <cell r="B158" t="str">
            <v>3503CCA141</v>
          </cell>
          <cell r="D158">
            <v>816.96000000000015</v>
          </cell>
          <cell r="E158">
            <v>33986.989000000001</v>
          </cell>
          <cell r="F158" t="str">
            <v>-41904.60</v>
          </cell>
          <cell r="G158" t="str">
            <v>165015.92</v>
          </cell>
          <cell r="I158" t="str">
            <v>S</v>
          </cell>
          <cell r="K158" t="str">
            <v>Rígida</v>
          </cell>
          <cell r="L158" t="str">
            <v>C859-A</v>
          </cell>
          <cell r="Q158">
            <v>3.8</v>
          </cell>
          <cell r="S158" t="str">
            <v>+4</v>
          </cell>
        </row>
        <row r="159">
          <cell r="C159">
            <v>12</v>
          </cell>
          <cell r="F159" t="str">
            <v/>
          </cell>
          <cell r="G159" t="str">
            <v/>
          </cell>
        </row>
        <row r="160">
          <cell r="B160" t="str">
            <v>3503CCA143</v>
          </cell>
          <cell r="D160">
            <v>828.96000000000015</v>
          </cell>
          <cell r="E160">
            <v>33974.989000000001</v>
          </cell>
          <cell r="F160" t="str">
            <v>-41910.35</v>
          </cell>
          <cell r="G160" t="str">
            <v>165005.39</v>
          </cell>
          <cell r="I160" t="str">
            <v>S</v>
          </cell>
          <cell r="K160" t="str">
            <v>Rígida</v>
          </cell>
          <cell r="L160" t="str">
            <v>C859-A</v>
          </cell>
          <cell r="Q160">
            <v>3.8</v>
          </cell>
          <cell r="S160" t="str">
            <v>+12</v>
          </cell>
        </row>
        <row r="161">
          <cell r="C161">
            <v>12</v>
          </cell>
          <cell r="F161" t="str">
            <v/>
          </cell>
          <cell r="G161" t="str">
            <v/>
          </cell>
        </row>
        <row r="162">
          <cell r="B162" t="str">
            <v>3503CCA145</v>
          </cell>
          <cell r="D162">
            <v>840.96000000000015</v>
          </cell>
          <cell r="E162">
            <v>33962.989000000001</v>
          </cell>
          <cell r="F162" t="str">
            <v>-41916.11</v>
          </cell>
          <cell r="G162" t="str">
            <v>164994.86</v>
          </cell>
          <cell r="I162" t="str">
            <v>S</v>
          </cell>
          <cell r="K162" t="str">
            <v>Rígida</v>
          </cell>
          <cell r="L162" t="str">
            <v>C859-A</v>
          </cell>
          <cell r="Q162">
            <v>3.8</v>
          </cell>
          <cell r="S162" t="str">
            <v>+20</v>
          </cell>
        </row>
        <row r="163">
          <cell r="C163">
            <v>12</v>
          </cell>
          <cell r="F163" t="str">
            <v/>
          </cell>
          <cell r="G163" t="str">
            <v/>
          </cell>
        </row>
        <row r="164">
          <cell r="B164" t="str">
            <v>3503CCA147</v>
          </cell>
          <cell r="D164">
            <v>852.96000000000015</v>
          </cell>
          <cell r="E164">
            <v>33950.989000000001</v>
          </cell>
          <cell r="F164" t="str">
            <v>-41921.86</v>
          </cell>
          <cell r="G164" t="str">
            <v>164984.33</v>
          </cell>
          <cell r="I164" t="str">
            <v>S</v>
          </cell>
          <cell r="K164" t="str">
            <v>Rígida</v>
          </cell>
          <cell r="L164" t="str">
            <v>C859-A</v>
          </cell>
          <cell r="Q164">
            <v>3.8</v>
          </cell>
          <cell r="S164" t="str">
            <v>+12</v>
          </cell>
        </row>
        <row r="165">
          <cell r="C165">
            <v>12</v>
          </cell>
          <cell r="F165" t="str">
            <v/>
          </cell>
          <cell r="G165" t="str">
            <v/>
          </cell>
        </row>
        <row r="166">
          <cell r="B166" t="str">
            <v>3503CCA149</v>
          </cell>
          <cell r="D166">
            <v>864.96000000000015</v>
          </cell>
          <cell r="E166">
            <v>33938.989000000001</v>
          </cell>
          <cell r="F166" t="str">
            <v>-41927.62</v>
          </cell>
          <cell r="G166" t="str">
            <v>164973.80</v>
          </cell>
          <cell r="I166" t="str">
            <v>S</v>
          </cell>
          <cell r="K166" t="str">
            <v>Rígida</v>
          </cell>
          <cell r="L166" t="str">
            <v>C859-A</v>
          </cell>
          <cell r="Q166">
            <v>3.8</v>
          </cell>
          <cell r="S166" t="str">
            <v>+4</v>
          </cell>
        </row>
        <row r="167">
          <cell r="C167">
            <v>12</v>
          </cell>
          <cell r="F167" t="str">
            <v/>
          </cell>
          <cell r="G167" t="str">
            <v/>
          </cell>
        </row>
        <row r="168">
          <cell r="B168" t="str">
            <v>3503CCA151</v>
          </cell>
          <cell r="D168">
            <v>876.96000000000015</v>
          </cell>
          <cell r="E168">
            <v>33926.989000000001</v>
          </cell>
          <cell r="F168" t="str">
            <v>-41933.37</v>
          </cell>
          <cell r="G168" t="str">
            <v>164963.28</v>
          </cell>
          <cell r="I168" t="str">
            <v>S</v>
          </cell>
          <cell r="K168" t="str">
            <v>Rígida</v>
          </cell>
          <cell r="L168" t="str">
            <v>C859-A</v>
          </cell>
          <cell r="Q168">
            <v>3.8</v>
          </cell>
          <cell r="S168">
            <v>-4</v>
          </cell>
        </row>
        <row r="169">
          <cell r="C169">
            <v>12</v>
          </cell>
          <cell r="F169" t="str">
            <v/>
          </cell>
          <cell r="G169" t="str">
            <v/>
          </cell>
        </row>
        <row r="170">
          <cell r="B170" t="str">
            <v>3503CCA153</v>
          </cell>
          <cell r="D170">
            <v>888.96000000000015</v>
          </cell>
          <cell r="E170">
            <v>33914.989000000001</v>
          </cell>
          <cell r="F170" t="str">
            <v>-41939.13</v>
          </cell>
          <cell r="G170" t="str">
            <v>164952.75</v>
          </cell>
          <cell r="I170" t="str">
            <v>S</v>
          </cell>
          <cell r="K170" t="str">
            <v>Rígida</v>
          </cell>
          <cell r="L170" t="str">
            <v>C859-A</v>
          </cell>
          <cell r="Q170">
            <v>3.8</v>
          </cell>
          <cell r="S170">
            <v>-12</v>
          </cell>
        </row>
        <row r="171">
          <cell r="C171">
            <v>12</v>
          </cell>
          <cell r="F171" t="str">
            <v/>
          </cell>
          <cell r="G171" t="str">
            <v/>
          </cell>
        </row>
        <row r="172">
          <cell r="B172" t="str">
            <v>3503CCA155</v>
          </cell>
          <cell r="D172">
            <v>900.96000000000015</v>
          </cell>
          <cell r="E172">
            <v>33902.989000000001</v>
          </cell>
          <cell r="F172" t="str">
            <v>-41944.89</v>
          </cell>
          <cell r="G172" t="str">
            <v>164942.22</v>
          </cell>
          <cell r="I172" t="str">
            <v>S</v>
          </cell>
          <cell r="K172" t="str">
            <v>Rígida</v>
          </cell>
          <cell r="L172" t="str">
            <v>C859-A</v>
          </cell>
          <cell r="Q172">
            <v>3.8</v>
          </cell>
          <cell r="S172">
            <v>-20</v>
          </cell>
        </row>
        <row r="173">
          <cell r="C173">
            <v>12</v>
          </cell>
          <cell r="F173" t="str">
            <v/>
          </cell>
          <cell r="G173" t="str">
            <v/>
          </cell>
        </row>
        <row r="174">
          <cell r="B174" t="str">
            <v>3503CCA157</v>
          </cell>
          <cell r="D174">
            <v>912.96000000000015</v>
          </cell>
          <cell r="E174">
            <v>33890.989000000001</v>
          </cell>
          <cell r="F174" t="str">
            <v>-41950.64</v>
          </cell>
          <cell r="G174" t="str">
            <v>164931.69</v>
          </cell>
          <cell r="I174" t="str">
            <v>S</v>
          </cell>
          <cell r="K174" t="str">
            <v>Rígida</v>
          </cell>
          <cell r="L174" t="str">
            <v>C859-A</v>
          </cell>
          <cell r="Q174">
            <v>3.8</v>
          </cell>
          <cell r="S174">
            <v>-12</v>
          </cell>
        </row>
        <row r="175">
          <cell r="C175">
            <v>12</v>
          </cell>
          <cell r="F175" t="str">
            <v/>
          </cell>
          <cell r="G175" t="str">
            <v/>
          </cell>
        </row>
        <row r="176">
          <cell r="B176" t="str">
            <v>3503CCA159</v>
          </cell>
          <cell r="D176">
            <v>924.96000000000015</v>
          </cell>
          <cell r="E176">
            <v>33878.989000000001</v>
          </cell>
          <cell r="F176" t="str">
            <v>-41956.40</v>
          </cell>
          <cell r="G176" t="str">
            <v>164921.16</v>
          </cell>
          <cell r="I176" t="str">
            <v>PF</v>
          </cell>
          <cell r="K176" t="str">
            <v>Rígida</v>
          </cell>
          <cell r="L176" t="str">
            <v>C863-A</v>
          </cell>
          <cell r="Q176">
            <v>3.8</v>
          </cell>
          <cell r="S176">
            <v>-4</v>
          </cell>
        </row>
        <row r="177">
          <cell r="C177">
            <v>12</v>
          </cell>
          <cell r="F177" t="str">
            <v/>
          </cell>
          <cell r="G177" t="str">
            <v/>
          </cell>
        </row>
        <row r="178">
          <cell r="B178" t="str">
            <v>3503CCA161</v>
          </cell>
          <cell r="D178">
            <v>936.96000000000015</v>
          </cell>
          <cell r="E178">
            <v>33866.989000000001</v>
          </cell>
          <cell r="F178" t="str">
            <v>-41962.15</v>
          </cell>
          <cell r="G178" t="str">
            <v>164910.63</v>
          </cell>
          <cell r="I178" t="str">
            <v>S</v>
          </cell>
          <cell r="K178" t="str">
            <v>Rígida</v>
          </cell>
          <cell r="L178" t="str">
            <v>C859-A</v>
          </cell>
          <cell r="Q178">
            <v>3.8</v>
          </cell>
          <cell r="S178" t="str">
            <v>+4</v>
          </cell>
        </row>
        <row r="179">
          <cell r="C179">
            <v>12</v>
          </cell>
          <cell r="F179" t="str">
            <v/>
          </cell>
          <cell r="G179" t="str">
            <v/>
          </cell>
        </row>
        <row r="180">
          <cell r="B180" t="str">
            <v>3503CCA163</v>
          </cell>
          <cell r="D180">
            <v>948.96000000000015</v>
          </cell>
          <cell r="E180">
            <v>33854.989000000001</v>
          </cell>
          <cell r="F180" t="str">
            <v>-41967.91</v>
          </cell>
          <cell r="G180" t="str">
            <v>164900.10</v>
          </cell>
          <cell r="I180" t="str">
            <v>S</v>
          </cell>
          <cell r="K180" t="str">
            <v>Rígida</v>
          </cell>
          <cell r="L180" t="str">
            <v>C859-A</v>
          </cell>
          <cell r="Q180">
            <v>3.8</v>
          </cell>
          <cell r="S180" t="str">
            <v>+12</v>
          </cell>
        </row>
        <row r="181">
          <cell r="C181">
            <v>12</v>
          </cell>
          <cell r="F181" t="str">
            <v/>
          </cell>
          <cell r="G181" t="str">
            <v/>
          </cell>
        </row>
        <row r="182">
          <cell r="B182" t="str">
            <v>3503CCA165</v>
          </cell>
          <cell r="D182">
            <v>960.96000000000015</v>
          </cell>
          <cell r="E182">
            <v>33856.989000000001</v>
          </cell>
          <cell r="F182" t="str">
            <v>-41974.02</v>
          </cell>
          <cell r="G182" t="str">
            <v>164889.93</v>
          </cell>
          <cell r="I182" t="str">
            <v>S</v>
          </cell>
          <cell r="K182" t="str">
            <v>Rígida</v>
          </cell>
          <cell r="L182" t="str">
            <v>C859-A</v>
          </cell>
          <cell r="Q182">
            <v>3.8</v>
          </cell>
          <cell r="S182" t="str">
            <v>+20</v>
          </cell>
        </row>
        <row r="183">
          <cell r="B183" t="str">
            <v>Inic. Est. Campo Alegre (00+966)</v>
          </cell>
          <cell r="C183">
            <v>10</v>
          </cell>
        </row>
        <row r="184">
          <cell r="B184" t="str">
            <v>3504CCA01</v>
          </cell>
          <cell r="D184">
            <v>971</v>
          </cell>
          <cell r="E184">
            <v>33844.989000000001</v>
          </cell>
          <cell r="F184" t="str">
            <v>-41978.81</v>
          </cell>
          <cell r="G184" t="str">
            <v>164880.15</v>
          </cell>
          <cell r="I184" t="str">
            <v>S</v>
          </cell>
          <cell r="K184" t="str">
            <v>Rígida</v>
          </cell>
          <cell r="L184" t="str">
            <v>C859-A</v>
          </cell>
          <cell r="Q184">
            <v>3.8</v>
          </cell>
          <cell r="S184" t="str">
            <v>+12</v>
          </cell>
        </row>
        <row r="185">
          <cell r="C185">
            <v>10</v>
          </cell>
          <cell r="F185" t="str">
            <v/>
          </cell>
          <cell r="G185" t="str">
            <v/>
          </cell>
        </row>
        <row r="186">
          <cell r="B186" t="str">
            <v>3504CCA03</v>
          </cell>
          <cell r="D186">
            <v>981</v>
          </cell>
          <cell r="E186">
            <v>33846.989000000001</v>
          </cell>
          <cell r="F186" t="str">
            <v>-41983.60</v>
          </cell>
          <cell r="G186" t="str">
            <v>164871.38</v>
          </cell>
          <cell r="I186" t="str">
            <v>S</v>
          </cell>
          <cell r="K186" t="str">
            <v>Rígida</v>
          </cell>
          <cell r="L186" t="str">
            <v>C859-A</v>
          </cell>
          <cell r="Q186">
            <v>3.8</v>
          </cell>
          <cell r="S186" t="str">
            <v>+4</v>
          </cell>
        </row>
        <row r="187">
          <cell r="B187" t="str">
            <v>Inic. Anden Campo Alegre</v>
          </cell>
          <cell r="C187">
            <v>10</v>
          </cell>
          <cell r="F187" t="str">
            <v/>
          </cell>
          <cell r="G187" t="str">
            <v/>
          </cell>
        </row>
        <row r="188">
          <cell r="B188" t="str">
            <v>3504CCA05</v>
          </cell>
          <cell r="D188">
            <v>991</v>
          </cell>
          <cell r="E188">
            <v>33834.989000000001</v>
          </cell>
          <cell r="F188" t="str">
            <v>-41988.40</v>
          </cell>
          <cell r="G188" t="str">
            <v>164862.60</v>
          </cell>
          <cell r="I188" t="str">
            <v>S</v>
          </cell>
          <cell r="K188" t="str">
            <v>Rígida</v>
          </cell>
          <cell r="L188" t="str">
            <v>Parafil</v>
          </cell>
          <cell r="Q188">
            <v>3.8</v>
          </cell>
          <cell r="S188">
            <v>-4</v>
          </cell>
        </row>
        <row r="189">
          <cell r="C189">
            <v>10</v>
          </cell>
        </row>
        <row r="190">
          <cell r="B190" t="str">
            <v>3504CCA07</v>
          </cell>
          <cell r="D190">
            <v>1001</v>
          </cell>
          <cell r="E190">
            <v>33836.989000000001</v>
          </cell>
          <cell r="F190" t="str">
            <v>-41993.20</v>
          </cell>
          <cell r="G190" t="str">
            <v>164853.83</v>
          </cell>
          <cell r="I190" t="str">
            <v>S</v>
          </cell>
          <cell r="K190" t="str">
            <v>Rígida</v>
          </cell>
          <cell r="L190" t="str">
            <v>Parafil</v>
          </cell>
          <cell r="Q190">
            <v>3.8</v>
          </cell>
          <cell r="S190">
            <v>-12</v>
          </cell>
        </row>
        <row r="191">
          <cell r="C191">
            <v>10</v>
          </cell>
          <cell r="F191" t="str">
            <v/>
          </cell>
          <cell r="G191" t="str">
            <v/>
          </cell>
        </row>
        <row r="192">
          <cell r="B192" t="str">
            <v>3504CCA09</v>
          </cell>
          <cell r="D192">
            <v>1011</v>
          </cell>
          <cell r="E192">
            <v>33824.989000000001</v>
          </cell>
          <cell r="F192" t="str">
            <v>-41997.99</v>
          </cell>
          <cell r="G192" t="str">
            <v>164848.45</v>
          </cell>
          <cell r="I192" t="str">
            <v>S</v>
          </cell>
          <cell r="K192" t="str">
            <v>Rígida</v>
          </cell>
          <cell r="L192" t="str">
            <v>Parafil</v>
          </cell>
          <cell r="Q192">
            <v>3.8</v>
          </cell>
          <cell r="S192">
            <v>-20</v>
          </cell>
        </row>
        <row r="193">
          <cell r="C193">
            <v>10</v>
          </cell>
          <cell r="F193" t="str">
            <v/>
          </cell>
          <cell r="G193" t="str">
            <v/>
          </cell>
        </row>
        <row r="194">
          <cell r="B194" t="str">
            <v>3504CCA11</v>
          </cell>
          <cell r="D194">
            <v>1020.9600000000002</v>
          </cell>
          <cell r="E194">
            <v>33826.989000000001</v>
          </cell>
          <cell r="F194" t="str">
            <v>-42002.79</v>
          </cell>
          <cell r="G194" t="str">
            <v>164836.28</v>
          </cell>
          <cell r="I194" t="str">
            <v>S</v>
          </cell>
          <cell r="K194" t="str">
            <v>Rígida</v>
          </cell>
          <cell r="L194" t="str">
            <v>Parafil</v>
          </cell>
          <cell r="Q194">
            <v>3.8</v>
          </cell>
          <cell r="S194">
            <v>-12</v>
          </cell>
        </row>
        <row r="195">
          <cell r="C195">
            <v>10</v>
          </cell>
          <cell r="F195" t="str">
            <v/>
          </cell>
          <cell r="G195" t="str">
            <v/>
          </cell>
        </row>
        <row r="196">
          <cell r="B196" t="str">
            <v>3504CCA13</v>
          </cell>
          <cell r="D196">
            <v>1031</v>
          </cell>
          <cell r="E196">
            <v>33814.989000000001</v>
          </cell>
          <cell r="F196" t="str">
            <v>-42007.59</v>
          </cell>
          <cell r="G196" t="str">
            <v>164827.50</v>
          </cell>
          <cell r="I196" t="str">
            <v>S</v>
          </cell>
          <cell r="K196" t="str">
            <v>Rígida</v>
          </cell>
          <cell r="L196" t="str">
            <v>Parafil</v>
          </cell>
          <cell r="Q196">
            <v>3.8</v>
          </cell>
          <cell r="S196">
            <v>-4</v>
          </cell>
        </row>
        <row r="197">
          <cell r="C197">
            <v>10</v>
          </cell>
          <cell r="F197" t="str">
            <v/>
          </cell>
          <cell r="G197" t="str">
            <v/>
          </cell>
        </row>
        <row r="198">
          <cell r="B198" t="str">
            <v>3504CCA15</v>
          </cell>
          <cell r="D198">
            <v>1041</v>
          </cell>
          <cell r="E198">
            <v>33816.989000000001</v>
          </cell>
          <cell r="F198" t="str">
            <v>-42012.38</v>
          </cell>
          <cell r="G198" t="str">
            <v>164818.73</v>
          </cell>
          <cell r="I198" t="str">
            <v>S</v>
          </cell>
          <cell r="K198" t="str">
            <v>Rígida</v>
          </cell>
          <cell r="L198" t="str">
            <v>Parafil</v>
          </cell>
          <cell r="Q198">
            <v>3.8</v>
          </cell>
          <cell r="S198" t="str">
            <v>+4</v>
          </cell>
        </row>
        <row r="199">
          <cell r="C199">
            <v>10</v>
          </cell>
          <cell r="F199" t="str">
            <v/>
          </cell>
          <cell r="G199" t="str">
            <v/>
          </cell>
        </row>
        <row r="200">
          <cell r="B200" t="str">
            <v>3504CCA17</v>
          </cell>
          <cell r="D200">
            <v>1051</v>
          </cell>
          <cell r="E200">
            <v>33804.989000000001</v>
          </cell>
          <cell r="F200" t="str">
            <v>-42017.18</v>
          </cell>
          <cell r="G200" t="str">
            <v>164809.95</v>
          </cell>
          <cell r="I200" t="str">
            <v>S</v>
          </cell>
          <cell r="K200" t="str">
            <v>Rígida</v>
          </cell>
          <cell r="L200" t="str">
            <v>Parafil</v>
          </cell>
          <cell r="Q200">
            <v>3.8</v>
          </cell>
          <cell r="S200" t="str">
            <v>+12</v>
          </cell>
        </row>
        <row r="201">
          <cell r="B201" t="str">
            <v>Fin. Anden Campo Alegre</v>
          </cell>
          <cell r="C201">
            <v>10</v>
          </cell>
        </row>
        <row r="202">
          <cell r="B202" t="str">
            <v>3504CCA19</v>
          </cell>
          <cell r="D202">
            <v>1061</v>
          </cell>
          <cell r="E202">
            <v>33806.989000000001</v>
          </cell>
          <cell r="F202" t="str">
            <v>-42021.97</v>
          </cell>
          <cell r="G202" t="str">
            <v>164801.18</v>
          </cell>
          <cell r="I202" t="str">
            <v>SE</v>
          </cell>
          <cell r="K202" t="str">
            <v>Rígida</v>
          </cell>
          <cell r="L202" t="str">
            <v>C860-A</v>
          </cell>
          <cell r="Q202">
            <v>3.8</v>
          </cell>
          <cell r="S202">
            <v>-12</v>
          </cell>
          <cell r="T202" t="str">
            <v>+20</v>
          </cell>
          <cell r="U202" t="str">
            <v>Cantón 290 m</v>
          </cell>
        </row>
        <row r="203">
          <cell r="C203">
            <v>10</v>
          </cell>
          <cell r="F203" t="str">
            <v/>
          </cell>
          <cell r="G203" t="str">
            <v/>
          </cell>
          <cell r="U203" t="str">
            <v>Seccionamento</v>
          </cell>
        </row>
        <row r="204">
          <cell r="B204" t="str">
            <v>3504CCA21</v>
          </cell>
          <cell r="D204">
            <v>1071</v>
          </cell>
          <cell r="E204">
            <v>33794.989000000001</v>
          </cell>
          <cell r="F204" t="str">
            <v>-42026.77</v>
          </cell>
          <cell r="G204" t="str">
            <v>164792.40</v>
          </cell>
          <cell r="I204" t="str">
            <v>SE</v>
          </cell>
          <cell r="K204" t="str">
            <v>Rígida</v>
          </cell>
          <cell r="L204" t="str">
            <v>C860-A</v>
          </cell>
          <cell r="Q204">
            <v>3.8</v>
          </cell>
          <cell r="S204">
            <v>-20</v>
          </cell>
          <cell r="T204" t="str">
            <v>+12</v>
          </cell>
          <cell r="U204" t="str">
            <v>Cantón 457 m</v>
          </cell>
        </row>
        <row r="205">
          <cell r="C205">
            <v>10</v>
          </cell>
          <cell r="F205" t="str">
            <v/>
          </cell>
          <cell r="G205" t="str">
            <v/>
          </cell>
          <cell r="N205" t="str">
            <v/>
          </cell>
        </row>
        <row r="206">
          <cell r="B206" t="str">
            <v>3504CCA23</v>
          </cell>
          <cell r="D206">
            <v>1081</v>
          </cell>
          <cell r="E206">
            <v>33798.289000000004</v>
          </cell>
          <cell r="F206" t="str">
            <v>-42031.57</v>
          </cell>
          <cell r="G206" t="str">
            <v>164783.63</v>
          </cell>
          <cell r="I206" t="str">
            <v>S</v>
          </cell>
          <cell r="K206" t="str">
            <v>Rígida</v>
          </cell>
          <cell r="L206" t="str">
            <v>C859-A</v>
          </cell>
          <cell r="Q206">
            <v>3.8</v>
          </cell>
          <cell r="S206">
            <v>-12</v>
          </cell>
        </row>
        <row r="207">
          <cell r="C207">
            <v>8.6999999999999993</v>
          </cell>
          <cell r="F207" t="str">
            <v/>
          </cell>
          <cell r="G207" t="str">
            <v/>
          </cell>
        </row>
        <row r="208">
          <cell r="B208" t="str">
            <v>3504CCA25</v>
          </cell>
          <cell r="D208">
            <v>1089.7</v>
          </cell>
          <cell r="E208">
            <v>33785.489000000001</v>
          </cell>
          <cell r="F208" t="str">
            <v>-42031.57</v>
          </cell>
          <cell r="G208" t="str">
            <v>164783.63</v>
          </cell>
          <cell r="I208" t="str">
            <v>S</v>
          </cell>
          <cell r="K208" t="str">
            <v>Rígida</v>
          </cell>
          <cell r="L208" t="str">
            <v>C859-A</v>
          </cell>
          <cell r="Q208">
            <v>3.8</v>
          </cell>
          <cell r="S208">
            <v>-20</v>
          </cell>
        </row>
        <row r="209">
          <cell r="C209">
            <v>9.5</v>
          </cell>
          <cell r="F209" t="str">
            <v/>
          </cell>
          <cell r="G209" t="str">
            <v/>
          </cell>
        </row>
        <row r="210">
          <cell r="B210" t="str">
            <v>3504CCA27</v>
          </cell>
          <cell r="D210">
            <v>1099.1600000000001</v>
          </cell>
          <cell r="E210">
            <v>33787.489000000001</v>
          </cell>
          <cell r="F210" t="str">
            <v>-42039.94</v>
          </cell>
          <cell r="G210" t="str">
            <v>164768.31</v>
          </cell>
          <cell r="I210" t="str">
            <v>S</v>
          </cell>
          <cell r="K210" t="str">
            <v>Rígida</v>
          </cell>
          <cell r="L210" t="str">
            <v>C859-A</v>
          </cell>
          <cell r="Q210">
            <v>3.8</v>
          </cell>
          <cell r="S210">
            <v>-12</v>
          </cell>
        </row>
        <row r="211">
          <cell r="C211">
            <v>10.8</v>
          </cell>
          <cell r="F211" t="str">
            <v/>
          </cell>
          <cell r="G211" t="str">
            <v/>
          </cell>
        </row>
        <row r="212">
          <cell r="B212" t="str">
            <v>3504CCA29</v>
          </cell>
          <cell r="D212">
            <v>1110</v>
          </cell>
          <cell r="E212">
            <v>33774.889000000003</v>
          </cell>
          <cell r="F212" t="str">
            <v>-42045.12</v>
          </cell>
          <cell r="G212" t="str">
            <v>164758.84</v>
          </cell>
          <cell r="I212" t="str">
            <v>S</v>
          </cell>
          <cell r="K212" t="str">
            <v>Rígida</v>
          </cell>
          <cell r="L212" t="str">
            <v>C859-A</v>
          </cell>
          <cell r="Q212">
            <v>3.8</v>
          </cell>
          <cell r="S212">
            <v>-4</v>
          </cell>
        </row>
        <row r="213">
          <cell r="B213" t="str">
            <v>Fin Est. Campo Alegre (1+110)Fin. Soterra.</v>
          </cell>
          <cell r="C213">
            <v>10.6</v>
          </cell>
          <cell r="F213" t="str">
            <v/>
          </cell>
          <cell r="G213" t="str">
            <v/>
          </cell>
          <cell r="N213" t="str">
            <v/>
          </cell>
          <cell r="U213" t="str">
            <v>Transição Catenaria</v>
          </cell>
          <cell r="V213" t="str">
            <v>Disp. Transic.</v>
          </cell>
        </row>
        <row r="214">
          <cell r="B214" t="str">
            <v>3505CCA01A</v>
          </cell>
          <cell r="D214">
            <v>1120.2</v>
          </cell>
          <cell r="E214">
            <v>33764.289000000004</v>
          </cell>
          <cell r="F214" t="str">
            <v>-42048.72</v>
          </cell>
          <cell r="G214" t="str">
            <v>164749.20</v>
          </cell>
          <cell r="I214" t="str">
            <v>Elev.</v>
          </cell>
          <cell r="J214" t="str">
            <v>1,5</v>
          </cell>
          <cell r="K214" t="str">
            <v>Consola</v>
          </cell>
          <cell r="L214" t="str">
            <v>Pendulo 140</v>
          </cell>
          <cell r="M214" t="str">
            <v>Anc. Sot.</v>
          </cell>
          <cell r="N214" t="str">
            <v>B. Fun.</v>
          </cell>
          <cell r="Q214">
            <v>3.83</v>
          </cell>
          <cell r="S214" t="str">
            <v>+10</v>
          </cell>
        </row>
        <row r="215">
          <cell r="B215" t="str">
            <v>3505CCA01</v>
          </cell>
          <cell r="D215">
            <v>1120.5999999999999</v>
          </cell>
          <cell r="E215">
            <v>33764.289000000004</v>
          </cell>
          <cell r="F215" t="str">
            <v>-42051.57</v>
          </cell>
          <cell r="G215" t="str">
            <v>164750.27</v>
          </cell>
          <cell r="I215" t="str">
            <v>Elev.</v>
          </cell>
          <cell r="J215" t="str">
            <v>1,5</v>
          </cell>
          <cell r="K215" t="str">
            <v>Consola</v>
          </cell>
          <cell r="L215" t="str">
            <v>Pendulo 140</v>
          </cell>
          <cell r="M215" t="str">
            <v>Anc. Sot.</v>
          </cell>
          <cell r="N215" t="str">
            <v>B. Fun.</v>
          </cell>
          <cell r="Q215">
            <v>3.8</v>
          </cell>
          <cell r="S215">
            <v>-10</v>
          </cell>
        </row>
        <row r="216">
          <cell r="C216">
            <v>10.6</v>
          </cell>
        </row>
        <row r="217">
          <cell r="B217" t="str">
            <v>3505CCA03A</v>
          </cell>
          <cell r="D217">
            <v>1131.1600000000001</v>
          </cell>
          <cell r="E217">
            <v>33753.689000000006</v>
          </cell>
          <cell r="F217" t="str">
            <v>-42054.13</v>
          </cell>
          <cell r="G217" t="str">
            <v>164739.70</v>
          </cell>
          <cell r="I217" t="str">
            <v>PA30</v>
          </cell>
          <cell r="J217" t="str">
            <v>1,5</v>
          </cell>
          <cell r="K217" t="str">
            <v>Consola</v>
          </cell>
          <cell r="L217" t="str">
            <v>Pendulo 140</v>
          </cell>
          <cell r="M217" t="str">
            <v>Anc. Sot.</v>
          </cell>
          <cell r="N217" t="str">
            <v>B. Fun.</v>
          </cell>
          <cell r="Q217">
            <v>3.8</v>
          </cell>
          <cell r="S217">
            <v>-10</v>
          </cell>
        </row>
        <row r="218">
          <cell r="B218" t="str">
            <v>3505CCA03</v>
          </cell>
          <cell r="D218">
            <v>1131.1600000000001</v>
          </cell>
          <cell r="E218">
            <v>33753.689000000006</v>
          </cell>
          <cell r="F218" t="str">
            <v>-42056.72</v>
          </cell>
          <cell r="G218" t="str">
            <v>164741.07</v>
          </cell>
          <cell r="I218" t="str">
            <v>PA30</v>
          </cell>
          <cell r="J218" t="str">
            <v>1,5</v>
          </cell>
          <cell r="K218" t="str">
            <v>Consola</v>
          </cell>
          <cell r="L218" t="str">
            <v>Pendulo 140</v>
          </cell>
          <cell r="M218" t="str">
            <v>Anc. Sot.</v>
          </cell>
          <cell r="N218" t="str">
            <v>B. Fun.</v>
          </cell>
          <cell r="Q218">
            <v>3.8</v>
          </cell>
          <cell r="S218">
            <v>-20</v>
          </cell>
        </row>
        <row r="219">
          <cell r="C219">
            <v>7.9</v>
          </cell>
        </row>
        <row r="220">
          <cell r="B220" t="str">
            <v>3505CCA05</v>
          </cell>
          <cell r="D220">
            <v>1139.0600000000002</v>
          </cell>
          <cell r="E220">
            <v>33745.789000000004</v>
          </cell>
          <cell r="F220" t="str">
            <v>-42056.79</v>
          </cell>
          <cell r="G220" t="str">
            <v>164731.97</v>
          </cell>
          <cell r="I220" t="str">
            <v>Aislad.</v>
          </cell>
          <cell r="J220" t="str">
            <v>2,65</v>
          </cell>
          <cell r="K220" t="str">
            <v>Funicular</v>
          </cell>
          <cell r="L220" t="str">
            <v>-</v>
          </cell>
          <cell r="M220" t="str">
            <v>Fixação Muro</v>
          </cell>
          <cell r="Q220">
            <v>3.8</v>
          </cell>
          <cell r="Z220" t="str">
            <v>3505CCA05</v>
          </cell>
          <cell r="AA220" t="str">
            <v>Ø300/Ø180/e16</v>
          </cell>
          <cell r="AB220" t="str">
            <v>3505CCA06</v>
          </cell>
          <cell r="AC220" t="str">
            <v>Ø300/Ø180/e16</v>
          </cell>
          <cell r="AD220" t="str">
            <v>2,65</v>
          </cell>
          <cell r="AE220" t="str">
            <v>3,1</v>
          </cell>
          <cell r="AF220" t="str">
            <v>2,65</v>
          </cell>
          <cell r="AG220" t="str">
            <v>3,80</v>
          </cell>
          <cell r="AK220">
            <v>4400</v>
          </cell>
          <cell r="AL220">
            <v>4400</v>
          </cell>
          <cell r="BD220">
            <v>7510</v>
          </cell>
          <cell r="BW220" t="str">
            <v>C.F.23</v>
          </cell>
        </row>
        <row r="221">
          <cell r="C221">
            <v>7.9</v>
          </cell>
        </row>
        <row r="222">
          <cell r="B222" t="str">
            <v>3505CCA07</v>
          </cell>
          <cell r="D222">
            <v>1146.9600000000003</v>
          </cell>
          <cell r="E222">
            <v>33737.889000000003</v>
          </cell>
          <cell r="F222" t="str">
            <v>-42060.58</v>
          </cell>
          <cell r="G222" t="str">
            <v>164725.03</v>
          </cell>
          <cell r="I222" t="str">
            <v>S</v>
          </cell>
          <cell r="J222" t="str">
            <v>2,65</v>
          </cell>
          <cell r="K222" t="str">
            <v>Funicular</v>
          </cell>
          <cell r="L222" t="str">
            <v>-</v>
          </cell>
          <cell r="M222" t="str">
            <v>Fixação Muro</v>
          </cell>
          <cell r="N222" t="str">
            <v>Delta</v>
          </cell>
          <cell r="Q222">
            <v>3.8</v>
          </cell>
          <cell r="S222" t="str">
            <v>+20</v>
          </cell>
          <cell r="Z222" t="str">
            <v>3505CCA07</v>
          </cell>
          <cell r="AA222" t="str">
            <v>Fixagao Muro</v>
          </cell>
          <cell r="AB222" t="str">
            <v>3505CCA08</v>
          </cell>
          <cell r="AC222" t="str">
            <v>Fixagao Muro</v>
          </cell>
          <cell r="AD222" t="str">
            <v>2,65</v>
          </cell>
          <cell r="AE222" t="str">
            <v>3,1</v>
          </cell>
          <cell r="AF222" t="str">
            <v>2,65</v>
          </cell>
          <cell r="AG222" t="str">
            <v>3,80</v>
          </cell>
          <cell r="AH222" t="str">
            <v>3,80</v>
          </cell>
          <cell r="AI222">
            <v>0.2</v>
          </cell>
          <cell r="AJ222">
            <v>10</v>
          </cell>
          <cell r="AK222">
            <v>4183</v>
          </cell>
          <cell r="AL222">
            <v>4189</v>
          </cell>
          <cell r="AM222">
            <v>2371</v>
          </cell>
          <cell r="AN222">
            <v>3350</v>
          </cell>
          <cell r="AO222" t="str">
            <v>2,52</v>
          </cell>
          <cell r="AP222" t="str">
            <v>7,13%</v>
          </cell>
          <cell r="AQ222" t="str">
            <v>7,13%</v>
          </cell>
          <cell r="AS222" t="str">
            <v>3,80</v>
          </cell>
          <cell r="AU222" t="str">
            <v>0,10</v>
          </cell>
          <cell r="AV222">
            <v>4356</v>
          </cell>
          <cell r="AW222">
            <v>4039</v>
          </cell>
          <cell r="AX222">
            <v>5445</v>
          </cell>
          <cell r="AZ222" t="str">
            <v>0,085</v>
          </cell>
          <cell r="BA222" t="str">
            <v>15,00%</v>
          </cell>
          <cell r="BB222" t="str">
            <v>8,25%</v>
          </cell>
          <cell r="BC222" t="str">
            <v>SIM</v>
          </cell>
          <cell r="BW222" t="str">
            <v>C.F.9</v>
          </cell>
        </row>
        <row r="223">
          <cell r="C223">
            <v>11</v>
          </cell>
        </row>
        <row r="224">
          <cell r="B224" t="str">
            <v>3505CCA09</v>
          </cell>
          <cell r="D224">
            <v>1158</v>
          </cell>
          <cell r="E224">
            <v>33726.889000000003</v>
          </cell>
          <cell r="F224" t="str">
            <v>-42066.10</v>
          </cell>
          <cell r="G224" t="str">
            <v>164715.52</v>
          </cell>
          <cell r="H224" t="str">
            <v>Clo</v>
          </cell>
          <cell r="I224" t="str">
            <v>S</v>
          </cell>
          <cell r="J224" t="str">
            <v>2,2</v>
          </cell>
          <cell r="K224" t="str">
            <v>Funicular</v>
          </cell>
          <cell r="L224" t="str">
            <v>HEA 240</v>
          </cell>
          <cell r="M224" t="str">
            <v>Poste parede</v>
          </cell>
          <cell r="N224" t="str">
            <v>Delta</v>
          </cell>
          <cell r="Q224">
            <v>3.8</v>
          </cell>
          <cell r="S224" t="str">
            <v>-5</v>
          </cell>
          <cell r="Z224" t="str">
            <v>3505CCA09</v>
          </cell>
          <cell r="AA224" t="str">
            <v>Poste parede</v>
          </cell>
          <cell r="AB224" t="str">
            <v>3505CCA10</v>
          </cell>
          <cell r="AC224" t="str">
            <v>Poste parede</v>
          </cell>
          <cell r="AD224" t="str">
            <v>2,35</v>
          </cell>
          <cell r="AE224" t="str">
            <v>3,1</v>
          </cell>
          <cell r="AF224" t="str">
            <v>2,35</v>
          </cell>
          <cell r="AG224" t="str">
            <v>3,80</v>
          </cell>
          <cell r="AH224" t="str">
            <v>3,80</v>
          </cell>
          <cell r="AI224" t="str">
            <v>-0,05</v>
          </cell>
          <cell r="AJ224" t="str">
            <v>-0,05</v>
          </cell>
          <cell r="AK224">
            <v>4222</v>
          </cell>
          <cell r="AL224">
            <v>4230</v>
          </cell>
          <cell r="AM224">
            <v>2080</v>
          </cell>
          <cell r="AN224">
            <v>3350</v>
          </cell>
          <cell r="AO224">
            <v>2161</v>
          </cell>
          <cell r="AP224" t="str">
            <v>9,89%</v>
          </cell>
          <cell r="AQ224" t="str">
            <v>9,89%</v>
          </cell>
          <cell r="AS224" t="str">
            <v>3,84</v>
          </cell>
          <cell r="AU224" t="str">
            <v>-0,15</v>
          </cell>
          <cell r="AV224">
            <v>4362</v>
          </cell>
          <cell r="AW224">
            <v>4270</v>
          </cell>
          <cell r="AX224">
            <v>4886</v>
          </cell>
          <cell r="AZ224">
            <v>1775</v>
          </cell>
          <cell r="BA224" t="str">
            <v>15,00%</v>
          </cell>
          <cell r="BB224" t="str">
            <v>15,00%</v>
          </cell>
          <cell r="BW224" t="str">
            <v>C.F.8.A</v>
          </cell>
        </row>
        <row r="225">
          <cell r="C225">
            <v>15.8</v>
          </cell>
        </row>
        <row r="226">
          <cell r="B226" t="str">
            <v>3505CCA11</v>
          </cell>
          <cell r="D226">
            <v>1173.8</v>
          </cell>
          <cell r="E226">
            <v>33711.089</v>
          </cell>
          <cell r="F226" t="str">
            <v>-42073.40</v>
          </cell>
          <cell r="G226" t="str">
            <v>164701.69</v>
          </cell>
          <cell r="H226">
            <v>180</v>
          </cell>
          <cell r="I226" t="str">
            <v>S</v>
          </cell>
          <cell r="J226" t="str">
            <v>2,2</v>
          </cell>
          <cell r="K226" t="str">
            <v>Funicular</v>
          </cell>
          <cell r="L226" t="str">
            <v>HEA 240</v>
          </cell>
          <cell r="M226" t="str">
            <v>Poste parede</v>
          </cell>
          <cell r="N226" t="str">
            <v>B. Fun.</v>
          </cell>
          <cell r="Q226">
            <v>3.84</v>
          </cell>
          <cell r="S226">
            <v>-20</v>
          </cell>
          <cell r="Z226" t="str">
            <v>3505CCA11</v>
          </cell>
          <cell r="AA226" t="str">
            <v>HEA240</v>
          </cell>
          <cell r="AB226" t="str">
            <v>3505CCA12</v>
          </cell>
          <cell r="AC226" t="str">
            <v>HEA240</v>
          </cell>
          <cell r="AD226" t="str">
            <v>2,2</v>
          </cell>
          <cell r="AE226" t="str">
            <v>3,1</v>
          </cell>
          <cell r="AF226" t="str">
            <v>2,2</v>
          </cell>
          <cell r="AG226" t="str">
            <v>3,84</v>
          </cell>
          <cell r="AH226" t="str">
            <v>3,84</v>
          </cell>
          <cell r="AI226" t="str">
            <v>-0,20</v>
          </cell>
          <cell r="AJ226" t="str">
            <v>-0,20</v>
          </cell>
          <cell r="AK226">
            <v>4636</v>
          </cell>
          <cell r="AL226">
            <v>4046</v>
          </cell>
          <cell r="AM226">
            <v>2459</v>
          </cell>
          <cell r="AN226">
            <v>2859</v>
          </cell>
          <cell r="AO226" t="str">
            <v>0,401</v>
          </cell>
          <cell r="AP226" t="str">
            <v>30,00%</v>
          </cell>
          <cell r="AQ226" t="str">
            <v>10,64%</v>
          </cell>
          <cell r="AS226" t="str">
            <v>3,89</v>
          </cell>
          <cell r="AU226" t="str">
            <v>-0,30</v>
          </cell>
          <cell r="AV226" t="str">
            <v>4,80</v>
          </cell>
          <cell r="AW226" t="str">
            <v>4,12</v>
          </cell>
          <cell r="AX226">
            <v>5369</v>
          </cell>
          <cell r="AZ226" t="str">
            <v>0,311</v>
          </cell>
          <cell r="BA226" t="str">
            <v>15,00%</v>
          </cell>
          <cell r="BB226" t="str">
            <v>18,92%</v>
          </cell>
          <cell r="BW226" t="str">
            <v>C.F.16.B</v>
          </cell>
        </row>
        <row r="227">
          <cell r="C227">
            <v>20</v>
          </cell>
        </row>
        <row r="228">
          <cell r="B228" t="str">
            <v>3505CCA13</v>
          </cell>
          <cell r="D228">
            <v>1193.7600000000002</v>
          </cell>
          <cell r="E228">
            <v>33691.089</v>
          </cell>
          <cell r="F228" t="str">
            <v>-42081.75</v>
          </cell>
          <cell r="G228" t="str">
            <v>164683.84</v>
          </cell>
          <cell r="H228">
            <v>180</v>
          </cell>
          <cell r="I228" t="str">
            <v>S</v>
          </cell>
          <cell r="J228" t="str">
            <v>2,2</v>
          </cell>
          <cell r="K228" t="str">
            <v>Funicular</v>
          </cell>
          <cell r="L228" t="str">
            <v>Ø300/Ø180/e16</v>
          </cell>
          <cell r="M228" t="str">
            <v>M2</v>
          </cell>
          <cell r="N228" t="str">
            <v>B. Fun.</v>
          </cell>
          <cell r="Q228">
            <v>3.96</v>
          </cell>
          <cell r="S228">
            <v>-20</v>
          </cell>
          <cell r="Z228" t="str">
            <v>3505CCA13</v>
          </cell>
          <cell r="AA228" t="str">
            <v>Ø300/Ø180/e16</v>
          </cell>
          <cell r="AB228" t="str">
            <v>3505CCA14</v>
          </cell>
          <cell r="AC228" t="str">
            <v>Ø300/Ø180/e16</v>
          </cell>
          <cell r="AD228" t="str">
            <v>2,2</v>
          </cell>
          <cell r="AE228" t="str">
            <v>3,1</v>
          </cell>
          <cell r="AF228" t="str">
            <v>2,2</v>
          </cell>
          <cell r="AG228" t="str">
            <v>3,96</v>
          </cell>
          <cell r="AH228" t="str">
            <v>3,96</v>
          </cell>
          <cell r="AI228" t="str">
            <v>0,20</v>
          </cell>
          <cell r="AJ228" t="str">
            <v>0,20</v>
          </cell>
          <cell r="AK228">
            <v>4595</v>
          </cell>
          <cell r="AL228">
            <v>4144</v>
          </cell>
          <cell r="AM228">
            <v>2201</v>
          </cell>
          <cell r="AN228">
            <v>2859</v>
          </cell>
          <cell r="AO228" t="str">
            <v>0,655</v>
          </cell>
          <cell r="AP228" t="str">
            <v>25,00%</v>
          </cell>
          <cell r="AQ228" t="str">
            <v>10,29%</v>
          </cell>
          <cell r="AV228" t="str">
            <v>-</v>
          </cell>
          <cell r="AW228">
            <v>4060</v>
          </cell>
          <cell r="BW228" t="str">
            <v>C.F.7.B</v>
          </cell>
        </row>
        <row r="229">
          <cell r="C229">
            <v>19.8</v>
          </cell>
        </row>
        <row r="230">
          <cell r="B230" t="str">
            <v>3505CCA15</v>
          </cell>
          <cell r="D230">
            <v>1213.5600000000002</v>
          </cell>
          <cell r="E230">
            <v>33671.288999999997</v>
          </cell>
          <cell r="F230" t="str">
            <v>-42087.35</v>
          </cell>
          <cell r="G230" t="str">
            <v>164664.93</v>
          </cell>
          <cell r="H230" t="str">
            <v>Clo</v>
          </cell>
          <cell r="I230" t="str">
            <v>S</v>
          </cell>
          <cell r="J230" t="str">
            <v>2,2</v>
          </cell>
          <cell r="K230" t="str">
            <v>Funicular</v>
          </cell>
          <cell r="L230" t="str">
            <v>Ø300/Ø180/e16</v>
          </cell>
          <cell r="M230" t="str">
            <v>M2</v>
          </cell>
          <cell r="N230" t="str">
            <v>B. Fun.</v>
          </cell>
          <cell r="Q230">
            <v>4.08</v>
          </cell>
          <cell r="S230">
            <v>-20</v>
          </cell>
          <cell r="Z230" t="str">
            <v>3505CCA15</v>
          </cell>
          <cell r="AA230" t="str">
            <v>Ø300/Ø180/e16</v>
          </cell>
          <cell r="AB230" t="str">
            <v>3505CCA16</v>
          </cell>
          <cell r="AC230" t="str">
            <v>Ø300/Ø180/e16</v>
          </cell>
          <cell r="AD230" t="str">
            <v>2,2</v>
          </cell>
          <cell r="AE230" t="str">
            <v>3,1</v>
          </cell>
          <cell r="AF230" t="str">
            <v>2,2</v>
          </cell>
          <cell r="AG230" t="str">
            <v>4,08</v>
          </cell>
          <cell r="AH230" t="str">
            <v>4,08</v>
          </cell>
          <cell r="AI230" t="str">
            <v>-0,20</v>
          </cell>
          <cell r="AJ230" t="str">
            <v>-0,20</v>
          </cell>
          <cell r="AK230">
            <v>4609</v>
          </cell>
          <cell r="AL230">
            <v>4274</v>
          </cell>
          <cell r="AM230">
            <v>2155</v>
          </cell>
          <cell r="AN230">
            <v>2859</v>
          </cell>
          <cell r="AO230" t="str">
            <v>0,656</v>
          </cell>
          <cell r="AP230" t="str">
            <v>20,00%</v>
          </cell>
          <cell r="AQ230" t="str">
            <v>11,63%</v>
          </cell>
          <cell r="BW230" t="str">
            <v>C.F.5.B</v>
          </cell>
        </row>
        <row r="231">
          <cell r="B231" t="str">
            <v>Inic. Ponte (01+225)</v>
          </cell>
          <cell r="C231">
            <v>20</v>
          </cell>
          <cell r="N231" t="str">
            <v/>
          </cell>
        </row>
        <row r="232">
          <cell r="B232" t="str">
            <v>3600CCA01</v>
          </cell>
          <cell r="D232">
            <v>1233.4600000000003</v>
          </cell>
          <cell r="E232">
            <v>33651.288999999997</v>
          </cell>
          <cell r="F232" t="str">
            <v>-42092.54</v>
          </cell>
          <cell r="G232" t="str">
            <v>164645.62</v>
          </cell>
          <cell r="H232" t="str">
            <v>Clo</v>
          </cell>
          <cell r="I232" t="str">
            <v>S</v>
          </cell>
          <cell r="J232">
            <v>1.77</v>
          </cell>
          <cell r="K232" t="str">
            <v>Funicular</v>
          </cell>
          <cell r="L232" t="str">
            <v>Ø300/Ø180/e16</v>
          </cell>
          <cell r="M232" t="str">
            <v>Anc. Corrente</v>
          </cell>
          <cell r="N232" t="str">
            <v>Delta</v>
          </cell>
          <cell r="Q232">
            <v>4.2</v>
          </cell>
          <cell r="S232" t="str">
            <v>+20</v>
          </cell>
          <cell r="Z232" t="str">
            <v>3600CCA01</v>
          </cell>
          <cell r="AA232" t="str">
            <v>Ø300/Ø180/e16</v>
          </cell>
          <cell r="AB232" t="str">
            <v>3600CCA02</v>
          </cell>
          <cell r="AC232" t="str">
            <v>Ø300/Ø180/e16</v>
          </cell>
          <cell r="AD232" t="str">
            <v>1,77</v>
          </cell>
          <cell r="AE232" t="str">
            <v>3,1</v>
          </cell>
          <cell r="AF232" t="str">
            <v>1,77</v>
          </cell>
          <cell r="AG232" t="str">
            <v>4,20</v>
          </cell>
          <cell r="AH232" t="str">
            <v>4,20</v>
          </cell>
          <cell r="AI232" t="str">
            <v>0,20</v>
          </cell>
          <cell r="AJ232" t="str">
            <v>0,20</v>
          </cell>
          <cell r="AK232">
            <v>4581</v>
          </cell>
          <cell r="AL232">
            <v>4637</v>
          </cell>
          <cell r="AM232">
            <v>1205</v>
          </cell>
          <cell r="AN232">
            <v>3350</v>
          </cell>
          <cell r="AO232">
            <v>1593</v>
          </cell>
          <cell r="AP232" t="str">
            <v>14,22%</v>
          </cell>
          <cell r="AQ232" t="str">
            <v>14,28%</v>
          </cell>
          <cell r="BW232" t="str">
            <v>C.F.1</v>
          </cell>
        </row>
        <row r="233">
          <cell r="C233">
            <v>19.899999999999999</v>
          </cell>
          <cell r="N233" t="str">
            <v/>
          </cell>
        </row>
        <row r="234">
          <cell r="B234" t="str">
            <v>3600CCA03</v>
          </cell>
          <cell r="D234">
            <v>1253.3600000000004</v>
          </cell>
          <cell r="E234">
            <v>33631.388999999996</v>
          </cell>
          <cell r="F234" t="str">
            <v>-42097.02</v>
          </cell>
          <cell r="G234" t="str">
            <v>164626.40</v>
          </cell>
          <cell r="H234">
            <v>180</v>
          </cell>
          <cell r="I234" t="str">
            <v>S</v>
          </cell>
          <cell r="J234">
            <v>1.77</v>
          </cell>
          <cell r="K234" t="str">
            <v>Funicular</v>
          </cell>
          <cell r="L234" t="str">
            <v>Ø300/Ø180/e16</v>
          </cell>
          <cell r="M234" t="str">
            <v>Anc. Corrente</v>
          </cell>
          <cell r="N234" t="str">
            <v>B. Fun.</v>
          </cell>
          <cell r="Q234">
            <v>4.3099999999999996</v>
          </cell>
          <cell r="S234">
            <v>-20</v>
          </cell>
          <cell r="Z234" t="str">
            <v>3600CCA03</v>
          </cell>
          <cell r="AA234" t="str">
            <v>Ø300/Ø180/e16</v>
          </cell>
          <cell r="AB234" t="str">
            <v>3600CCA04</v>
          </cell>
          <cell r="AC234" t="str">
            <v>Ø300/Ø180/e16</v>
          </cell>
          <cell r="AD234" t="str">
            <v>1,77</v>
          </cell>
          <cell r="AE234" t="str">
            <v>3,1</v>
          </cell>
          <cell r="AF234" t="str">
            <v>1,77</v>
          </cell>
          <cell r="AG234" t="str">
            <v>4,31</v>
          </cell>
          <cell r="AH234" t="str">
            <v>4,31</v>
          </cell>
          <cell r="AI234" t="str">
            <v>-0,20</v>
          </cell>
          <cell r="AJ234" t="str">
            <v>-0,20</v>
          </cell>
          <cell r="AK234">
            <v>5090</v>
          </cell>
          <cell r="AL234">
            <v>4449</v>
          </cell>
          <cell r="AM234">
            <v>1909</v>
          </cell>
          <cell r="AN234">
            <v>2859</v>
          </cell>
          <cell r="AO234" t="str">
            <v>0,223</v>
          </cell>
          <cell r="AP234" t="str">
            <v>40,00%</v>
          </cell>
          <cell r="AQ234" t="str">
            <v>10,10%</v>
          </cell>
          <cell r="BW234" t="str">
            <v>C.F.5.B</v>
          </cell>
        </row>
        <row r="235">
          <cell r="C235">
            <v>19.8</v>
          </cell>
          <cell r="N235" t="str">
            <v/>
          </cell>
        </row>
        <row r="236">
          <cell r="B236" t="str">
            <v>3600CCA05</v>
          </cell>
          <cell r="D236">
            <v>1273.1600000000003</v>
          </cell>
          <cell r="E236">
            <v>33611.588999999993</v>
          </cell>
          <cell r="F236" t="str">
            <v>-42099.48</v>
          </cell>
          <cell r="G236" t="str">
            <v>164606.92</v>
          </cell>
          <cell r="H236">
            <v>180</v>
          </cell>
          <cell r="I236" t="str">
            <v>S</v>
          </cell>
          <cell r="J236" t="str">
            <v>1,77</v>
          </cell>
          <cell r="K236" t="str">
            <v>Funicular</v>
          </cell>
          <cell r="L236" t="str">
            <v>Ø300/Ø180/e16</v>
          </cell>
          <cell r="M236" t="str">
            <v>Anc. Corrente</v>
          </cell>
          <cell r="N236" t="str">
            <v>B. Fun.</v>
          </cell>
          <cell r="Q236">
            <v>4.42</v>
          </cell>
          <cell r="S236">
            <v>-20</v>
          </cell>
          <cell r="Z236" t="str">
            <v>3600CCA05</v>
          </cell>
          <cell r="AA236" t="str">
            <v>Ø300/Ø180/e16</v>
          </cell>
          <cell r="AB236" t="str">
            <v>3600CCA06</v>
          </cell>
          <cell r="AC236" t="str">
            <v>Ø300/Ø180/e16</v>
          </cell>
          <cell r="AD236" t="str">
            <v>1,77</v>
          </cell>
          <cell r="AE236" t="str">
            <v>3,1</v>
          </cell>
          <cell r="AF236" t="str">
            <v>1,77</v>
          </cell>
          <cell r="AG236" t="str">
            <v>4,42</v>
          </cell>
          <cell r="AH236" t="str">
            <v>4,42</v>
          </cell>
          <cell r="AI236" t="str">
            <v>-0,20</v>
          </cell>
          <cell r="AJ236" t="str">
            <v>-0,20</v>
          </cell>
          <cell r="AK236">
            <v>5284</v>
          </cell>
          <cell r="AL236">
            <v>4559</v>
          </cell>
          <cell r="AM236">
            <v>1980</v>
          </cell>
          <cell r="AN236">
            <v>2859</v>
          </cell>
          <cell r="AO236" t="str">
            <v>0,223</v>
          </cell>
          <cell r="AP236" t="str">
            <v>45,00%</v>
          </cell>
          <cell r="AQ236" t="str">
            <v>10,09%</v>
          </cell>
          <cell r="BW236" t="str">
            <v>C.F.5.B</v>
          </cell>
        </row>
        <row r="237">
          <cell r="C237">
            <v>19.8</v>
          </cell>
          <cell r="N237" t="str">
            <v/>
          </cell>
        </row>
        <row r="238">
          <cell r="B238" t="str">
            <v>3600CCA07</v>
          </cell>
          <cell r="D238">
            <v>1292.9600000000003</v>
          </cell>
          <cell r="E238">
            <v>33591.78899999999</v>
          </cell>
          <cell r="F238" t="str">
            <v>-42099.76</v>
          </cell>
          <cell r="G238" t="str">
            <v>164587.29</v>
          </cell>
          <cell r="H238">
            <v>180</v>
          </cell>
          <cell r="I238" t="str">
            <v>S</v>
          </cell>
          <cell r="J238">
            <v>1.77</v>
          </cell>
          <cell r="K238" t="str">
            <v>Funicular</v>
          </cell>
          <cell r="L238" t="str">
            <v>Ø300/Ø180/e16</v>
          </cell>
          <cell r="M238" t="str">
            <v>Anc. Corrente</v>
          </cell>
          <cell r="N238" t="str">
            <v>B. Fun.</v>
          </cell>
          <cell r="Q238">
            <v>4.53</v>
          </cell>
          <cell r="S238">
            <v>-20</v>
          </cell>
          <cell r="Z238" t="str">
            <v>3600CCA07</v>
          </cell>
          <cell r="AA238" t="str">
            <v>Ø300/Ø180/e16</v>
          </cell>
          <cell r="AB238" t="str">
            <v>3600CCA08</v>
          </cell>
          <cell r="AC238" t="str">
            <v>Ø300/Ø180/e16</v>
          </cell>
          <cell r="AD238" t="str">
            <v>1,77</v>
          </cell>
          <cell r="AE238" t="str">
            <v>3,1</v>
          </cell>
          <cell r="AF238" t="str">
            <v>1,77</v>
          </cell>
          <cell r="AG238" t="str">
            <v>4,53</v>
          </cell>
          <cell r="AH238" t="str">
            <v>4,53</v>
          </cell>
          <cell r="AI238" t="str">
            <v>-0,20</v>
          </cell>
          <cell r="AJ238" t="str">
            <v>-0,20</v>
          </cell>
          <cell r="AK238">
            <v>5310</v>
          </cell>
          <cell r="AL238">
            <v>4670</v>
          </cell>
          <cell r="AM238">
            <v>1909</v>
          </cell>
          <cell r="AN238">
            <v>2859</v>
          </cell>
          <cell r="AO238" t="str">
            <v>0,223</v>
          </cell>
          <cell r="AP238" t="str">
            <v>40,00%</v>
          </cell>
          <cell r="AQ238" t="str">
            <v>10,46%</v>
          </cell>
          <cell r="BW238" t="str">
            <v>C.F.5.B</v>
          </cell>
        </row>
        <row r="239">
          <cell r="C239">
            <v>19.899999999999999</v>
          </cell>
          <cell r="N239" t="str">
            <v/>
          </cell>
        </row>
        <row r="240">
          <cell r="B240" t="str">
            <v>3600CCA09</v>
          </cell>
          <cell r="D240">
            <v>1312.8600000000004</v>
          </cell>
          <cell r="E240">
            <v>33571.888999999988</v>
          </cell>
          <cell r="F240" t="str">
            <v>-42097.95</v>
          </cell>
          <cell r="G240" t="str">
            <v>164567.66</v>
          </cell>
          <cell r="H240" t="str">
            <v>Clo</v>
          </cell>
          <cell r="I240" t="str">
            <v>S</v>
          </cell>
          <cell r="J240">
            <v>1.77</v>
          </cell>
          <cell r="K240" t="str">
            <v>Funicular</v>
          </cell>
          <cell r="L240" t="str">
            <v>Ø300/Ø180/e16</v>
          </cell>
          <cell r="M240" t="str">
            <v>Anc. Corrente</v>
          </cell>
          <cell r="N240" t="str">
            <v>B. Fun.</v>
          </cell>
          <cell r="Q240">
            <v>4.6399999999999997</v>
          </cell>
          <cell r="S240">
            <v>-10</v>
          </cell>
          <cell r="Z240" t="str">
            <v>3600CCA09</v>
          </cell>
          <cell r="AA240" t="str">
            <v>Ø300/Ø180/e16</v>
          </cell>
          <cell r="AB240" t="str">
            <v>3600CCA10</v>
          </cell>
          <cell r="AC240" t="str">
            <v>Ø300/Ø180/e16</v>
          </cell>
          <cell r="AD240" t="str">
            <v>1,77</v>
          </cell>
          <cell r="AE240" t="str">
            <v>3,1</v>
          </cell>
          <cell r="AF240" t="str">
            <v>1,77</v>
          </cell>
          <cell r="AG240" t="str">
            <v>4,64</v>
          </cell>
          <cell r="AH240" t="str">
            <v>4,64</v>
          </cell>
          <cell r="AI240" t="str">
            <v>-0,10</v>
          </cell>
          <cell r="AJ240" t="str">
            <v>-0,10</v>
          </cell>
          <cell r="AK240">
            <v>5063</v>
          </cell>
          <cell r="AL240">
            <v>4797</v>
          </cell>
          <cell r="AM240">
            <v>1606</v>
          </cell>
          <cell r="AN240">
            <v>2859</v>
          </cell>
          <cell r="AO240" t="str">
            <v>0,324</v>
          </cell>
          <cell r="AP240" t="str">
            <v>20,00%</v>
          </cell>
          <cell r="AQ240" t="str">
            <v>12,07%</v>
          </cell>
          <cell r="BW240" t="str">
            <v>C.F.5.B</v>
          </cell>
        </row>
        <row r="241">
          <cell r="C241">
            <v>20</v>
          </cell>
          <cell r="N241" t="str">
            <v/>
          </cell>
        </row>
        <row r="242">
          <cell r="B242" t="str">
            <v>3600CCA11</v>
          </cell>
          <cell r="D242">
            <v>1332.8600000000004</v>
          </cell>
          <cell r="E242">
            <v>33551.888999999988</v>
          </cell>
          <cell r="F242" t="str">
            <v>-42095.32</v>
          </cell>
          <cell r="G242" t="str">
            <v>164547.85</v>
          </cell>
          <cell r="I242" t="str">
            <v>S</v>
          </cell>
          <cell r="J242">
            <v>1.77</v>
          </cell>
          <cell r="K242" t="str">
            <v>Funicular</v>
          </cell>
          <cell r="L242" t="str">
            <v>Ø300/Ø180/e16</v>
          </cell>
          <cell r="M242" t="str">
            <v>Anc. Corrente</v>
          </cell>
          <cell r="N242" t="str">
            <v>Delta</v>
          </cell>
          <cell r="Q242">
            <v>4.76</v>
          </cell>
          <cell r="S242" t="str">
            <v>+10</v>
          </cell>
          <cell r="Z242" t="str">
            <v>3600CCA11</v>
          </cell>
          <cell r="AA242" t="str">
            <v>Ø300/Ø180/e16</v>
          </cell>
          <cell r="AB242" t="str">
            <v>3600CCA12</v>
          </cell>
          <cell r="AC242" t="str">
            <v>Ø300/Ø180/e16</v>
          </cell>
          <cell r="AD242" t="str">
            <v>1,77</v>
          </cell>
          <cell r="AE242" t="str">
            <v>3,1</v>
          </cell>
          <cell r="AF242" t="str">
            <v>1,77</v>
          </cell>
          <cell r="AG242" t="str">
            <v>4,76</v>
          </cell>
          <cell r="AH242" t="str">
            <v>4,76</v>
          </cell>
          <cell r="AI242" t="str">
            <v>0,10</v>
          </cell>
          <cell r="AJ242" t="str">
            <v>0,10</v>
          </cell>
          <cell r="AK242">
            <v>5153</v>
          </cell>
          <cell r="AL242">
            <v>5185</v>
          </cell>
          <cell r="AM242">
            <v>1287</v>
          </cell>
          <cell r="AN242">
            <v>3350</v>
          </cell>
          <cell r="AO242">
            <v>1511</v>
          </cell>
          <cell r="AP242" t="str">
            <v>14,28%</v>
          </cell>
          <cell r="AQ242" t="str">
            <v>14,25%</v>
          </cell>
          <cell r="BW242" t="str">
            <v>C.F.1</v>
          </cell>
        </row>
        <row r="243">
          <cell r="C243">
            <v>20.100000000000001</v>
          </cell>
          <cell r="N243" t="str">
            <v/>
          </cell>
        </row>
        <row r="244">
          <cell r="B244" t="str">
            <v>3600CCA13</v>
          </cell>
          <cell r="D244">
            <v>1352.9600000000003</v>
          </cell>
          <cell r="E244">
            <v>33531.78899999999</v>
          </cell>
          <cell r="F244" t="str">
            <v>-42092.93</v>
          </cell>
          <cell r="G244" t="str">
            <v>164527.89</v>
          </cell>
          <cell r="H244" t="str">
            <v>Clo</v>
          </cell>
          <cell r="I244" t="str">
            <v>S</v>
          </cell>
          <cell r="J244">
            <v>1.77</v>
          </cell>
          <cell r="K244" t="str">
            <v>Funicular</v>
          </cell>
          <cell r="L244" t="str">
            <v>Ø300/Ø180/e16</v>
          </cell>
          <cell r="M244" t="str">
            <v>Anc. Corrente</v>
          </cell>
          <cell r="N244" t="str">
            <v>B. Fun.</v>
          </cell>
          <cell r="Q244">
            <v>4.88</v>
          </cell>
          <cell r="S244" t="str">
            <v>+20</v>
          </cell>
          <cell r="Z244" t="str">
            <v>3600CCA13</v>
          </cell>
          <cell r="AA244" t="str">
            <v>Ø300/Ø180/e16</v>
          </cell>
          <cell r="AB244" t="str">
            <v>3600CCA14</v>
          </cell>
          <cell r="AC244" t="str">
            <v>Ø300/Ø180/e16</v>
          </cell>
          <cell r="AD244" t="str">
            <v>1,77</v>
          </cell>
          <cell r="AE244" t="str">
            <v>3,1</v>
          </cell>
          <cell r="AF244" t="str">
            <v>1,77</v>
          </cell>
          <cell r="AG244" t="str">
            <v>4,88</v>
          </cell>
          <cell r="AH244" t="str">
            <v>4,88</v>
          </cell>
          <cell r="AI244" t="str">
            <v>0,20</v>
          </cell>
          <cell r="AJ244" t="str">
            <v>0,20</v>
          </cell>
          <cell r="AK244">
            <v>5021</v>
          </cell>
          <cell r="AL244">
            <v>5407</v>
          </cell>
          <cell r="AM244" t="str">
            <v>0,224</v>
          </cell>
          <cell r="AN244">
            <v>2859</v>
          </cell>
          <cell r="AO244">
            <v>1695</v>
          </cell>
          <cell r="AP244" t="str">
            <v>10,84%</v>
          </cell>
          <cell r="AQ244" t="str">
            <v>25,00%</v>
          </cell>
          <cell r="BW244" t="str">
            <v>C.F.4.B</v>
          </cell>
        </row>
        <row r="245">
          <cell r="C245">
            <v>20.100000000000001</v>
          </cell>
          <cell r="N245" t="str">
            <v/>
          </cell>
        </row>
        <row r="246">
          <cell r="B246" t="str">
            <v>3600CCA15</v>
          </cell>
          <cell r="D246">
            <v>1373.0600000000002</v>
          </cell>
          <cell r="E246">
            <v>33511.688999999991</v>
          </cell>
          <cell r="F246" t="str">
            <v>-42091.78</v>
          </cell>
          <cell r="G246" t="str">
            <v>164507.61</v>
          </cell>
          <cell r="H246">
            <v>-200</v>
          </cell>
          <cell r="I246" t="str">
            <v>S</v>
          </cell>
          <cell r="J246" t="str">
            <v>1,77</v>
          </cell>
          <cell r="K246" t="str">
            <v>Funicular</v>
          </cell>
          <cell r="L246" t="str">
            <v>Ø300/Ø180/e16</v>
          </cell>
          <cell r="M246" t="str">
            <v>Anc. Corrente</v>
          </cell>
          <cell r="N246" t="str">
            <v>B. Fun.</v>
          </cell>
          <cell r="Q246">
            <v>5</v>
          </cell>
          <cell r="S246" t="str">
            <v>+20</v>
          </cell>
          <cell r="Z246" t="str">
            <v>3600CCA15</v>
          </cell>
          <cell r="AA246" t="str">
            <v>Ø300/Ø180/e16</v>
          </cell>
          <cell r="AB246" t="str">
            <v>3600CCA16</v>
          </cell>
          <cell r="AC246" t="str">
            <v>Ø300/Ø180/e16</v>
          </cell>
          <cell r="AD246" t="str">
            <v>1,77</v>
          </cell>
          <cell r="AE246" t="str">
            <v>3,1</v>
          </cell>
          <cell r="AF246" t="str">
            <v>1,77</v>
          </cell>
          <cell r="AG246" t="str">
            <v>5,00</v>
          </cell>
          <cell r="AH246" t="str">
            <v>5,00</v>
          </cell>
          <cell r="AI246" t="str">
            <v>0,20</v>
          </cell>
          <cell r="AJ246" t="str">
            <v>0,20</v>
          </cell>
          <cell r="AK246">
            <v>5141</v>
          </cell>
          <cell r="AL246">
            <v>5695</v>
          </cell>
          <cell r="AM246" t="str">
            <v>0,224</v>
          </cell>
          <cell r="AN246">
            <v>2859</v>
          </cell>
          <cell r="AO246">
            <v>1743</v>
          </cell>
          <cell r="AP246" t="str">
            <v>10,62%</v>
          </cell>
          <cell r="AQ246" t="str">
            <v>35,00%</v>
          </cell>
          <cell r="BW246" t="str">
            <v>C.F.4.B</v>
          </cell>
        </row>
        <row r="247">
          <cell r="C247">
            <v>20.3</v>
          </cell>
          <cell r="N247" t="str">
            <v/>
          </cell>
          <cell r="X247" t="str">
            <v>1PEAD D110mm ou 2PEAD D63mm+ 1PEAD 32mm</v>
          </cell>
        </row>
        <row r="248">
          <cell r="B248" t="str">
            <v>3600CCA17</v>
          </cell>
          <cell r="D248">
            <v>1393.3600000000001</v>
          </cell>
          <cell r="E248">
            <v>33491.388999999988</v>
          </cell>
          <cell r="F248" t="str">
            <v>-42092.64</v>
          </cell>
          <cell r="G248" t="str">
            <v>164487.29</v>
          </cell>
          <cell r="H248">
            <v>-200</v>
          </cell>
          <cell r="I248" t="str">
            <v>S</v>
          </cell>
          <cell r="J248">
            <v>1.77</v>
          </cell>
          <cell r="K248" t="str">
            <v>Funicular</v>
          </cell>
          <cell r="L248" t="str">
            <v>Ø300/Ø180/e16</v>
          </cell>
          <cell r="M248" t="str">
            <v>Anc. Corrente</v>
          </cell>
          <cell r="N248" t="str">
            <v>B. Fun.</v>
          </cell>
          <cell r="Q248">
            <v>5.12</v>
          </cell>
          <cell r="S248" t="str">
            <v>+20</v>
          </cell>
          <cell r="X248" t="str">
            <v>FR</v>
          </cell>
          <cell r="Z248" t="str">
            <v>3600CCA17</v>
          </cell>
          <cell r="AA248" t="str">
            <v>Ø300/Ø180/e16</v>
          </cell>
          <cell r="AB248" t="str">
            <v>3600CCA18</v>
          </cell>
          <cell r="AC248" t="str">
            <v>Ø300/Ø180/e16</v>
          </cell>
          <cell r="AD248" t="str">
            <v>1,77</v>
          </cell>
          <cell r="AE248" t="str">
            <v>3,1</v>
          </cell>
          <cell r="AF248" t="str">
            <v>1,77</v>
          </cell>
          <cell r="AG248" t="str">
            <v>5,12</v>
          </cell>
          <cell r="AH248" t="str">
            <v>5,12</v>
          </cell>
          <cell r="AI248" t="str">
            <v>0,20</v>
          </cell>
          <cell r="AJ248" t="str">
            <v>0,20</v>
          </cell>
          <cell r="AK248">
            <v>5261</v>
          </cell>
          <cell r="AL248">
            <v>5647</v>
          </cell>
          <cell r="AM248" t="str">
            <v>0,224</v>
          </cell>
          <cell r="AN248">
            <v>2859</v>
          </cell>
          <cell r="AO248">
            <v>1695</v>
          </cell>
          <cell r="AP248" t="str">
            <v>10,75%</v>
          </cell>
          <cell r="AQ248" t="str">
            <v>25,00%</v>
          </cell>
          <cell r="BW248" t="str">
            <v>C.F.4.B</v>
          </cell>
        </row>
        <row r="249">
          <cell r="C249">
            <v>20.100000000000001</v>
          </cell>
          <cell r="N249" t="str">
            <v/>
          </cell>
          <cell r="X249" t="str">
            <v>1PEAD D110mm ou 2PEAD D63mm</v>
          </cell>
        </row>
        <row r="250">
          <cell r="B250" t="str">
            <v>3600CCA19</v>
          </cell>
          <cell r="D250">
            <v>1413.46</v>
          </cell>
          <cell r="E250">
            <v>33471.28899999999</v>
          </cell>
          <cell r="F250" t="str">
            <v>-42095.49</v>
          </cell>
          <cell r="G250" t="str">
            <v>164467.19</v>
          </cell>
          <cell r="H250" t="str">
            <v>Clo</v>
          </cell>
          <cell r="I250" t="str">
            <v>S</v>
          </cell>
          <cell r="J250">
            <v>1.77</v>
          </cell>
          <cell r="K250" t="str">
            <v>Funicular</v>
          </cell>
          <cell r="L250" t="str">
            <v>Ø300/Ø180/e16</v>
          </cell>
          <cell r="M250" t="str">
            <v>Anc. Corrente</v>
          </cell>
          <cell r="N250" t="str">
            <v>B. Fun.</v>
          </cell>
          <cell r="Q250">
            <v>5.26</v>
          </cell>
          <cell r="S250" t="str">
            <v>+20</v>
          </cell>
          <cell r="Z250" t="str">
            <v>3600CCA19</v>
          </cell>
          <cell r="AA250" t="str">
            <v>Ø300/Ø180/e16</v>
          </cell>
          <cell r="AB250" t="str">
            <v>3600CCA20</v>
          </cell>
          <cell r="AC250" t="str">
            <v>Ø300/Ø180/e16</v>
          </cell>
          <cell r="AD250" t="str">
            <v>1,77</v>
          </cell>
          <cell r="AE250" t="str">
            <v>3,1</v>
          </cell>
          <cell r="AF250" t="str">
            <v>1,77</v>
          </cell>
          <cell r="AG250" t="str">
            <v>5,26</v>
          </cell>
          <cell r="AH250" t="str">
            <v>5,26</v>
          </cell>
          <cell r="AI250" t="str">
            <v>0,20</v>
          </cell>
          <cell r="AJ250" t="str">
            <v>0,20</v>
          </cell>
          <cell r="AK250">
            <v>5403</v>
          </cell>
          <cell r="AL250">
            <v>5703</v>
          </cell>
          <cell r="AM250" t="str">
            <v>0,225</v>
          </cell>
          <cell r="AN250">
            <v>2859</v>
          </cell>
          <cell r="AO250">
            <v>1676</v>
          </cell>
          <cell r="AP250" t="str">
            <v>11,36%</v>
          </cell>
          <cell r="AQ250" t="str">
            <v>20,00%</v>
          </cell>
          <cell r="BW250" t="str">
            <v>C.F.4.B</v>
          </cell>
        </row>
        <row r="251">
          <cell r="C251">
            <v>20.100000000000001</v>
          </cell>
          <cell r="N251" t="str">
            <v/>
          </cell>
        </row>
        <row r="252">
          <cell r="B252" t="str">
            <v>3600CCA21</v>
          </cell>
          <cell r="D252">
            <v>1433.56</v>
          </cell>
          <cell r="E252">
            <v>33451.188999999991</v>
          </cell>
          <cell r="F252" t="str">
            <v>-42099.62</v>
          </cell>
          <cell r="G252" t="str">
            <v>164447.50</v>
          </cell>
          <cell r="H252" t="str">
            <v>Clo</v>
          </cell>
          <cell r="I252" t="str">
            <v>A/S</v>
          </cell>
          <cell r="J252">
            <v>1.77</v>
          </cell>
          <cell r="K252" t="str">
            <v>Funicular</v>
          </cell>
          <cell r="L252" t="str">
            <v>Ø300/Ø180/e16</v>
          </cell>
          <cell r="M252" t="str">
            <v>Anc. Ancoragem</v>
          </cell>
          <cell r="N252" t="str">
            <v>B. Fun.</v>
          </cell>
          <cell r="Q252">
            <v>5.38</v>
          </cell>
          <cell r="R252">
            <v>5.62</v>
          </cell>
          <cell r="S252" t="str">
            <v>+20</v>
          </cell>
          <cell r="V252" t="str">
            <v>Ancoraem 1HC</v>
          </cell>
          <cell r="Z252" t="str">
            <v>3600CCA21</v>
          </cell>
          <cell r="AA252" t="str">
            <v>Ø300/Ø180/e16</v>
          </cell>
          <cell r="AB252" t="str">
            <v>3600CCA22</v>
          </cell>
          <cell r="AC252" t="str">
            <v>Ø300/Ø180/e16</v>
          </cell>
          <cell r="AD252" t="str">
            <v>1,77</v>
          </cell>
          <cell r="AE252" t="str">
            <v>3,1</v>
          </cell>
          <cell r="AF252" t="str">
            <v>1,77</v>
          </cell>
          <cell r="AG252" t="str">
            <v>5,38</v>
          </cell>
          <cell r="AH252" t="str">
            <v>5,38</v>
          </cell>
          <cell r="AI252" t="str">
            <v>0,20</v>
          </cell>
          <cell r="AJ252" t="str">
            <v>0,20</v>
          </cell>
          <cell r="AK252">
            <v>5758</v>
          </cell>
          <cell r="AL252">
            <v>5819</v>
          </cell>
          <cell r="AM252">
            <v>1184</v>
          </cell>
          <cell r="AN252">
            <v>3350</v>
          </cell>
          <cell r="AO252">
            <v>1613</v>
          </cell>
          <cell r="AP252" t="str">
            <v>14,32%</v>
          </cell>
          <cell r="AQ252" t="str">
            <v>14,25%</v>
          </cell>
          <cell r="AV252">
            <v>5620</v>
          </cell>
          <cell r="AW252">
            <v>5620</v>
          </cell>
          <cell r="BW252" t="str">
            <v>C.F.6</v>
          </cell>
        </row>
        <row r="253">
          <cell r="C253">
            <v>20</v>
          </cell>
          <cell r="N253" t="str">
            <v/>
          </cell>
          <cell r="U253" t="str">
            <v>Cantón457 m</v>
          </cell>
        </row>
        <row r="254">
          <cell r="B254" t="str">
            <v>3600CCA23</v>
          </cell>
          <cell r="D254">
            <v>1453.56</v>
          </cell>
          <cell r="E254">
            <v>33431.188999999991</v>
          </cell>
          <cell r="F254" t="str">
            <v>-42103.95</v>
          </cell>
          <cell r="G254" t="str">
            <v>164427.99</v>
          </cell>
          <cell r="I254" t="str">
            <v>S/E A/S</v>
          </cell>
          <cell r="J254">
            <v>1.77</v>
          </cell>
          <cell r="K254" t="str">
            <v>Funicular</v>
          </cell>
          <cell r="L254" t="str">
            <v>Ø300/Ø180/e16</v>
          </cell>
          <cell r="M254" t="str">
            <v>Anc. Ancoragem</v>
          </cell>
          <cell r="N254" t="str">
            <v>B. Fun.</v>
          </cell>
          <cell r="O254" t="str">
            <v>Delta</v>
          </cell>
          <cell r="Q254">
            <v>5.44</v>
          </cell>
          <cell r="R254">
            <v>5.5</v>
          </cell>
          <cell r="S254">
            <v>0</v>
          </cell>
          <cell r="T254">
            <v>-20</v>
          </cell>
          <cell r="V254" t="str">
            <v>Ancoraem 1HC</v>
          </cell>
          <cell r="Z254" t="str">
            <v>3600CCA23</v>
          </cell>
          <cell r="AA254" t="str">
            <v>Ø300/Ø180/e16</v>
          </cell>
          <cell r="AB254" t="str">
            <v>3600CCA24</v>
          </cell>
          <cell r="AC254" t="str">
            <v>Ø300/Ø180/e16</v>
          </cell>
          <cell r="AD254" t="str">
            <v>1,77</v>
          </cell>
          <cell r="AE254" t="str">
            <v>3,1</v>
          </cell>
          <cell r="AF254" t="str">
            <v>1,77</v>
          </cell>
          <cell r="AG254" t="str">
            <v>5,44</v>
          </cell>
          <cell r="AH254" t="str">
            <v>5,44</v>
          </cell>
          <cell r="AI254" t="str">
            <v>-0,20</v>
          </cell>
          <cell r="AJ254" t="str">
            <v>-0,20</v>
          </cell>
          <cell r="AK254">
            <v>5879</v>
          </cell>
          <cell r="AL254">
            <v>5818</v>
          </cell>
          <cell r="AM254">
            <v>1613</v>
          </cell>
          <cell r="AN254">
            <v>3350</v>
          </cell>
          <cell r="AO254">
            <v>1184</v>
          </cell>
          <cell r="AP254" t="str">
            <v>14,28%</v>
          </cell>
          <cell r="AQ254" t="str">
            <v>14,25%</v>
          </cell>
          <cell r="AR254" t="str">
            <v>5,50</v>
          </cell>
          <cell r="AS254" t="str">
            <v>5,50</v>
          </cell>
          <cell r="AT254" t="str">
            <v>0,00</v>
          </cell>
          <cell r="AU254" t="str">
            <v>0,00</v>
          </cell>
          <cell r="AV254">
            <v>5961</v>
          </cell>
          <cell r="AW254">
            <v>5961</v>
          </cell>
          <cell r="AX254">
            <v>1489</v>
          </cell>
          <cell r="AY254" t="str">
            <v>0,980</v>
          </cell>
          <cell r="AZ254">
            <v>1489</v>
          </cell>
          <cell r="BA254" t="str">
            <v>14,45%</v>
          </cell>
          <cell r="BB254" t="str">
            <v>14,45%</v>
          </cell>
          <cell r="BW254" t="str">
            <v>C.F.17</v>
          </cell>
        </row>
        <row r="255">
          <cell r="C255">
            <v>20</v>
          </cell>
          <cell r="N255" t="str">
            <v/>
          </cell>
        </row>
        <row r="256">
          <cell r="B256" t="str">
            <v>3600CCA25</v>
          </cell>
          <cell r="D256">
            <v>1473.56</v>
          </cell>
          <cell r="E256">
            <v>33411.188999999991</v>
          </cell>
          <cell r="F256" t="str">
            <v>-42108.29</v>
          </cell>
          <cell r="G256" t="str">
            <v>164408.46</v>
          </cell>
          <cell r="I256" t="str">
            <v>E</v>
          </cell>
          <cell r="J256">
            <v>1.77</v>
          </cell>
          <cell r="K256" t="str">
            <v>Funicular</v>
          </cell>
          <cell r="L256" t="str">
            <v>Ø300/Ø180/e16</v>
          </cell>
          <cell r="M256" t="str">
            <v>Anc. Ancoragem</v>
          </cell>
          <cell r="N256" t="str">
            <v>Delta</v>
          </cell>
          <cell r="O256" t="str">
            <v>B. Fun.</v>
          </cell>
          <cell r="Q256">
            <v>5.44</v>
          </cell>
          <cell r="R256">
            <v>5.44</v>
          </cell>
          <cell r="S256" t="str">
            <v>+20</v>
          </cell>
          <cell r="T256">
            <v>0</v>
          </cell>
          <cell r="U256" t="str">
            <v>Seccionamento</v>
          </cell>
          <cell r="Z256" t="str">
            <v>3600CCA25</v>
          </cell>
          <cell r="AA256" t="str">
            <v>Ø300/Ø180/e16</v>
          </cell>
          <cell r="AB256" t="str">
            <v>3600CCA26</v>
          </cell>
          <cell r="AC256" t="str">
            <v>Ø300/Ø180/e16</v>
          </cell>
          <cell r="AD256">
            <v>77</v>
          </cell>
          <cell r="AE256" t="str">
            <v>3,1</v>
          </cell>
          <cell r="AF256" t="str">
            <v>1,77</v>
          </cell>
          <cell r="AG256" t="str">
            <v>5,48</v>
          </cell>
          <cell r="AH256" t="str">
            <v>5,44</v>
          </cell>
          <cell r="AI256" t="str">
            <v>0,00</v>
          </cell>
          <cell r="AJ256" t="str">
            <v>0,00</v>
          </cell>
          <cell r="AK256">
            <v>5854</v>
          </cell>
          <cell r="AL256">
            <v>5866</v>
          </cell>
          <cell r="AM256">
            <v>1358</v>
          </cell>
          <cell r="AN256">
            <v>3350</v>
          </cell>
          <cell r="AO256">
            <v>1440</v>
          </cell>
          <cell r="AP256" t="str">
            <v>14,25%</v>
          </cell>
          <cell r="AQ256" t="str">
            <v>14,25%</v>
          </cell>
          <cell r="AR256" t="str">
            <v>5,48</v>
          </cell>
          <cell r="AS256" t="str">
            <v>5,44</v>
          </cell>
          <cell r="AT256" t="str">
            <v>0,20</v>
          </cell>
          <cell r="AU256" t="str">
            <v>-0,20</v>
          </cell>
          <cell r="AV256">
            <v>5877</v>
          </cell>
          <cell r="AW256">
            <v>5851</v>
          </cell>
          <cell r="AX256">
            <v>1490</v>
          </cell>
          <cell r="AY256" t="str">
            <v>0,980</v>
          </cell>
          <cell r="AZ256">
            <v>1225</v>
          </cell>
          <cell r="BA256" t="str">
            <v>14,45%</v>
          </cell>
          <cell r="BB256" t="str">
            <v>14,45%</v>
          </cell>
          <cell r="BW256" t="str">
            <v>C.F.18.B</v>
          </cell>
        </row>
        <row r="257">
          <cell r="C257">
            <v>20</v>
          </cell>
          <cell r="N257" t="str">
            <v/>
          </cell>
        </row>
        <row r="258">
          <cell r="B258" t="str">
            <v>3600CCA27</v>
          </cell>
          <cell r="D258">
            <v>1493.56</v>
          </cell>
          <cell r="E258">
            <v>33391.188999999991</v>
          </cell>
          <cell r="F258" t="str">
            <v>-42112.62</v>
          </cell>
          <cell r="G258" t="str">
            <v>164388.93</v>
          </cell>
          <cell r="I258" t="str">
            <v>E</v>
          </cell>
          <cell r="J258">
            <v>1.77</v>
          </cell>
          <cell r="K258" t="str">
            <v>Funicular</v>
          </cell>
          <cell r="L258" t="str">
            <v>Ø300/Ø180/e16</v>
          </cell>
          <cell r="M258" t="str">
            <v>Anc. Ancoragem</v>
          </cell>
          <cell r="N258" t="str">
            <v>Delta</v>
          </cell>
          <cell r="O258" t="str">
            <v>B. Fun.</v>
          </cell>
          <cell r="Q258">
            <v>5.44</v>
          </cell>
          <cell r="R258">
            <v>5.44</v>
          </cell>
          <cell r="S258">
            <v>0</v>
          </cell>
          <cell r="T258">
            <v>-20</v>
          </cell>
          <cell r="Z258" t="str">
            <v>3600CCA27</v>
          </cell>
          <cell r="AA258" t="str">
            <v>Ø300/Ø180/e16</v>
          </cell>
          <cell r="AB258" t="str">
            <v>3600CCA29</v>
          </cell>
          <cell r="AC258" t="str">
            <v>Ø300/Ø180/e16</v>
          </cell>
          <cell r="AD258">
            <v>177</v>
          </cell>
          <cell r="AE258" t="str">
            <v>3,1</v>
          </cell>
          <cell r="AF258" t="str">
            <v>1,77</v>
          </cell>
          <cell r="AG258" t="str">
            <v>5,44</v>
          </cell>
          <cell r="AH258" t="str">
            <v>5,44</v>
          </cell>
          <cell r="AI258" t="str">
            <v>0,00</v>
          </cell>
          <cell r="AJ258" t="str">
            <v>0,00</v>
          </cell>
          <cell r="AK258">
            <v>5854</v>
          </cell>
          <cell r="AL258">
            <v>5866</v>
          </cell>
          <cell r="AM258">
            <v>1358</v>
          </cell>
          <cell r="AN258">
            <v>3350</v>
          </cell>
          <cell r="AO258">
            <v>1440</v>
          </cell>
          <cell r="AP258" t="str">
            <v>14,25%</v>
          </cell>
          <cell r="AQ258" t="str">
            <v>14,25%</v>
          </cell>
          <cell r="AR258" t="str">
            <v>5,44</v>
          </cell>
          <cell r="AS258" t="str">
            <v>5,44</v>
          </cell>
          <cell r="AT258" t="str">
            <v>0,20</v>
          </cell>
          <cell r="AU258" t="str">
            <v>0,20</v>
          </cell>
          <cell r="AV258">
            <v>5851</v>
          </cell>
          <cell r="AW258">
            <v>5877</v>
          </cell>
          <cell r="AX258">
            <v>1225</v>
          </cell>
          <cell r="AY258" t="str">
            <v>0,980</v>
          </cell>
          <cell r="AZ258">
            <v>1490</v>
          </cell>
          <cell r="BA258" t="str">
            <v>14,45%</v>
          </cell>
          <cell r="BB258" t="str">
            <v>14,45%</v>
          </cell>
          <cell r="BW258" t="str">
            <v>C.F.18.B</v>
          </cell>
        </row>
        <row r="259">
          <cell r="C259">
            <v>20</v>
          </cell>
          <cell r="N259" t="str">
            <v/>
          </cell>
        </row>
        <row r="260">
          <cell r="B260" t="str">
            <v>3600CCA29</v>
          </cell>
          <cell r="D260">
            <v>1513.56</v>
          </cell>
          <cell r="E260">
            <v>33371.188999999991</v>
          </cell>
          <cell r="F260" t="str">
            <v>-42116.95</v>
          </cell>
          <cell r="G260" t="str">
            <v>164369.41</v>
          </cell>
          <cell r="I260" t="str">
            <v>S/E A/S</v>
          </cell>
          <cell r="J260">
            <v>1.77</v>
          </cell>
          <cell r="K260" t="str">
            <v>Funicular</v>
          </cell>
          <cell r="L260" t="str">
            <v>Ø300/Ø180/e16</v>
          </cell>
          <cell r="M260" t="str">
            <v>Anc. Ancoragem</v>
          </cell>
          <cell r="N260" t="str">
            <v>Delta</v>
          </cell>
          <cell r="O260" t="str">
            <v>B. Fun.</v>
          </cell>
          <cell r="Q260">
            <v>5.44</v>
          </cell>
          <cell r="R260">
            <v>5.5</v>
          </cell>
          <cell r="S260" t="str">
            <v>+20</v>
          </cell>
          <cell r="T260">
            <v>0</v>
          </cell>
          <cell r="V260" t="str">
            <v>Ancoraem 1HC</v>
          </cell>
          <cell r="Z260" t="str">
            <v>3600CCA29</v>
          </cell>
          <cell r="AA260" t="str">
            <v>Ø300/Ø180/e16</v>
          </cell>
          <cell r="AB260" t="str">
            <v>3600CCA30</v>
          </cell>
          <cell r="AC260" t="str">
            <v>Ø300/Ø180/e16</v>
          </cell>
          <cell r="AD260" t="str">
            <v>1,77</v>
          </cell>
          <cell r="AE260" t="str">
            <v>3,1</v>
          </cell>
          <cell r="AF260" t="str">
            <v>1,77</v>
          </cell>
          <cell r="AG260" t="str">
            <v>5,44</v>
          </cell>
          <cell r="AH260" t="str">
            <v>5,48</v>
          </cell>
          <cell r="AI260" t="str">
            <v>0,20</v>
          </cell>
          <cell r="AJ260" t="str">
            <v>0,20</v>
          </cell>
          <cell r="AK260">
            <v>5818</v>
          </cell>
          <cell r="AL260">
            <v>5879</v>
          </cell>
          <cell r="AM260">
            <v>1172</v>
          </cell>
          <cell r="AN260">
            <v>3350</v>
          </cell>
          <cell r="AO260">
            <v>1514</v>
          </cell>
          <cell r="AP260" t="str">
            <v>14,25%</v>
          </cell>
          <cell r="AQ260" t="str">
            <v>14,25%</v>
          </cell>
          <cell r="AR260" t="str">
            <v>5,50</v>
          </cell>
          <cell r="AS260" t="str">
            <v>5,50</v>
          </cell>
          <cell r="AT260" t="str">
            <v>0,00</v>
          </cell>
          <cell r="AU260" t="str">
            <v>0,00</v>
          </cell>
          <cell r="AV260">
            <v>5861</v>
          </cell>
          <cell r="AW260">
            <v>5861</v>
          </cell>
          <cell r="AX260">
            <v>1489</v>
          </cell>
          <cell r="AY260" t="str">
            <v>0,980</v>
          </cell>
          <cell r="AZ260">
            <v>1489</v>
          </cell>
          <cell r="BA260" t="str">
            <v>14,45%</v>
          </cell>
          <cell r="BB260" t="str">
            <v>14,45%</v>
          </cell>
          <cell r="BW260" t="str">
            <v>C.F.18.A</v>
          </cell>
        </row>
        <row r="261">
          <cell r="C261">
            <v>20</v>
          </cell>
          <cell r="N261" t="str">
            <v/>
          </cell>
          <cell r="U261" t="str">
            <v>Cantón420 m</v>
          </cell>
        </row>
        <row r="262">
          <cell r="B262" t="str">
            <v>3600CCA31</v>
          </cell>
          <cell r="D262">
            <v>1533.56</v>
          </cell>
          <cell r="E262">
            <v>33351.188999999991</v>
          </cell>
          <cell r="F262" t="str">
            <v>-42121.28</v>
          </cell>
          <cell r="G262" t="str">
            <v>164349.88</v>
          </cell>
          <cell r="I262" t="str">
            <v>A/S</v>
          </cell>
          <cell r="J262">
            <v>1.77</v>
          </cell>
          <cell r="K262" t="str">
            <v>Funicular</v>
          </cell>
          <cell r="L262" t="str">
            <v>Ø300/Ø180/e16</v>
          </cell>
          <cell r="M262" t="str">
            <v>Anc. Ancoragem</v>
          </cell>
          <cell r="N262" t="str">
            <v>Delta</v>
          </cell>
          <cell r="Q262">
            <v>5.5</v>
          </cell>
          <cell r="R262">
            <v>5.62</v>
          </cell>
          <cell r="S262" t="str">
            <v>-20</v>
          </cell>
          <cell r="V262" t="str">
            <v>Ancoraem 1HC</v>
          </cell>
          <cell r="BW262" t="str">
            <v>C.F.1</v>
          </cell>
        </row>
        <row r="263">
          <cell r="C263">
            <v>20</v>
          </cell>
          <cell r="N263" t="str">
            <v/>
          </cell>
        </row>
        <row r="264">
          <cell r="B264" t="str">
            <v>3600CCA33</v>
          </cell>
          <cell r="D264">
            <v>1553.56</v>
          </cell>
          <cell r="E264">
            <v>33331.188999999991</v>
          </cell>
          <cell r="F264" t="str">
            <v>-42125.61</v>
          </cell>
          <cell r="G264" t="str">
            <v>164330.36</v>
          </cell>
          <cell r="I264" t="str">
            <v>S</v>
          </cell>
          <cell r="J264">
            <v>1.77</v>
          </cell>
          <cell r="K264" t="str">
            <v>Funicular</v>
          </cell>
          <cell r="L264" t="str">
            <v>Ø300/Ø180/e16</v>
          </cell>
          <cell r="M264" t="str">
            <v>Anc. Corrente</v>
          </cell>
          <cell r="N264" t="str">
            <v>Delta</v>
          </cell>
          <cell r="Q264">
            <v>5.56</v>
          </cell>
          <cell r="S264" t="str">
            <v>+20</v>
          </cell>
          <cell r="Z264" t="str">
            <v>3600CCA33</v>
          </cell>
          <cell r="AA264" t="str">
            <v>Ø300/Ø180/e16</v>
          </cell>
          <cell r="AB264" t="str">
            <v>3600CCA34</v>
          </cell>
          <cell r="AC264" t="str">
            <v>Ø300/Ø180/e16</v>
          </cell>
          <cell r="AD264" t="str">
            <v>1,77</v>
          </cell>
          <cell r="AE264" t="str">
            <v>3,1</v>
          </cell>
          <cell r="AF264" t="str">
            <v>1,77</v>
          </cell>
          <cell r="AG264" t="str">
            <v>5,50</v>
          </cell>
          <cell r="AH264" t="str">
            <v>5,60</v>
          </cell>
          <cell r="AI264" t="str">
            <v>0,20</v>
          </cell>
          <cell r="AJ264" t="str">
            <v>0,20</v>
          </cell>
          <cell r="AK264">
            <v>5920</v>
          </cell>
          <cell r="AL264">
            <v>6095</v>
          </cell>
          <cell r="AM264">
            <v>1198</v>
          </cell>
          <cell r="AN264">
            <v>3350</v>
          </cell>
          <cell r="AO264">
            <v>1631</v>
          </cell>
          <cell r="AP264" t="str">
            <v>11,00%</v>
          </cell>
          <cell r="AQ264" t="str">
            <v>17,35%</v>
          </cell>
          <cell r="BW264" t="str">
            <v>C.F.1</v>
          </cell>
        </row>
        <row r="265">
          <cell r="C265">
            <v>20</v>
          </cell>
          <cell r="N265" t="str">
            <v/>
          </cell>
        </row>
        <row r="266">
          <cell r="B266" t="str">
            <v>3600CCA35</v>
          </cell>
          <cell r="D266">
            <v>1573.56</v>
          </cell>
          <cell r="E266">
            <v>33311.188999999991</v>
          </cell>
          <cell r="F266" t="str">
            <v>-42129.95</v>
          </cell>
          <cell r="G266" t="str">
            <v>164310.83</v>
          </cell>
          <cell r="I266" t="str">
            <v>S</v>
          </cell>
          <cell r="J266">
            <v>1.77</v>
          </cell>
          <cell r="K266" t="str">
            <v>Funicular</v>
          </cell>
          <cell r="L266" t="str">
            <v>Ø300/Ø180/e16</v>
          </cell>
          <cell r="M266" t="str">
            <v>Anc. Corrente</v>
          </cell>
          <cell r="N266" t="str">
            <v>Delta</v>
          </cell>
          <cell r="Q266">
            <v>5.6</v>
          </cell>
          <cell r="S266">
            <v>-20</v>
          </cell>
          <cell r="Z266" t="str">
            <v>3600CCA35</v>
          </cell>
          <cell r="AA266" t="str">
            <v>Ø300/Ø180/e16</v>
          </cell>
          <cell r="AB266" t="str">
            <v>3600CCA36</v>
          </cell>
          <cell r="AC266" t="str">
            <v>Ø300/Ø180/e16</v>
          </cell>
          <cell r="AD266" t="str">
            <v>1,77</v>
          </cell>
          <cell r="AE266" t="str">
            <v>3,1</v>
          </cell>
          <cell r="AF266" t="str">
            <v>1,77</v>
          </cell>
          <cell r="AG266" t="str">
            <v>5,60</v>
          </cell>
          <cell r="AH266" t="str">
            <v>5,60</v>
          </cell>
          <cell r="AI266" t="str">
            <v>-0,20</v>
          </cell>
          <cell r="AJ266" t="str">
            <v>-0,20</v>
          </cell>
          <cell r="AK266">
            <v>6039</v>
          </cell>
          <cell r="AL266">
            <v>5978</v>
          </cell>
          <cell r="AM266">
            <v>1613</v>
          </cell>
          <cell r="AN266">
            <v>3350</v>
          </cell>
          <cell r="AO266">
            <v>1184</v>
          </cell>
          <cell r="AP266" t="str">
            <v>14,25%</v>
          </cell>
          <cell r="AQ266" t="str">
            <v>14,25%</v>
          </cell>
          <cell r="BW266" t="str">
            <v>C.F.2</v>
          </cell>
        </row>
        <row r="267">
          <cell r="C267">
            <v>20</v>
          </cell>
          <cell r="N267" t="str">
            <v/>
          </cell>
          <cell r="X267" t="str">
            <v>1PEAD D110mm ou 2PEAD D63mm+ 1PEAD 32mm</v>
          </cell>
        </row>
        <row r="268">
          <cell r="B268" t="str">
            <v>3600CCA37</v>
          </cell>
          <cell r="D268">
            <v>1593.56</v>
          </cell>
          <cell r="E268">
            <v>33291.188999999991</v>
          </cell>
          <cell r="F268" t="str">
            <v>-42134.29</v>
          </cell>
          <cell r="G268" t="str">
            <v>164291.31</v>
          </cell>
          <cell r="I268" t="str">
            <v>S</v>
          </cell>
          <cell r="J268">
            <v>1.77</v>
          </cell>
          <cell r="K268" t="str">
            <v>Funicular</v>
          </cell>
          <cell r="L268" t="str">
            <v>Ø300/Ø180/e16</v>
          </cell>
          <cell r="M268" t="str">
            <v>Anc. Corrente</v>
          </cell>
          <cell r="N268" t="str">
            <v>Delta</v>
          </cell>
          <cell r="Q268">
            <v>5.6</v>
          </cell>
          <cell r="S268" t="str">
            <v>+20</v>
          </cell>
          <cell r="X268" t="str">
            <v>FR</v>
          </cell>
          <cell r="Z268" t="str">
            <v>3600CCA37</v>
          </cell>
          <cell r="AA268" t="str">
            <v>Ø300/Ø180/e16</v>
          </cell>
          <cell r="AB268" t="str">
            <v>3600CCA38</v>
          </cell>
          <cell r="AC268" t="str">
            <v>Ø300/Ø180/e16</v>
          </cell>
          <cell r="AD268" t="str">
            <v>1,77</v>
          </cell>
          <cell r="AE268" t="str">
            <v>3,1</v>
          </cell>
          <cell r="AF268" t="str">
            <v>1,77</v>
          </cell>
          <cell r="AG268" t="str">
            <v>5,60</v>
          </cell>
          <cell r="AH268" t="str">
            <v>5,60</v>
          </cell>
          <cell r="AI268" t="str">
            <v>0,20</v>
          </cell>
          <cell r="AJ268" t="str">
            <v>0,20</v>
          </cell>
          <cell r="AK268">
            <v>5978</v>
          </cell>
          <cell r="AL268">
            <v>6039</v>
          </cell>
          <cell r="AM268">
            <v>1184</v>
          </cell>
          <cell r="AN268">
            <v>3350</v>
          </cell>
          <cell r="AO268">
            <v>1613</v>
          </cell>
          <cell r="AP268" t="str">
            <v>14,25%</v>
          </cell>
          <cell r="AQ268" t="str">
            <v>14,25%</v>
          </cell>
          <cell r="BW268" t="str">
            <v>C.F.1</v>
          </cell>
        </row>
        <row r="269">
          <cell r="C269">
            <v>20</v>
          </cell>
          <cell r="N269" t="str">
            <v/>
          </cell>
          <cell r="X269" t="str">
            <v>1PEAD D110mm ou 2PEAD D63mm</v>
          </cell>
        </row>
        <row r="270">
          <cell r="B270" t="str">
            <v>3600CCA39</v>
          </cell>
          <cell r="D270">
            <v>1613.56</v>
          </cell>
          <cell r="E270">
            <v>33271.188999999991</v>
          </cell>
          <cell r="F270" t="str">
            <v>-42137.79</v>
          </cell>
          <cell r="G270" t="str">
            <v>164271.60</v>
          </cell>
          <cell r="I270" t="str">
            <v>S</v>
          </cell>
          <cell r="J270">
            <v>1.77</v>
          </cell>
          <cell r="K270" t="str">
            <v>Funicular</v>
          </cell>
          <cell r="L270" t="str">
            <v>Ø300/Ø180/e16</v>
          </cell>
          <cell r="M270" t="str">
            <v>Anc. Corrente</v>
          </cell>
          <cell r="N270" t="str">
            <v>Delta</v>
          </cell>
          <cell r="Q270">
            <v>5.6</v>
          </cell>
          <cell r="S270">
            <v>-20</v>
          </cell>
          <cell r="Z270" t="str">
            <v>3600CCA39</v>
          </cell>
          <cell r="AA270" t="str">
            <v>Ø300/Ø180/e16</v>
          </cell>
          <cell r="AB270" t="str">
            <v>3600CCA40</v>
          </cell>
          <cell r="AC270" t="str">
            <v>Ø300/Ø180/e16</v>
          </cell>
          <cell r="AD270" t="str">
            <v>1,77</v>
          </cell>
          <cell r="AE270" t="str">
            <v>3,1</v>
          </cell>
          <cell r="AF270" t="str">
            <v>1,77</v>
          </cell>
          <cell r="AG270" t="str">
            <v>5,60</v>
          </cell>
          <cell r="AH270" t="str">
            <v>5,60</v>
          </cell>
          <cell r="AI270" t="str">
            <v>-0,20</v>
          </cell>
          <cell r="AJ270" t="str">
            <v>-0,20</v>
          </cell>
          <cell r="AK270">
            <v>6039</v>
          </cell>
          <cell r="AL270">
            <v>5978</v>
          </cell>
          <cell r="AM270">
            <v>1613</v>
          </cell>
          <cell r="AN270">
            <v>3350</v>
          </cell>
          <cell r="AO270">
            <v>1184</v>
          </cell>
          <cell r="AP270" t="str">
            <v>14,25%</v>
          </cell>
          <cell r="AQ270" t="str">
            <v>14,25%</v>
          </cell>
          <cell r="BW270" t="str">
            <v>C.F.2</v>
          </cell>
        </row>
        <row r="271">
          <cell r="C271">
            <v>20</v>
          </cell>
          <cell r="N271" t="str">
            <v/>
          </cell>
        </row>
        <row r="272">
          <cell r="B272" t="str">
            <v>3600CCA41</v>
          </cell>
          <cell r="D272">
            <v>1633.56</v>
          </cell>
          <cell r="E272">
            <v>33251.188999999991</v>
          </cell>
          <cell r="F272" t="str">
            <v>-42142.13</v>
          </cell>
          <cell r="G272" t="str">
            <v>164252.08</v>
          </cell>
          <cell r="I272" t="str">
            <v>S</v>
          </cell>
          <cell r="J272">
            <v>1.77</v>
          </cell>
          <cell r="K272" t="str">
            <v>Funicular</v>
          </cell>
          <cell r="L272" t="str">
            <v>Ø300/Ø180/e16</v>
          </cell>
          <cell r="M272" t="str">
            <v>Anc. Corrente</v>
          </cell>
          <cell r="N272" t="str">
            <v>Delta</v>
          </cell>
          <cell r="Q272">
            <v>5.6</v>
          </cell>
          <cell r="S272" t="str">
            <v>+20</v>
          </cell>
          <cell r="Z272" t="str">
            <v>3600CCA41</v>
          </cell>
          <cell r="AA272" t="str">
            <v>Ø300/Ø180/e16</v>
          </cell>
          <cell r="AB272" t="str">
            <v>3600CCA42</v>
          </cell>
          <cell r="AC272" t="str">
            <v>Ø300/Ø180/e16</v>
          </cell>
          <cell r="AD272" t="str">
            <v>1,77</v>
          </cell>
          <cell r="AE272" t="str">
            <v>3,1</v>
          </cell>
          <cell r="AF272" t="str">
            <v>1,77</v>
          </cell>
          <cell r="AG272" t="str">
            <v>5,60</v>
          </cell>
          <cell r="AH272" t="str">
            <v>5,60</v>
          </cell>
          <cell r="AI272" t="str">
            <v>0,20</v>
          </cell>
          <cell r="AJ272" t="str">
            <v>0,20</v>
          </cell>
          <cell r="AK272">
            <v>5978</v>
          </cell>
          <cell r="AL272">
            <v>6039</v>
          </cell>
          <cell r="AM272">
            <v>1184</v>
          </cell>
          <cell r="AN272">
            <v>3350</v>
          </cell>
          <cell r="AO272">
            <v>1613</v>
          </cell>
          <cell r="AP272" t="str">
            <v>14,25%</v>
          </cell>
          <cell r="AQ272" t="str">
            <v>14,25%</v>
          </cell>
          <cell r="BW272" t="str">
            <v>C.F.1</v>
          </cell>
        </row>
        <row r="273">
          <cell r="C273">
            <v>20</v>
          </cell>
          <cell r="N273" t="str">
            <v/>
          </cell>
        </row>
        <row r="274">
          <cell r="B274" t="str">
            <v>3600CCA43</v>
          </cell>
          <cell r="D274">
            <v>1653.56</v>
          </cell>
          <cell r="E274">
            <v>33231.188999999991</v>
          </cell>
          <cell r="F274" t="str">
            <v>-42146.46</v>
          </cell>
          <cell r="G274" t="str">
            <v>164232.55</v>
          </cell>
          <cell r="I274" t="str">
            <v>S</v>
          </cell>
          <cell r="J274">
            <v>1.77</v>
          </cell>
          <cell r="K274" t="str">
            <v>Funicular</v>
          </cell>
          <cell r="L274" t="str">
            <v>Ø300/Ø180/e16</v>
          </cell>
          <cell r="M274" t="str">
            <v>Anc. Corrente</v>
          </cell>
          <cell r="N274" t="str">
            <v>Delta</v>
          </cell>
          <cell r="Q274">
            <v>5.6</v>
          </cell>
          <cell r="S274">
            <v>-20</v>
          </cell>
          <cell r="Z274" t="str">
            <v>3600CCA43</v>
          </cell>
          <cell r="AA274" t="str">
            <v>Ø300/Ø180/e16</v>
          </cell>
          <cell r="AB274" t="str">
            <v>3600CCA44</v>
          </cell>
          <cell r="AC274" t="str">
            <v>Ø300/Ø180/e16</v>
          </cell>
          <cell r="AD274" t="str">
            <v>1,77</v>
          </cell>
          <cell r="AE274" t="str">
            <v>3,1</v>
          </cell>
          <cell r="AF274" t="str">
            <v>1,77</v>
          </cell>
          <cell r="AG274" t="str">
            <v>5,60</v>
          </cell>
          <cell r="AH274" t="str">
            <v>5,60</v>
          </cell>
          <cell r="AI274" t="str">
            <v>-0,20</v>
          </cell>
          <cell r="AJ274" t="str">
            <v>-0,20</v>
          </cell>
          <cell r="AK274">
            <v>6039</v>
          </cell>
          <cell r="AL274">
            <v>5978</v>
          </cell>
          <cell r="AM274">
            <v>1613</v>
          </cell>
          <cell r="AN274">
            <v>3350</v>
          </cell>
          <cell r="AO274">
            <v>1184</v>
          </cell>
          <cell r="AP274" t="str">
            <v>14,25%</v>
          </cell>
          <cell r="AQ274" t="str">
            <v>14,25%</v>
          </cell>
          <cell r="BW274" t="str">
            <v>C.F.2</v>
          </cell>
        </row>
        <row r="275">
          <cell r="C275">
            <v>20</v>
          </cell>
          <cell r="N275" t="str">
            <v/>
          </cell>
        </row>
        <row r="276">
          <cell r="B276" t="str">
            <v>3600CCA45</v>
          </cell>
          <cell r="D276">
            <v>1673.56</v>
          </cell>
          <cell r="E276">
            <v>33211.188999999991</v>
          </cell>
          <cell r="F276" t="str">
            <v>-42151.63</v>
          </cell>
          <cell r="G276" t="str">
            <v>164213.21</v>
          </cell>
          <cell r="I276" t="str">
            <v>S</v>
          </cell>
          <cell r="J276">
            <v>1.77</v>
          </cell>
          <cell r="K276" t="str">
            <v>Funicular</v>
          </cell>
          <cell r="L276" t="str">
            <v>Ø300/Ø180/e16</v>
          </cell>
          <cell r="M276" t="str">
            <v>Anc. Corrente</v>
          </cell>
          <cell r="N276" t="str">
            <v>Delta</v>
          </cell>
          <cell r="Q276">
            <v>5.6</v>
          </cell>
          <cell r="S276" t="str">
            <v>+20</v>
          </cell>
          <cell r="Z276" t="str">
            <v>3600CCA45</v>
          </cell>
          <cell r="AA276" t="str">
            <v>Ø300/Ø180/e16</v>
          </cell>
          <cell r="AB276" t="str">
            <v>3600CCA46</v>
          </cell>
          <cell r="AC276" t="str">
            <v>Ø300/Ø180/e16</v>
          </cell>
          <cell r="AD276" t="str">
            <v>1,77</v>
          </cell>
          <cell r="AE276" t="str">
            <v>3,1</v>
          </cell>
          <cell r="AF276" t="str">
            <v>1,77</v>
          </cell>
          <cell r="AG276" t="str">
            <v>5,60</v>
          </cell>
          <cell r="AH276" t="str">
            <v>5,60</v>
          </cell>
          <cell r="AI276" t="str">
            <v>0,20</v>
          </cell>
          <cell r="AJ276" t="str">
            <v>0,20</v>
          </cell>
          <cell r="AK276">
            <v>5978</v>
          </cell>
          <cell r="AL276">
            <v>6039</v>
          </cell>
          <cell r="AM276">
            <v>1184</v>
          </cell>
          <cell r="AN276">
            <v>3350</v>
          </cell>
          <cell r="AO276">
            <v>1613</v>
          </cell>
          <cell r="AP276" t="str">
            <v>14,25%</v>
          </cell>
          <cell r="AQ276" t="str">
            <v>14,25%</v>
          </cell>
          <cell r="BW276" t="str">
            <v>C.F.1</v>
          </cell>
        </row>
        <row r="277">
          <cell r="C277">
            <v>20</v>
          </cell>
          <cell r="N277" t="str">
            <v/>
          </cell>
        </row>
        <row r="278">
          <cell r="B278" t="str">
            <v>3600CCA47</v>
          </cell>
          <cell r="D278">
            <v>1693.56</v>
          </cell>
          <cell r="E278">
            <v>33191.188999999991</v>
          </cell>
          <cell r="F278" t="str">
            <v>-42155.96</v>
          </cell>
          <cell r="G278" t="str">
            <v>164193.69</v>
          </cell>
          <cell r="I278" t="str">
            <v>S</v>
          </cell>
          <cell r="J278">
            <v>1.77</v>
          </cell>
          <cell r="K278" t="str">
            <v>Funicular</v>
          </cell>
          <cell r="L278" t="str">
            <v>Ø300/Ø180/e16</v>
          </cell>
          <cell r="M278" t="str">
            <v>Anc. Corrente</v>
          </cell>
          <cell r="N278" t="str">
            <v>Delta</v>
          </cell>
          <cell r="Q278">
            <v>5.6</v>
          </cell>
          <cell r="S278">
            <v>-20</v>
          </cell>
          <cell r="Z278" t="str">
            <v>3600CCA47</v>
          </cell>
          <cell r="AA278" t="str">
            <v>Ø300/Ø180/e16</v>
          </cell>
          <cell r="AB278" t="str">
            <v>3600CCA48</v>
          </cell>
          <cell r="AC278" t="str">
            <v>Ø300/Ø180/e16</v>
          </cell>
          <cell r="AD278" t="str">
            <v>1,77</v>
          </cell>
          <cell r="AE278" t="str">
            <v>3,1</v>
          </cell>
          <cell r="AF278" t="str">
            <v>1,77</v>
          </cell>
          <cell r="AG278" t="str">
            <v>5,60</v>
          </cell>
          <cell r="AH278" t="str">
            <v>5,60</v>
          </cell>
          <cell r="AI278" t="str">
            <v>-0,20</v>
          </cell>
          <cell r="AJ278" t="str">
            <v>-0,20</v>
          </cell>
          <cell r="AK278">
            <v>6039</v>
          </cell>
          <cell r="AL278">
            <v>5978</v>
          </cell>
          <cell r="AM278">
            <v>1613</v>
          </cell>
          <cell r="AN278">
            <v>3350</v>
          </cell>
          <cell r="AO278">
            <v>1184</v>
          </cell>
          <cell r="AP278" t="str">
            <v>14,25%</v>
          </cell>
          <cell r="AQ278" t="str">
            <v>14,25%</v>
          </cell>
          <cell r="BW278" t="str">
            <v>C.F.2</v>
          </cell>
        </row>
        <row r="279">
          <cell r="C279">
            <v>20</v>
          </cell>
          <cell r="N279" t="str">
            <v/>
          </cell>
        </row>
        <row r="280">
          <cell r="B280" t="str">
            <v>3600CCA49</v>
          </cell>
          <cell r="D280">
            <v>1713.56</v>
          </cell>
          <cell r="E280">
            <v>33171.188999999991</v>
          </cell>
          <cell r="F280" t="str">
            <v>-42160.29</v>
          </cell>
          <cell r="G280" t="str">
            <v>164174.16</v>
          </cell>
          <cell r="I280" t="str">
            <v>S</v>
          </cell>
          <cell r="J280">
            <v>1.77</v>
          </cell>
          <cell r="K280" t="str">
            <v>Funicular</v>
          </cell>
          <cell r="L280" t="str">
            <v>Ø300/Ø180/e16</v>
          </cell>
          <cell r="M280" t="str">
            <v>Anc. Corrente</v>
          </cell>
          <cell r="N280" t="str">
            <v>Delta</v>
          </cell>
          <cell r="Q280">
            <v>5.6</v>
          </cell>
          <cell r="S280" t="str">
            <v>+20</v>
          </cell>
          <cell r="Z280" t="str">
            <v>3600CCA49</v>
          </cell>
          <cell r="AA280" t="str">
            <v>Ø300/Ø180/e16</v>
          </cell>
          <cell r="AB280" t="str">
            <v>3600CCA50</v>
          </cell>
          <cell r="AC280" t="str">
            <v>Ø300/Ø180/e16</v>
          </cell>
          <cell r="AD280" t="str">
            <v>1,77</v>
          </cell>
          <cell r="AE280" t="str">
            <v>3,1</v>
          </cell>
          <cell r="AF280" t="str">
            <v>1,77</v>
          </cell>
          <cell r="AG280" t="str">
            <v>5,60</v>
          </cell>
          <cell r="AH280" t="str">
            <v>5,60</v>
          </cell>
          <cell r="AI280" t="str">
            <v>0,20</v>
          </cell>
          <cell r="AJ280" t="str">
            <v>0,20</v>
          </cell>
          <cell r="AK280">
            <v>5978</v>
          </cell>
          <cell r="AL280">
            <v>6039</v>
          </cell>
          <cell r="AM280">
            <v>1184</v>
          </cell>
          <cell r="AN280">
            <v>3350</v>
          </cell>
          <cell r="AO280">
            <v>1613</v>
          </cell>
          <cell r="AP280" t="str">
            <v>14,25%</v>
          </cell>
          <cell r="AQ280" t="str">
            <v>14,25%</v>
          </cell>
          <cell r="BW280" t="str">
            <v>C.F.1</v>
          </cell>
        </row>
        <row r="281">
          <cell r="C281">
            <v>20</v>
          </cell>
          <cell r="N281" t="str">
            <v/>
          </cell>
        </row>
        <row r="282">
          <cell r="B282" t="str">
            <v>3600CCA51</v>
          </cell>
          <cell r="D282">
            <v>1733.56</v>
          </cell>
          <cell r="E282">
            <v>33151.188999999991</v>
          </cell>
          <cell r="F282" t="str">
            <v>-42164.63</v>
          </cell>
          <cell r="G282" t="str">
            <v>164154.64</v>
          </cell>
          <cell r="I282" t="str">
            <v>S</v>
          </cell>
          <cell r="J282">
            <v>1.77</v>
          </cell>
          <cell r="K282" t="str">
            <v>Funicular</v>
          </cell>
          <cell r="L282" t="str">
            <v>Ø300/Ø180/e16</v>
          </cell>
          <cell r="M282" t="str">
            <v>Anc. Corrente</v>
          </cell>
          <cell r="N282" t="str">
            <v>Delta</v>
          </cell>
          <cell r="Q282">
            <v>5.6</v>
          </cell>
          <cell r="S282">
            <v>-20</v>
          </cell>
          <cell r="Z282" t="str">
            <v>3600CCA51</v>
          </cell>
          <cell r="AA282" t="str">
            <v>Ø300/Ø180/e16</v>
          </cell>
          <cell r="AB282" t="str">
            <v>3600CCA52</v>
          </cell>
          <cell r="AC282" t="str">
            <v>Ø300/Ø180/e16</v>
          </cell>
          <cell r="AD282" t="str">
            <v>1,77</v>
          </cell>
          <cell r="AE282" t="str">
            <v>3,1</v>
          </cell>
          <cell r="AF282" t="str">
            <v>1,77</v>
          </cell>
          <cell r="AG282" t="str">
            <v>5,60</v>
          </cell>
          <cell r="AH282" t="str">
            <v>5,60</v>
          </cell>
          <cell r="AI282" t="str">
            <v>-0,20</v>
          </cell>
          <cell r="AJ282" t="str">
            <v>-0,20</v>
          </cell>
          <cell r="AK282">
            <v>6039</v>
          </cell>
          <cell r="AL282">
            <v>5978</v>
          </cell>
          <cell r="AM282">
            <v>1613</v>
          </cell>
          <cell r="AN282">
            <v>3350</v>
          </cell>
          <cell r="AO282">
            <v>1184</v>
          </cell>
          <cell r="AP282" t="str">
            <v>14,25%</v>
          </cell>
          <cell r="AQ282" t="str">
            <v>14,25%</v>
          </cell>
          <cell r="BW282" t="str">
            <v>C.F.2</v>
          </cell>
        </row>
        <row r="283">
          <cell r="C283">
            <v>20</v>
          </cell>
          <cell r="N283" t="str">
            <v/>
          </cell>
          <cell r="X283" t="str">
            <v>1PEAD D110mm ou 2PEAD D63mm+ 1PEAD 32mm</v>
          </cell>
        </row>
        <row r="284">
          <cell r="B284" t="str">
            <v>3600CCA53</v>
          </cell>
          <cell r="D284">
            <v>1753.56</v>
          </cell>
          <cell r="E284">
            <v>33131.188999999991</v>
          </cell>
          <cell r="F284" t="str">
            <v>-42168.96</v>
          </cell>
          <cell r="G284" t="str">
            <v>164135.11</v>
          </cell>
          <cell r="I284" t="str">
            <v>S</v>
          </cell>
          <cell r="J284">
            <v>1.77</v>
          </cell>
          <cell r="K284" t="str">
            <v>Funicular</v>
          </cell>
          <cell r="L284" t="str">
            <v>Ø300/Ø180/e16</v>
          </cell>
          <cell r="M284" t="str">
            <v>Anc. Corrente</v>
          </cell>
          <cell r="N284" t="str">
            <v>Delta</v>
          </cell>
          <cell r="Q284">
            <v>5.6</v>
          </cell>
          <cell r="S284" t="str">
            <v>+20</v>
          </cell>
          <cell r="X284" t="str">
            <v>FR</v>
          </cell>
          <cell r="Z284" t="str">
            <v>3600CCA53</v>
          </cell>
          <cell r="AA284" t="str">
            <v>Ø300/Ø180/e16</v>
          </cell>
          <cell r="AB284" t="str">
            <v>3600CCA54</v>
          </cell>
          <cell r="AC284" t="str">
            <v>Ø300/Ø180/e16</v>
          </cell>
          <cell r="AD284" t="str">
            <v>1,77</v>
          </cell>
          <cell r="AE284" t="str">
            <v>3,1</v>
          </cell>
          <cell r="AF284" t="str">
            <v>1,77</v>
          </cell>
          <cell r="AG284" t="str">
            <v>5,60</v>
          </cell>
          <cell r="AH284" t="str">
            <v>5,60</v>
          </cell>
          <cell r="AI284" t="str">
            <v>0,20</v>
          </cell>
          <cell r="AJ284" t="str">
            <v>0,20</v>
          </cell>
          <cell r="AK284">
            <v>5978</v>
          </cell>
          <cell r="AL284">
            <v>6039</v>
          </cell>
          <cell r="AM284">
            <v>1184</v>
          </cell>
          <cell r="AN284">
            <v>3350</v>
          </cell>
          <cell r="AO284">
            <v>1613</v>
          </cell>
          <cell r="AP284" t="str">
            <v>14,25%</v>
          </cell>
          <cell r="AQ284" t="str">
            <v>14,25%</v>
          </cell>
          <cell r="BW284" t="str">
            <v>C.F.1</v>
          </cell>
        </row>
        <row r="285">
          <cell r="C285">
            <v>20</v>
          </cell>
          <cell r="N285" t="str">
            <v/>
          </cell>
          <cell r="X285" t="str">
            <v>1PEAD D110mm ou 2PEAD D63mm</v>
          </cell>
        </row>
        <row r="286">
          <cell r="B286" t="str">
            <v>3600CCA55</v>
          </cell>
          <cell r="D286">
            <v>1773.56</v>
          </cell>
          <cell r="E286">
            <v>33111.188999999991</v>
          </cell>
          <cell r="F286" t="str">
            <v>-42173.28</v>
          </cell>
          <cell r="G286" t="str">
            <v>164115.59</v>
          </cell>
          <cell r="I286" t="str">
            <v>A/S</v>
          </cell>
          <cell r="J286">
            <v>1.77</v>
          </cell>
          <cell r="K286" t="str">
            <v>Funicular</v>
          </cell>
          <cell r="L286" t="str">
            <v>Ø300/Ø180/e16</v>
          </cell>
          <cell r="M286" t="str">
            <v>Anc. Ancoragem</v>
          </cell>
          <cell r="N286" t="str">
            <v>Delta</v>
          </cell>
          <cell r="Q286">
            <v>5.84</v>
          </cell>
          <cell r="R286">
            <v>5.6</v>
          </cell>
          <cell r="S286">
            <v>-20</v>
          </cell>
          <cell r="V286" t="str">
            <v>Ancoraem 1HC</v>
          </cell>
          <cell r="Z286" t="str">
            <v>3600CCA55</v>
          </cell>
          <cell r="AA286" t="str">
            <v>Ø300/Ø180/e16</v>
          </cell>
          <cell r="AB286" t="str">
            <v>3600CCA56</v>
          </cell>
          <cell r="AC286" t="str">
            <v>Ø300/Ø180/e16</v>
          </cell>
          <cell r="AD286" t="str">
            <v>1,77</v>
          </cell>
          <cell r="AE286" t="str">
            <v>3,1</v>
          </cell>
          <cell r="AF286" t="str">
            <v>1,77</v>
          </cell>
          <cell r="AG286" t="str">
            <v>5,60</v>
          </cell>
          <cell r="AH286" t="str">
            <v>5,60</v>
          </cell>
          <cell r="AI286" t="str">
            <v>-0,20</v>
          </cell>
          <cell r="AJ286" t="str">
            <v>-0,20</v>
          </cell>
          <cell r="AK286">
            <v>6039</v>
          </cell>
          <cell r="AL286">
            <v>5978</v>
          </cell>
          <cell r="AM286">
            <v>1613</v>
          </cell>
          <cell r="AN286">
            <v>3350</v>
          </cell>
          <cell r="AO286">
            <v>1184</v>
          </cell>
          <cell r="AP286" t="str">
            <v>14,25%</v>
          </cell>
          <cell r="AQ286" t="str">
            <v>14,25%</v>
          </cell>
          <cell r="AV286" t="str">
            <v>5,84</v>
          </cell>
          <cell r="AW286" t="str">
            <v>5,84</v>
          </cell>
          <cell r="BW286" t="str">
            <v>C.F.7.A</v>
          </cell>
        </row>
        <row r="287">
          <cell r="C287">
            <v>20</v>
          </cell>
          <cell r="N287" t="str">
            <v/>
          </cell>
          <cell r="U287" t="str">
            <v>Cantón 420 m</v>
          </cell>
        </row>
        <row r="288">
          <cell r="B288" t="str">
            <v>3600CCA57</v>
          </cell>
          <cell r="D288">
            <v>1793.56</v>
          </cell>
          <cell r="E288">
            <v>33091.188999999991</v>
          </cell>
          <cell r="F288" t="str">
            <v>-42177.62</v>
          </cell>
          <cell r="G288" t="str">
            <v>164096.06</v>
          </cell>
          <cell r="I288" t="str">
            <v>S/E A/S</v>
          </cell>
          <cell r="J288">
            <v>1.77</v>
          </cell>
          <cell r="K288" t="str">
            <v>Funicular</v>
          </cell>
          <cell r="L288" t="str">
            <v>Ø300/Ø180/e16</v>
          </cell>
          <cell r="M288" t="str">
            <v>Anc. Ancoragem</v>
          </cell>
          <cell r="N288" t="str">
            <v>B. Fun.</v>
          </cell>
          <cell r="O288" t="str">
            <v>Delta</v>
          </cell>
          <cell r="Q288">
            <v>5.72</v>
          </cell>
          <cell r="R288">
            <v>5.6</v>
          </cell>
          <cell r="S288">
            <v>0</v>
          </cell>
          <cell r="T288" t="str">
            <v>+20</v>
          </cell>
          <cell r="V288" t="str">
            <v>Ancoraem 1HC</v>
          </cell>
          <cell r="Z288" t="str">
            <v>3600CCA57</v>
          </cell>
          <cell r="AA288" t="str">
            <v>Ø300/Ø180/e16</v>
          </cell>
          <cell r="AB288" t="str">
            <v>3600CCA58</v>
          </cell>
          <cell r="AC288" t="str">
            <v>Ø300/Ø180/e16</v>
          </cell>
          <cell r="AD288" t="str">
            <v>1,77</v>
          </cell>
          <cell r="AE288" t="str">
            <v>3,1</v>
          </cell>
          <cell r="AF288" t="str">
            <v>1,77</v>
          </cell>
          <cell r="AG288" t="str">
            <v>5,60</v>
          </cell>
          <cell r="AH288" t="str">
            <v>5,60</v>
          </cell>
          <cell r="AI288" t="str">
            <v>0,20</v>
          </cell>
          <cell r="AJ288" t="str">
            <v>0,20</v>
          </cell>
          <cell r="AK288">
            <v>5978</v>
          </cell>
          <cell r="AL288">
            <v>6039</v>
          </cell>
          <cell r="AM288">
            <v>1172</v>
          </cell>
          <cell r="AN288">
            <v>3350</v>
          </cell>
          <cell r="AO288">
            <v>1514</v>
          </cell>
          <cell r="AP288" t="str">
            <v>14,25%</v>
          </cell>
          <cell r="AQ288" t="str">
            <v>14,25%</v>
          </cell>
          <cell r="AR288" t="str">
            <v>5,84</v>
          </cell>
          <cell r="AS288" t="str">
            <v>5,84</v>
          </cell>
          <cell r="AT288" t="str">
            <v>0,00</v>
          </cell>
          <cell r="AU288" t="str">
            <v>0,00</v>
          </cell>
          <cell r="AV288">
            <v>6161</v>
          </cell>
          <cell r="AW288">
            <v>6161</v>
          </cell>
          <cell r="AX288">
            <v>1489</v>
          </cell>
          <cell r="AY288" t="str">
            <v>0,980</v>
          </cell>
          <cell r="AZ288">
            <v>1489</v>
          </cell>
          <cell r="BA288" t="str">
            <v>14,45%</v>
          </cell>
          <cell r="BB288" t="str">
            <v>14,45%</v>
          </cell>
          <cell r="BW288" t="str">
            <v>C.F.18.A</v>
          </cell>
        </row>
        <row r="289">
          <cell r="C289">
            <v>20</v>
          </cell>
          <cell r="N289" t="str">
            <v/>
          </cell>
        </row>
        <row r="290">
          <cell r="B290" t="str">
            <v>3600CCA59</v>
          </cell>
          <cell r="D290">
            <v>1813.56</v>
          </cell>
          <cell r="E290">
            <v>33071.188999999991</v>
          </cell>
          <cell r="F290" t="str">
            <v>-42181.95</v>
          </cell>
          <cell r="G290" t="str">
            <v>164076.54</v>
          </cell>
          <cell r="I290" t="str">
            <v>E</v>
          </cell>
          <cell r="J290">
            <v>1.77</v>
          </cell>
          <cell r="K290" t="str">
            <v>Funicular</v>
          </cell>
          <cell r="L290" t="str">
            <v>Ø300/Ø180/e16</v>
          </cell>
          <cell r="M290" t="str">
            <v>Anc. Ancoragem</v>
          </cell>
          <cell r="N290" t="str">
            <v>B. Fun.</v>
          </cell>
          <cell r="O290" t="str">
            <v>Delta</v>
          </cell>
          <cell r="Q290">
            <v>5.6</v>
          </cell>
          <cell r="R290">
            <v>5.6</v>
          </cell>
          <cell r="S290">
            <v>-20</v>
          </cell>
          <cell r="T290">
            <v>0</v>
          </cell>
          <cell r="U290" t="str">
            <v>Seccionamento</v>
          </cell>
          <cell r="Z290" t="str">
            <v>3600CCA59</v>
          </cell>
          <cell r="AA290" t="str">
            <v>Ø300/Ø180/e16</v>
          </cell>
          <cell r="AB290" t="str">
            <v>3600CCA60</v>
          </cell>
          <cell r="AC290" t="str">
            <v>Ø300/Ø180/e16</v>
          </cell>
          <cell r="AD290">
            <v>177</v>
          </cell>
          <cell r="AE290" t="str">
            <v>3,1</v>
          </cell>
          <cell r="AF290" t="str">
            <v>1,77</v>
          </cell>
          <cell r="AG290" t="str">
            <v>5,60</v>
          </cell>
          <cell r="AH290" t="str">
            <v>5,60</v>
          </cell>
          <cell r="AI290" t="str">
            <v>0,00</v>
          </cell>
          <cell r="AJ290" t="str">
            <v>0,00</v>
          </cell>
          <cell r="AK290">
            <v>6014</v>
          </cell>
          <cell r="AL290">
            <v>6014</v>
          </cell>
          <cell r="AM290">
            <v>1344</v>
          </cell>
          <cell r="AN290">
            <v>3350</v>
          </cell>
          <cell r="AO290">
            <v>1344</v>
          </cell>
          <cell r="AP290" t="str">
            <v>14,25%</v>
          </cell>
          <cell r="AQ290" t="str">
            <v>14,25%</v>
          </cell>
          <cell r="AR290" t="str">
            <v>5,72</v>
          </cell>
          <cell r="AS290" t="str">
            <v>5,72</v>
          </cell>
          <cell r="AT290" t="str">
            <v>-0,20</v>
          </cell>
          <cell r="AU290" t="str">
            <v>-0,20</v>
          </cell>
          <cell r="AV290">
            <v>6157</v>
          </cell>
          <cell r="AW290">
            <v>6131</v>
          </cell>
          <cell r="AX290">
            <v>1490</v>
          </cell>
          <cell r="AY290" t="str">
            <v>0,980</v>
          </cell>
          <cell r="AZ290">
            <v>1225</v>
          </cell>
          <cell r="BA290" t="str">
            <v>14,45%</v>
          </cell>
          <cell r="BB290" t="str">
            <v>14,45%</v>
          </cell>
          <cell r="BW290" t="str">
            <v>C.F.18.B</v>
          </cell>
        </row>
        <row r="291">
          <cell r="C291">
            <v>20</v>
          </cell>
          <cell r="N291" t="str">
            <v/>
          </cell>
        </row>
        <row r="292">
          <cell r="B292" t="str">
            <v>3600CCA61</v>
          </cell>
          <cell r="D292">
            <v>1833.56</v>
          </cell>
          <cell r="E292">
            <v>33051.188999999991</v>
          </cell>
          <cell r="F292" t="str">
            <v>-42186.30</v>
          </cell>
          <cell r="G292" t="str">
            <v>164057.02</v>
          </cell>
          <cell r="I292" t="str">
            <v>E</v>
          </cell>
          <cell r="J292">
            <v>1.77</v>
          </cell>
          <cell r="K292" t="str">
            <v>Funicular</v>
          </cell>
          <cell r="L292" t="str">
            <v>Ø300/Ø180/e16</v>
          </cell>
          <cell r="M292" t="str">
            <v>Anc. Ancoragem</v>
          </cell>
          <cell r="N292" t="str">
            <v>Delta</v>
          </cell>
          <cell r="O292" t="str">
            <v>B. Fun</v>
          </cell>
          <cell r="Q292">
            <v>5.6</v>
          </cell>
          <cell r="R292">
            <v>5.6</v>
          </cell>
          <cell r="S292">
            <v>0</v>
          </cell>
          <cell r="T292" t="str">
            <v>+20</v>
          </cell>
          <cell r="Z292" t="str">
            <v>3600CCA61</v>
          </cell>
          <cell r="AA292" t="str">
            <v>Ø300/Ø180/e16</v>
          </cell>
          <cell r="AB292" t="str">
            <v>3600CCA62</v>
          </cell>
          <cell r="AC292" t="str">
            <v>Ø300/Ø180/e16</v>
          </cell>
          <cell r="AD292">
            <v>177</v>
          </cell>
          <cell r="AE292" t="str">
            <v>3,1</v>
          </cell>
          <cell r="AF292" t="str">
            <v>1,77</v>
          </cell>
          <cell r="AG292" t="str">
            <v>5,60</v>
          </cell>
          <cell r="AH292" t="str">
            <v>5,60</v>
          </cell>
          <cell r="AI292" t="str">
            <v>0,00</v>
          </cell>
          <cell r="AJ292" t="str">
            <v>0,00</v>
          </cell>
          <cell r="AK292">
            <v>6014</v>
          </cell>
          <cell r="AL292">
            <v>6014</v>
          </cell>
          <cell r="AM292">
            <v>1344</v>
          </cell>
          <cell r="AN292">
            <v>3350</v>
          </cell>
          <cell r="AO292">
            <v>1344</v>
          </cell>
          <cell r="AP292" t="str">
            <v>14,25%</v>
          </cell>
          <cell r="AQ292" t="str">
            <v>14,25%</v>
          </cell>
          <cell r="AR292" t="str">
            <v>5,72</v>
          </cell>
          <cell r="AS292" t="str">
            <v>5,72</v>
          </cell>
          <cell r="AT292" t="str">
            <v>0,20</v>
          </cell>
          <cell r="AU292" t="str">
            <v>0,20</v>
          </cell>
          <cell r="AV292">
            <v>6131</v>
          </cell>
          <cell r="AW292">
            <v>6157</v>
          </cell>
          <cell r="AX292">
            <v>1225</v>
          </cell>
          <cell r="AY292" t="str">
            <v>0,980</v>
          </cell>
          <cell r="AZ292">
            <v>1490</v>
          </cell>
          <cell r="BA292" t="str">
            <v>14,45%</v>
          </cell>
          <cell r="BB292" t="str">
            <v>14,45%</v>
          </cell>
          <cell r="BW292" t="str">
            <v>C.F.18.B</v>
          </cell>
        </row>
        <row r="293">
          <cell r="C293">
            <v>20</v>
          </cell>
          <cell r="N293" t="str">
            <v/>
          </cell>
        </row>
        <row r="294">
          <cell r="B294" t="str">
            <v>3600CCA63</v>
          </cell>
          <cell r="D294">
            <v>1853.56</v>
          </cell>
          <cell r="E294">
            <v>33031.188999999991</v>
          </cell>
          <cell r="F294" t="str">
            <v>-42190.63</v>
          </cell>
          <cell r="G294" t="str">
            <v>164037.49</v>
          </cell>
          <cell r="I294" t="str">
            <v>S/E A/S</v>
          </cell>
          <cell r="J294">
            <v>1.77</v>
          </cell>
          <cell r="K294" t="str">
            <v>Funicular</v>
          </cell>
          <cell r="L294" t="str">
            <v>Ø300/Ø180/e16</v>
          </cell>
          <cell r="M294" t="str">
            <v>Anc. Ancoragem</v>
          </cell>
          <cell r="N294" t="str">
            <v>Delta</v>
          </cell>
          <cell r="O294" t="str">
            <v>B. Fun</v>
          </cell>
          <cell r="Q294">
            <v>5.6</v>
          </cell>
          <cell r="R294">
            <v>5.72</v>
          </cell>
          <cell r="S294">
            <v>-20</v>
          </cell>
          <cell r="T294">
            <v>0</v>
          </cell>
          <cell r="V294" t="str">
            <v>Ancoraem 1HC</v>
          </cell>
          <cell r="Z294" t="str">
            <v>3600CCA63</v>
          </cell>
          <cell r="AA294" t="str">
            <v>Ø300/Ø180/e16</v>
          </cell>
          <cell r="AB294" t="str">
            <v>3600CCA64</v>
          </cell>
          <cell r="AC294" t="str">
            <v>Ø300/Ø180/e16</v>
          </cell>
          <cell r="AD294" t="str">
            <v>1,77</v>
          </cell>
          <cell r="AE294" t="str">
            <v>3,1</v>
          </cell>
          <cell r="AF294" t="str">
            <v>1,77</v>
          </cell>
          <cell r="AG294" t="str">
            <v>5,60</v>
          </cell>
          <cell r="AH294" t="str">
            <v>5,60</v>
          </cell>
          <cell r="AI294" t="str">
            <v>-0,20</v>
          </cell>
          <cell r="AJ294" t="str">
            <v>-0,20</v>
          </cell>
          <cell r="AK294">
            <v>6039</v>
          </cell>
          <cell r="AL294">
            <v>5978</v>
          </cell>
          <cell r="AM294">
            <v>1597</v>
          </cell>
          <cell r="AN294">
            <v>3350</v>
          </cell>
          <cell r="AO294">
            <v>1085</v>
          </cell>
          <cell r="AP294" t="str">
            <v>14,25%</v>
          </cell>
          <cell r="AQ294" t="str">
            <v>14,25%</v>
          </cell>
          <cell r="AR294" t="str">
            <v>5,72</v>
          </cell>
          <cell r="AS294" t="str">
            <v>5,72</v>
          </cell>
          <cell r="AT294" t="str">
            <v>0,00</v>
          </cell>
          <cell r="AU294" t="str">
            <v>0,00</v>
          </cell>
          <cell r="AV294">
            <v>6161</v>
          </cell>
          <cell r="AW294">
            <v>6161</v>
          </cell>
          <cell r="AX294">
            <v>1489</v>
          </cell>
          <cell r="AY294" t="str">
            <v>0,980</v>
          </cell>
          <cell r="AZ294">
            <v>1489</v>
          </cell>
          <cell r="BA294" t="str">
            <v>14,45%</v>
          </cell>
          <cell r="BB294" t="str">
            <v>14,45%</v>
          </cell>
          <cell r="BW294" t="str">
            <v>C.F.17</v>
          </cell>
        </row>
        <row r="295">
          <cell r="C295">
            <v>20</v>
          </cell>
          <cell r="N295" t="str">
            <v/>
          </cell>
          <cell r="U295" t="str">
            <v>Cantón 634 m</v>
          </cell>
        </row>
        <row r="296">
          <cell r="B296" t="str">
            <v>3600CCA65</v>
          </cell>
          <cell r="D296">
            <v>1873.56</v>
          </cell>
          <cell r="E296">
            <v>33011.188999999991</v>
          </cell>
          <cell r="F296" t="str">
            <v>-42194.96</v>
          </cell>
          <cell r="G296" t="str">
            <v>164017.96</v>
          </cell>
          <cell r="H296" t="str">
            <v>Clo</v>
          </cell>
          <cell r="I296" t="str">
            <v>A/S</v>
          </cell>
          <cell r="J296">
            <v>1.77</v>
          </cell>
          <cell r="K296" t="str">
            <v>Funicular</v>
          </cell>
          <cell r="L296" t="str">
            <v>Ø300/Ø180/e16</v>
          </cell>
          <cell r="M296" t="str">
            <v>Anc. Ancoragem</v>
          </cell>
          <cell r="N296" t="str">
            <v>B. Fun.</v>
          </cell>
          <cell r="Q296">
            <v>5.6</v>
          </cell>
          <cell r="R296">
            <v>5.84</v>
          </cell>
          <cell r="S296">
            <v>-20</v>
          </cell>
          <cell r="V296" t="str">
            <v>Ancoraem 1HC</v>
          </cell>
          <cell r="Z296" t="str">
            <v>3600CCA65</v>
          </cell>
          <cell r="AA296" t="str">
            <v>Ø300/Ø180/e16</v>
          </cell>
          <cell r="AB296" t="str">
            <v>3600CCA66</v>
          </cell>
          <cell r="AC296" t="str">
            <v>Ø300/Ø180/e16</v>
          </cell>
          <cell r="AD296" t="str">
            <v>1,77</v>
          </cell>
          <cell r="AE296" t="str">
            <v>3,1</v>
          </cell>
          <cell r="AF296" t="str">
            <v>1,77</v>
          </cell>
          <cell r="AG296" t="str">
            <v>5,60</v>
          </cell>
          <cell r="AH296" t="str">
            <v>5,60</v>
          </cell>
          <cell r="AI296" t="str">
            <v>0,20</v>
          </cell>
          <cell r="AJ296" t="str">
            <v>0,20</v>
          </cell>
          <cell r="AK296">
            <v>5978</v>
          </cell>
          <cell r="AL296">
            <v>6012</v>
          </cell>
          <cell r="AM296">
            <v>1184</v>
          </cell>
          <cell r="AN296">
            <v>3350</v>
          </cell>
          <cell r="AO296">
            <v>1613</v>
          </cell>
          <cell r="AP296" t="str">
            <v>14,22%</v>
          </cell>
          <cell r="AQ296" t="str">
            <v>14,22%</v>
          </cell>
          <cell r="AV296">
            <v>5840</v>
          </cell>
          <cell r="AW296">
            <v>5840</v>
          </cell>
          <cell r="BW296" t="str">
            <v>C.F.6</v>
          </cell>
        </row>
        <row r="297">
          <cell r="C297">
            <v>19.899999999999999</v>
          </cell>
          <cell r="N297" t="str">
            <v/>
          </cell>
        </row>
        <row r="298">
          <cell r="B298" t="str">
            <v>3600CCA67</v>
          </cell>
          <cell r="D298">
            <v>1893.46</v>
          </cell>
          <cell r="E298">
            <v>32991.28899999999</v>
          </cell>
          <cell r="F298" t="str">
            <v>-42198.97</v>
          </cell>
          <cell r="G298" t="str">
            <v>163998.49</v>
          </cell>
          <cell r="H298" t="str">
            <v>Clo</v>
          </cell>
          <cell r="I298" t="str">
            <v>S</v>
          </cell>
          <cell r="J298">
            <v>1.77</v>
          </cell>
          <cell r="K298" t="str">
            <v>Funicular</v>
          </cell>
          <cell r="L298" t="str">
            <v>Ø300/Ø180/e16</v>
          </cell>
          <cell r="M298" t="str">
            <v>Anc. Corrente</v>
          </cell>
          <cell r="N298" t="str">
            <v>B. Fun.</v>
          </cell>
          <cell r="Q298">
            <v>5.6</v>
          </cell>
          <cell r="S298">
            <v>-20</v>
          </cell>
          <cell r="Z298" t="str">
            <v>3600CCA67</v>
          </cell>
          <cell r="AA298" t="str">
            <v>Ø300/Ø180/e16</v>
          </cell>
          <cell r="AB298" t="str">
            <v>3600CCA68</v>
          </cell>
          <cell r="AC298" t="str">
            <v>Ø300/Ø180/e16</v>
          </cell>
          <cell r="AD298" t="str">
            <v>1,77</v>
          </cell>
          <cell r="AE298" t="str">
            <v>3,1</v>
          </cell>
          <cell r="AF298" t="str">
            <v>1,77</v>
          </cell>
          <cell r="AG298" t="str">
            <v>5,60</v>
          </cell>
          <cell r="AH298" t="str">
            <v>5,60</v>
          </cell>
          <cell r="AI298" t="str">
            <v>-0,20</v>
          </cell>
          <cell r="AJ298" t="str">
            <v>-0,20</v>
          </cell>
          <cell r="AK298">
            <v>6043</v>
          </cell>
          <cell r="AL298">
            <v>5744</v>
          </cell>
          <cell r="AM298">
            <v>1710</v>
          </cell>
          <cell r="AN298">
            <v>2859</v>
          </cell>
          <cell r="AO298" t="str">
            <v>0,052</v>
          </cell>
          <cell r="AP298" t="str">
            <v>20,00%</v>
          </cell>
          <cell r="AQ298" t="str">
            <v>11,68%</v>
          </cell>
          <cell r="BW298" t="str">
            <v>C.F.5.B</v>
          </cell>
        </row>
        <row r="299">
          <cell r="C299">
            <v>19.899999999999999</v>
          </cell>
          <cell r="N299" t="str">
            <v/>
          </cell>
        </row>
        <row r="300">
          <cell r="B300" t="str">
            <v>3600CCA69</v>
          </cell>
          <cell r="D300">
            <v>1913.3600000000001</v>
          </cell>
          <cell r="E300">
            <v>32971.388999999988</v>
          </cell>
          <cell r="F300" t="str">
            <v>-42201.84</v>
          </cell>
          <cell r="G300" t="str">
            <v>163978.94</v>
          </cell>
          <cell r="H300">
            <v>265</v>
          </cell>
          <cell r="I300" t="str">
            <v>S</v>
          </cell>
          <cell r="J300">
            <v>1.77</v>
          </cell>
          <cell r="K300" t="str">
            <v>Funicular</v>
          </cell>
          <cell r="L300" t="str">
            <v>Ø300/Ø180/e16</v>
          </cell>
          <cell r="M300" t="str">
            <v>Anc. Corrente</v>
          </cell>
          <cell r="N300" t="str">
            <v>B. Fun.</v>
          </cell>
          <cell r="Q300">
            <v>5.6</v>
          </cell>
          <cell r="S300">
            <v>-20</v>
          </cell>
          <cell r="Z300" t="str">
            <v>3600CCA69</v>
          </cell>
          <cell r="AA300" t="str">
            <v>Ø300/Ø180/e16</v>
          </cell>
          <cell r="AB300" t="str">
            <v>3600CCA70</v>
          </cell>
          <cell r="AC300" t="str">
            <v>Ø300/Ø180/e16</v>
          </cell>
          <cell r="AD300" t="str">
            <v>1,77</v>
          </cell>
          <cell r="AE300" t="str">
            <v>3,1</v>
          </cell>
          <cell r="AF300" t="str">
            <v>1,77</v>
          </cell>
          <cell r="AG300" t="str">
            <v>5,60</v>
          </cell>
          <cell r="AH300" t="str">
            <v>5,60</v>
          </cell>
          <cell r="AI300" t="str">
            <v>-0,20</v>
          </cell>
          <cell r="AJ300" t="str">
            <v>-0,20</v>
          </cell>
          <cell r="AK300">
            <v>6043</v>
          </cell>
          <cell r="AL300">
            <v>5739</v>
          </cell>
          <cell r="AM300">
            <v>1710</v>
          </cell>
          <cell r="AN300">
            <v>2859</v>
          </cell>
          <cell r="AO300" t="str">
            <v>0,052</v>
          </cell>
          <cell r="AP300" t="str">
            <v>20,00%</v>
          </cell>
          <cell r="AQ300" t="str">
            <v>10,24%</v>
          </cell>
          <cell r="BW300" t="str">
            <v>C.F.5.B</v>
          </cell>
        </row>
        <row r="301">
          <cell r="C301">
            <v>19.899999999999999</v>
          </cell>
          <cell r="N301" t="str">
            <v/>
          </cell>
        </row>
        <row r="302">
          <cell r="B302" t="str">
            <v>3600CCA71</v>
          </cell>
          <cell r="D302">
            <v>1933.2600000000002</v>
          </cell>
          <cell r="E302">
            <v>32951.488999999987</v>
          </cell>
          <cell r="F302" t="str">
            <v>-42203.22</v>
          </cell>
          <cell r="G302" t="str">
            <v>163959.25</v>
          </cell>
          <cell r="H302">
            <v>265</v>
          </cell>
          <cell r="I302" t="str">
            <v>S</v>
          </cell>
          <cell r="J302">
            <v>1.77</v>
          </cell>
          <cell r="K302" t="str">
            <v>Funicular</v>
          </cell>
          <cell r="L302" t="str">
            <v>Ø300/Ø180/e16</v>
          </cell>
          <cell r="M302" t="str">
            <v>Anc. Corrente</v>
          </cell>
          <cell r="N302" t="str">
            <v>B. Fun.</v>
          </cell>
          <cell r="Q302">
            <v>5.6</v>
          </cell>
          <cell r="S302">
            <v>-20</v>
          </cell>
          <cell r="Z302" t="str">
            <v>3600CCA71</v>
          </cell>
          <cell r="AA302" t="str">
            <v>Ø300/Ø180/e16</v>
          </cell>
          <cell r="AB302" t="str">
            <v>3600CCA72</v>
          </cell>
          <cell r="AC302" t="str">
            <v>Ø300/Ø180/e16</v>
          </cell>
          <cell r="AD302" t="str">
            <v>1,77</v>
          </cell>
          <cell r="AE302" t="str">
            <v>3,1</v>
          </cell>
          <cell r="AF302" t="str">
            <v>1,77</v>
          </cell>
          <cell r="AG302" t="str">
            <v>5,60</v>
          </cell>
          <cell r="AH302" t="str">
            <v>5,60</v>
          </cell>
          <cell r="AI302" t="str">
            <v>-0,20</v>
          </cell>
          <cell r="AJ302" t="str">
            <v>-0,20</v>
          </cell>
          <cell r="AK302">
            <v>6127</v>
          </cell>
          <cell r="AL302">
            <v>5741</v>
          </cell>
          <cell r="AM302">
            <v>1747</v>
          </cell>
          <cell r="AN302">
            <v>2859</v>
          </cell>
          <cell r="AO302" t="str">
            <v>0,052</v>
          </cell>
          <cell r="AP302" t="str">
            <v>25,00%</v>
          </cell>
          <cell r="AQ302" t="str">
            <v>10,82%</v>
          </cell>
          <cell r="BW302" t="str">
            <v>C.F.5.B</v>
          </cell>
        </row>
        <row r="303">
          <cell r="C303">
            <v>19.8</v>
          </cell>
          <cell r="N303" t="str">
            <v/>
          </cell>
        </row>
        <row r="304">
          <cell r="B304" t="str">
            <v>3600CCA73</v>
          </cell>
          <cell r="D304">
            <v>1953.0600000000002</v>
          </cell>
          <cell r="E304">
            <v>32931.688999999984</v>
          </cell>
          <cell r="F304" t="str">
            <v>-42203.11</v>
          </cell>
          <cell r="G304" t="str">
            <v>163939.49</v>
          </cell>
          <cell r="H304">
            <v>265</v>
          </cell>
          <cell r="I304" t="str">
            <v>S</v>
          </cell>
          <cell r="J304">
            <v>1.77</v>
          </cell>
          <cell r="K304" t="str">
            <v>Funicular</v>
          </cell>
          <cell r="L304" t="str">
            <v>Ø300/Ø180/e16</v>
          </cell>
          <cell r="M304" t="str">
            <v>Anc. Corrente</v>
          </cell>
          <cell r="N304" t="str">
            <v>B. Fun.</v>
          </cell>
          <cell r="Q304">
            <v>5.6</v>
          </cell>
          <cell r="S304">
            <v>-20</v>
          </cell>
          <cell r="Z304" t="str">
            <v>3600CCA73</v>
          </cell>
          <cell r="AA304" t="str">
            <v>Ø300/Ø180/e16</v>
          </cell>
          <cell r="AB304" t="str">
            <v>3600CCA74</v>
          </cell>
          <cell r="AC304" t="str">
            <v>Ø300/Ø180/e16</v>
          </cell>
          <cell r="AD304" t="str">
            <v>1,77</v>
          </cell>
          <cell r="AE304" t="str">
            <v>3,1</v>
          </cell>
          <cell r="AF304" t="str">
            <v>1,77</v>
          </cell>
          <cell r="AG304" t="str">
            <v>5,60</v>
          </cell>
          <cell r="AH304" t="str">
            <v>5,60</v>
          </cell>
          <cell r="AI304" t="str">
            <v>-0,20</v>
          </cell>
          <cell r="AJ304" t="str">
            <v>-0,20</v>
          </cell>
          <cell r="AK304">
            <v>6127</v>
          </cell>
          <cell r="AL304">
            <v>5741</v>
          </cell>
          <cell r="AM304">
            <v>1747</v>
          </cell>
          <cell r="AN304">
            <v>2859</v>
          </cell>
          <cell r="AO304" t="str">
            <v>0,052</v>
          </cell>
          <cell r="AP304" t="str">
            <v>25,00%</v>
          </cell>
          <cell r="AQ304" t="str">
            <v>10,82%</v>
          </cell>
          <cell r="BW304" t="str">
            <v>C.F.5.B</v>
          </cell>
        </row>
        <row r="305">
          <cell r="C305">
            <v>19.899999999999999</v>
          </cell>
          <cell r="N305" t="str">
            <v/>
          </cell>
        </row>
        <row r="306">
          <cell r="B306" t="str">
            <v>3600CCA75</v>
          </cell>
          <cell r="D306">
            <v>1972.9600000000003</v>
          </cell>
          <cell r="E306">
            <v>32911.788999999982</v>
          </cell>
          <cell r="F306" t="str">
            <v>-42201.51</v>
          </cell>
          <cell r="G306" t="str">
            <v>163919.82</v>
          </cell>
          <cell r="H306">
            <v>265</v>
          </cell>
          <cell r="I306" t="str">
            <v>S</v>
          </cell>
          <cell r="J306">
            <v>1.77</v>
          </cell>
          <cell r="K306" t="str">
            <v>Funicular</v>
          </cell>
          <cell r="L306" t="str">
            <v>Ø300/Ø180/e16</v>
          </cell>
          <cell r="M306" t="str">
            <v>Anc. Corrente</v>
          </cell>
          <cell r="N306" t="str">
            <v>B. Fun.</v>
          </cell>
          <cell r="Q306">
            <v>5.6</v>
          </cell>
          <cell r="S306">
            <v>-20</v>
          </cell>
          <cell r="Z306" t="str">
            <v>3600CCA75</v>
          </cell>
          <cell r="AA306" t="str">
            <v>Ø300/Ø180/e16</v>
          </cell>
          <cell r="AB306" t="str">
            <v>3600CCA76</v>
          </cell>
          <cell r="AC306" t="str">
            <v>Ø300/Ø180/e16</v>
          </cell>
          <cell r="AD306" t="str">
            <v>1,77</v>
          </cell>
          <cell r="AE306" t="str">
            <v>3,1</v>
          </cell>
          <cell r="AF306" t="str">
            <v>1,77</v>
          </cell>
          <cell r="AG306" t="str">
            <v>5,60</v>
          </cell>
          <cell r="AH306" t="str">
            <v>5,60</v>
          </cell>
          <cell r="AI306" t="str">
            <v>-0,20</v>
          </cell>
          <cell r="AJ306" t="str">
            <v>-0,20</v>
          </cell>
          <cell r="AK306">
            <v>6127</v>
          </cell>
          <cell r="AL306">
            <v>5741</v>
          </cell>
          <cell r="AM306">
            <v>1747</v>
          </cell>
          <cell r="AN306">
            <v>2859</v>
          </cell>
          <cell r="AO306" t="str">
            <v>0,052</v>
          </cell>
          <cell r="AP306" t="str">
            <v>25,00%</v>
          </cell>
          <cell r="AQ306" t="str">
            <v>10,80%</v>
          </cell>
          <cell r="BW306" t="str">
            <v>C.F.5.B</v>
          </cell>
        </row>
        <row r="307">
          <cell r="C307">
            <v>19.899999999999999</v>
          </cell>
          <cell r="N307" t="str">
            <v/>
          </cell>
          <cell r="X307" t="str">
            <v>1PEAD D110mm ou 2PEAD D63mm+ 1PEAD 32mm</v>
          </cell>
        </row>
        <row r="308">
          <cell r="B308" t="str">
            <v>3600CCA77</v>
          </cell>
          <cell r="D308">
            <v>1992.8600000000004</v>
          </cell>
          <cell r="E308">
            <v>32891.888999999981</v>
          </cell>
          <cell r="F308" t="str">
            <v>-42198.42</v>
          </cell>
          <cell r="G308" t="str">
            <v>163900.30</v>
          </cell>
          <cell r="H308">
            <v>265</v>
          </cell>
          <cell r="I308" t="str">
            <v>S</v>
          </cell>
          <cell r="J308">
            <v>1.77</v>
          </cell>
          <cell r="K308" t="str">
            <v>Funicular</v>
          </cell>
          <cell r="L308" t="str">
            <v>Ø300/Ø180/e16</v>
          </cell>
          <cell r="M308" t="str">
            <v>Anc. Corrente</v>
          </cell>
          <cell r="N308" t="str">
            <v>B. Fun.</v>
          </cell>
          <cell r="Q308">
            <v>5.6</v>
          </cell>
          <cell r="S308">
            <v>-20</v>
          </cell>
          <cell r="X308" t="str">
            <v>FR</v>
          </cell>
          <cell r="Z308" t="str">
            <v>3600CCA77</v>
          </cell>
          <cell r="AA308" t="str">
            <v>Ø300/Ø180/e16</v>
          </cell>
          <cell r="AB308" t="str">
            <v>3600CCA78</v>
          </cell>
          <cell r="AC308" t="str">
            <v>Ø300/Ø180/e16</v>
          </cell>
          <cell r="AD308" t="str">
            <v>1,77</v>
          </cell>
          <cell r="AE308" t="str">
            <v>3,1</v>
          </cell>
          <cell r="AF308" t="str">
            <v>1,77</v>
          </cell>
          <cell r="AG308" t="str">
            <v>5,60</v>
          </cell>
          <cell r="AH308" t="str">
            <v>5,60</v>
          </cell>
          <cell r="AI308" t="str">
            <v>-0,20</v>
          </cell>
          <cell r="AJ308" t="str">
            <v>-0,20</v>
          </cell>
          <cell r="AK308">
            <v>6127</v>
          </cell>
          <cell r="AL308">
            <v>5741</v>
          </cell>
          <cell r="AM308">
            <v>1747</v>
          </cell>
          <cell r="AN308">
            <v>2859</v>
          </cell>
          <cell r="AO308" t="str">
            <v>0,052</v>
          </cell>
          <cell r="AP308" t="str">
            <v>25,00%</v>
          </cell>
          <cell r="AQ308" t="str">
            <v>10,80%</v>
          </cell>
          <cell r="BW308" t="str">
            <v>C.F.5.B</v>
          </cell>
        </row>
        <row r="309">
          <cell r="C309">
            <v>19.899999999999999</v>
          </cell>
          <cell r="N309" t="str">
            <v/>
          </cell>
          <cell r="X309" t="str">
            <v>1PEAD D110mm ou 2PEAD D63mm</v>
          </cell>
        </row>
        <row r="310">
          <cell r="B310" t="str">
            <v>3600CCA79</v>
          </cell>
          <cell r="D310">
            <v>2012.7600000000004</v>
          </cell>
          <cell r="E310">
            <v>32871.98899999998</v>
          </cell>
          <cell r="F310" t="str">
            <v>-42193.88</v>
          </cell>
          <cell r="G310" t="str">
            <v>163881.09</v>
          </cell>
          <cell r="H310">
            <v>265</v>
          </cell>
          <cell r="I310" t="str">
            <v>S</v>
          </cell>
          <cell r="J310">
            <v>1.77</v>
          </cell>
          <cell r="K310" t="str">
            <v>Funicular</v>
          </cell>
          <cell r="L310" t="str">
            <v>Ø300/Ø180/e16</v>
          </cell>
          <cell r="M310" t="str">
            <v>Anc. Corrente</v>
          </cell>
          <cell r="N310" t="str">
            <v>B. Fun.</v>
          </cell>
          <cell r="Q310">
            <v>5.6</v>
          </cell>
          <cell r="S310">
            <v>-20</v>
          </cell>
          <cell r="Z310" t="str">
            <v>3600CCA79</v>
          </cell>
          <cell r="AA310" t="str">
            <v>Ø300/Ø180/e16</v>
          </cell>
          <cell r="AB310" t="str">
            <v>3600CCA80</v>
          </cell>
          <cell r="AC310" t="str">
            <v>Ø300/Ø180/e16</v>
          </cell>
          <cell r="AD310" t="str">
            <v>1,77</v>
          </cell>
          <cell r="AE310" t="str">
            <v>3,1</v>
          </cell>
          <cell r="AF310" t="str">
            <v>1,77</v>
          </cell>
          <cell r="AG310" t="str">
            <v>5,60</v>
          </cell>
          <cell r="AH310" t="str">
            <v>5,60</v>
          </cell>
          <cell r="AI310" t="str">
            <v>-0,20</v>
          </cell>
          <cell r="AJ310" t="str">
            <v>-0,20</v>
          </cell>
          <cell r="AK310">
            <v>6127</v>
          </cell>
          <cell r="AL310">
            <v>5741</v>
          </cell>
          <cell r="AM310">
            <v>1744</v>
          </cell>
          <cell r="AN310">
            <v>2859</v>
          </cell>
          <cell r="AO310" t="str">
            <v>0,052</v>
          </cell>
          <cell r="AP310" t="str">
            <v>25,00%</v>
          </cell>
          <cell r="AQ310">
            <v>10809</v>
          </cell>
          <cell r="BW310" t="str">
            <v>C.F.5.A</v>
          </cell>
        </row>
        <row r="311">
          <cell r="C311">
            <v>19.899999999999999</v>
          </cell>
        </row>
        <row r="312">
          <cell r="B312" t="str">
            <v>3600CCA81</v>
          </cell>
          <cell r="D312">
            <v>2032.6600000000005</v>
          </cell>
          <cell r="E312">
            <v>32852.088999999978</v>
          </cell>
          <cell r="F312" t="str">
            <v>-42187.92</v>
          </cell>
          <cell r="G312" t="str">
            <v>163862.29</v>
          </cell>
          <cell r="H312" t="str">
            <v>Clo</v>
          </cell>
          <cell r="I312" t="str">
            <v>S</v>
          </cell>
          <cell r="J312" t="str">
            <v>1,77</v>
          </cell>
          <cell r="K312" t="str">
            <v>Funicular</v>
          </cell>
          <cell r="L312" t="str">
            <v>Ø300/Ø180/e16</v>
          </cell>
          <cell r="M312" t="str">
            <v>Anc. Corrente</v>
          </cell>
          <cell r="N312" t="str">
            <v>B. Fun.</v>
          </cell>
          <cell r="Q312">
            <v>5.6</v>
          </cell>
          <cell r="S312">
            <v>-20</v>
          </cell>
          <cell r="Z312" t="str">
            <v>3600CCA81</v>
          </cell>
          <cell r="AA312" t="str">
            <v>Ø300/Ø180/e16</v>
          </cell>
          <cell r="AB312" t="str">
            <v>3600CCA82</v>
          </cell>
          <cell r="AC312" t="str">
            <v>Ø300/Ø180/e16</v>
          </cell>
          <cell r="AD312" t="str">
            <v>1,77</v>
          </cell>
          <cell r="AE312" t="str">
            <v>3,1</v>
          </cell>
          <cell r="AF312" t="str">
            <v>1,77</v>
          </cell>
          <cell r="AG312" t="str">
            <v>5,60</v>
          </cell>
          <cell r="AH312" t="str">
            <v>5,60</v>
          </cell>
          <cell r="AI312" t="str">
            <v>-0,20</v>
          </cell>
          <cell r="AJ312" t="str">
            <v>-0,20</v>
          </cell>
          <cell r="AK312">
            <v>6127</v>
          </cell>
          <cell r="AL312">
            <v>5741</v>
          </cell>
          <cell r="AM312">
            <v>1747</v>
          </cell>
          <cell r="AN312">
            <v>2859</v>
          </cell>
          <cell r="AO312" t="str">
            <v>0,052</v>
          </cell>
          <cell r="AP312" t="str">
            <v>25,00%</v>
          </cell>
          <cell r="AQ312" t="str">
            <v>10,80%</v>
          </cell>
          <cell r="BW312" t="str">
            <v>C.F.5.B</v>
          </cell>
        </row>
        <row r="313">
          <cell r="C313">
            <v>19.899999999999999</v>
          </cell>
          <cell r="N313" t="str">
            <v/>
          </cell>
        </row>
        <row r="314">
          <cell r="B314" t="str">
            <v>3600CCA83</v>
          </cell>
          <cell r="D314">
            <v>2052.5600000000004</v>
          </cell>
          <cell r="E314">
            <v>32832.188999999977</v>
          </cell>
          <cell r="F314" t="str">
            <v>-42180.81</v>
          </cell>
          <cell r="G314" t="str">
            <v>163843.72</v>
          </cell>
          <cell r="H314" t="str">
            <v>Clo</v>
          </cell>
          <cell r="I314" t="str">
            <v>S</v>
          </cell>
          <cell r="J314" t="str">
            <v>1,77</v>
          </cell>
          <cell r="K314" t="str">
            <v>Funicular</v>
          </cell>
          <cell r="L314" t="str">
            <v>Ø300/Ø180/e16</v>
          </cell>
          <cell r="M314" t="str">
            <v>Anc. Corrente</v>
          </cell>
          <cell r="N314" t="str">
            <v>B. Fun.</v>
          </cell>
          <cell r="Q314">
            <v>5.6</v>
          </cell>
          <cell r="S314">
            <v>-10</v>
          </cell>
          <cell r="Z314" t="str">
            <v>3600CCA83</v>
          </cell>
          <cell r="AA314" t="str">
            <v>Ø300/Ø180/e16</v>
          </cell>
          <cell r="AB314" t="str">
            <v>3600CCA84</v>
          </cell>
          <cell r="AC314" t="str">
            <v>Ø300/Ø180/e16</v>
          </cell>
          <cell r="AD314" t="str">
            <v>1,77</v>
          </cell>
          <cell r="AE314" t="str">
            <v>3,1</v>
          </cell>
          <cell r="AF314" t="str">
            <v>1,77</v>
          </cell>
          <cell r="AG314" t="str">
            <v>5,60</v>
          </cell>
          <cell r="AH314" t="str">
            <v>5,60</v>
          </cell>
          <cell r="AI314" t="str">
            <v>-0,10</v>
          </cell>
          <cell r="AJ314" t="str">
            <v>-0,10</v>
          </cell>
          <cell r="AK314">
            <v>6041</v>
          </cell>
          <cell r="AL314">
            <v>6007</v>
          </cell>
          <cell r="AM314">
            <v>1516</v>
          </cell>
          <cell r="AN314">
            <v>3350</v>
          </cell>
          <cell r="AO314">
            <v>1291</v>
          </cell>
          <cell r="AP314" t="str">
            <v>15,84%</v>
          </cell>
          <cell r="AQ314" t="str">
            <v>15,87%</v>
          </cell>
          <cell r="BW314" t="str">
            <v>C.F.2</v>
          </cell>
        </row>
        <row r="315">
          <cell r="B315" t="str">
            <v>Fin. Ponte (02+059)</v>
          </cell>
          <cell r="C315">
            <v>23</v>
          </cell>
          <cell r="N315" t="str">
            <v/>
          </cell>
        </row>
        <row r="316">
          <cell r="B316" t="str">
            <v>3701CCA01</v>
          </cell>
          <cell r="D316">
            <v>2075.5600000000004</v>
          </cell>
          <cell r="E316">
            <v>32809.188999999977</v>
          </cell>
          <cell r="F316" t="str">
            <v>-42171.91</v>
          </cell>
          <cell r="G316" t="str">
            <v>163822.51</v>
          </cell>
          <cell r="I316" t="str">
            <v>S</v>
          </cell>
          <cell r="J316">
            <v>2.2000000000000002</v>
          </cell>
          <cell r="K316" t="str">
            <v>Funicular</v>
          </cell>
          <cell r="L316" t="str">
            <v>Ø300/Ø180/e16</v>
          </cell>
          <cell r="M316" t="str">
            <v>M1</v>
          </cell>
          <cell r="N316" t="str">
            <v>Delta</v>
          </cell>
          <cell r="Q316">
            <v>5.6</v>
          </cell>
          <cell r="S316" t="str">
            <v>+20</v>
          </cell>
          <cell r="V316" t="str">
            <v>Caix. Secc. e Con.</v>
          </cell>
          <cell r="X316" t="str">
            <v>FR</v>
          </cell>
          <cell r="Z316" t="str">
            <v>3701CCA01</v>
          </cell>
          <cell r="AA316" t="str">
            <v>Ø300/Ø180/e16</v>
          </cell>
          <cell r="AB316" t="str">
            <v>3701CCA02</v>
          </cell>
          <cell r="AC316" t="str">
            <v>Ø300/Ø180/e16</v>
          </cell>
          <cell r="AD316" t="str">
            <v>2,2</v>
          </cell>
          <cell r="AE316" t="str">
            <v>3,1</v>
          </cell>
          <cell r="AF316" t="str">
            <v>2,2</v>
          </cell>
          <cell r="AG316" t="str">
            <v>5,60</v>
          </cell>
          <cell r="AH316" t="str">
            <v>5,60</v>
          </cell>
          <cell r="AI316" t="str">
            <v>0,20</v>
          </cell>
          <cell r="AJ316" t="str">
            <v>0,20</v>
          </cell>
          <cell r="AK316">
            <v>6081</v>
          </cell>
          <cell r="AL316">
            <v>6152</v>
          </cell>
          <cell r="AM316">
            <v>1636</v>
          </cell>
          <cell r="AN316">
            <v>3350</v>
          </cell>
          <cell r="AO316">
            <v>2068</v>
          </cell>
          <cell r="AP316" t="str">
            <v>16,47%</v>
          </cell>
          <cell r="AQ316" t="str">
            <v>16,47%</v>
          </cell>
          <cell r="BW316" t="str">
            <v>C.F.22</v>
          </cell>
        </row>
        <row r="317">
          <cell r="C317">
            <v>23.7</v>
          </cell>
          <cell r="F317" t="str">
            <v/>
          </cell>
          <cell r="G317" t="str">
            <v/>
          </cell>
          <cell r="N317" t="str">
            <v/>
          </cell>
          <cell r="V317" t="str">
            <v>Aislador 2HC</v>
          </cell>
        </row>
        <row r="318">
          <cell r="B318" t="str">
            <v>3701CCA03</v>
          </cell>
          <cell r="D318">
            <v>2099.2600000000002</v>
          </cell>
          <cell r="E318">
            <v>32785.48899999998</v>
          </cell>
          <cell r="F318" t="str">
            <v>-42168.20</v>
          </cell>
          <cell r="G318" t="str">
            <v>163813.58</v>
          </cell>
          <cell r="I318" t="str">
            <v>S</v>
          </cell>
          <cell r="J318">
            <v>2.2000000000000002</v>
          </cell>
          <cell r="K318" t="str">
            <v>Funicular</v>
          </cell>
          <cell r="L318" t="str">
            <v>Ø300/Ø180/e16</v>
          </cell>
          <cell r="M318" t="str">
            <v>M1</v>
          </cell>
          <cell r="N318" t="str">
            <v>Delta</v>
          </cell>
          <cell r="Q318">
            <v>5.6</v>
          </cell>
          <cell r="S318">
            <v>-20</v>
          </cell>
          <cell r="Z318" t="str">
            <v>3701CCA03</v>
          </cell>
          <cell r="AA318" t="str">
            <v>Ø300/Ø180/e16</v>
          </cell>
          <cell r="AB318" t="str">
            <v>3701CCA04</v>
          </cell>
          <cell r="AC318" t="str">
            <v>Ø300/Ø180/e16</v>
          </cell>
          <cell r="AD318" t="str">
            <v>2,2</v>
          </cell>
          <cell r="AE318" t="str">
            <v>3,1</v>
          </cell>
          <cell r="AF318" t="str">
            <v>2,2</v>
          </cell>
          <cell r="AG318" t="str">
            <v>5,60</v>
          </cell>
          <cell r="AH318" t="str">
            <v>5,60</v>
          </cell>
          <cell r="AI318" t="str">
            <v>-0,20</v>
          </cell>
          <cell r="AJ318" t="str">
            <v>-0,20</v>
          </cell>
          <cell r="AK318">
            <v>6167</v>
          </cell>
          <cell r="AL318">
            <v>6093</v>
          </cell>
          <cell r="AM318">
            <v>2073</v>
          </cell>
          <cell r="AN318">
            <v>3350</v>
          </cell>
          <cell r="AO318">
            <v>1640</v>
          </cell>
          <cell r="AP318" t="str">
            <v>17,12%</v>
          </cell>
          <cell r="AQ318" t="str">
            <v>17,12%</v>
          </cell>
          <cell r="BW318" t="str">
            <v>C.F.2</v>
          </cell>
        </row>
        <row r="319">
          <cell r="B319" t="str">
            <v>Inic. Est./Anden Campo Arrábida (02+112)</v>
          </cell>
          <cell r="C319">
            <v>25</v>
          </cell>
          <cell r="N319" t="str">
            <v/>
          </cell>
        </row>
        <row r="320">
          <cell r="B320" t="str">
            <v>3702CCA01</v>
          </cell>
          <cell r="D320">
            <v>2124.2600000000002</v>
          </cell>
          <cell r="E320">
            <v>32760.48899999998</v>
          </cell>
          <cell r="F320" t="str">
            <v>-42152.26</v>
          </cell>
          <cell r="G320" t="str">
            <v>163777.89</v>
          </cell>
          <cell r="I320" t="str">
            <v>S</v>
          </cell>
          <cell r="J320" t="str">
            <v>4,15</v>
          </cell>
          <cell r="K320" t="str">
            <v>Funicular</v>
          </cell>
          <cell r="L320" t="str">
            <v>Marquise</v>
          </cell>
          <cell r="M320" t="str">
            <v>-</v>
          </cell>
          <cell r="N320" t="str">
            <v>Delta</v>
          </cell>
          <cell r="Q320">
            <v>5.6</v>
          </cell>
          <cell r="S320" t="str">
            <v>+20</v>
          </cell>
          <cell r="Z320" t="str">
            <v>3702CCA01</v>
          </cell>
          <cell r="AA320" t="str">
            <v>HEA240</v>
          </cell>
          <cell r="AB320" t="str">
            <v>3702CCA02</v>
          </cell>
          <cell r="AC320" t="str">
            <v>HEA240</v>
          </cell>
          <cell r="AD320" t="str">
            <v>4,15</v>
          </cell>
          <cell r="AE320" t="str">
            <v>3,1</v>
          </cell>
          <cell r="AF320" t="str">
            <v>4,15</v>
          </cell>
          <cell r="AG320" t="str">
            <v>5,60</v>
          </cell>
          <cell r="AH320" t="str">
            <v>5,60</v>
          </cell>
          <cell r="AI320" t="str">
            <v>0,20</v>
          </cell>
          <cell r="AJ320" t="str">
            <v>0,20</v>
          </cell>
          <cell r="AK320">
            <v>6359</v>
          </cell>
          <cell r="AL320">
            <v>6423</v>
          </cell>
          <cell r="AM320">
            <v>3659</v>
          </cell>
          <cell r="AN320">
            <v>3350</v>
          </cell>
          <cell r="AO320">
            <v>4089</v>
          </cell>
          <cell r="AP320" t="str">
            <v>15,00%</v>
          </cell>
          <cell r="AQ320" t="str">
            <v>15,00%</v>
          </cell>
          <cell r="BW320" t="str">
            <v>C.F.1</v>
          </cell>
        </row>
        <row r="321">
          <cell r="C321">
            <v>17.25</v>
          </cell>
          <cell r="F321" t="str">
            <v/>
          </cell>
          <cell r="G321" t="str">
            <v/>
          </cell>
          <cell r="N321" t="str">
            <v/>
          </cell>
        </row>
        <row r="322">
          <cell r="B322" t="str">
            <v>3702CCA03</v>
          </cell>
          <cell r="D322">
            <v>2141.5100000000002</v>
          </cell>
          <cell r="E322">
            <v>32743.23899999998</v>
          </cell>
          <cell r="F322" t="str">
            <v>-42145.85</v>
          </cell>
          <cell r="G322" t="str">
            <v>163761.88</v>
          </cell>
          <cell r="I322" t="str">
            <v>S</v>
          </cell>
          <cell r="J322" t="str">
            <v>4,15</v>
          </cell>
          <cell r="K322" t="str">
            <v>Funicular</v>
          </cell>
          <cell r="L322" t="str">
            <v>Marquise</v>
          </cell>
          <cell r="M322" t="str">
            <v>-</v>
          </cell>
          <cell r="N322" t="str">
            <v>Delta</v>
          </cell>
          <cell r="Q322">
            <v>5.6</v>
          </cell>
          <cell r="S322">
            <v>-20</v>
          </cell>
          <cell r="BW322" t="str">
            <v>C.F.1</v>
          </cell>
        </row>
        <row r="323">
          <cell r="C323">
            <v>17.25</v>
          </cell>
          <cell r="F323" t="str">
            <v/>
          </cell>
          <cell r="G323" t="str">
            <v/>
          </cell>
          <cell r="N323" t="str">
            <v/>
          </cell>
        </row>
        <row r="324">
          <cell r="B324" t="str">
            <v>3702CCA05</v>
          </cell>
          <cell r="D324">
            <v>2158.7600000000002</v>
          </cell>
          <cell r="E324">
            <v>32725.98899999998</v>
          </cell>
          <cell r="F324" t="str">
            <v>-42139.44</v>
          </cell>
          <cell r="G324" t="str">
            <v>163745.86</v>
          </cell>
          <cell r="I324" t="str">
            <v>S</v>
          </cell>
          <cell r="J324" t="str">
            <v>4,15</v>
          </cell>
          <cell r="K324" t="str">
            <v>Funicular</v>
          </cell>
          <cell r="L324" t="str">
            <v>Marquise</v>
          </cell>
          <cell r="M324" t="str">
            <v>-</v>
          </cell>
          <cell r="N324" t="str">
            <v>Delta</v>
          </cell>
          <cell r="Q324">
            <v>5.6</v>
          </cell>
          <cell r="S324" t="str">
            <v>+20</v>
          </cell>
          <cell r="Z324" t="str">
            <v>3702CCA05</v>
          </cell>
          <cell r="AA324" t="str">
            <v>HEA240</v>
          </cell>
          <cell r="AB324" t="str">
            <v>3702CCA06</v>
          </cell>
          <cell r="AC324" t="str">
            <v>HEA240</v>
          </cell>
          <cell r="AD324" t="str">
            <v>4,15</v>
          </cell>
          <cell r="AE324" t="str">
            <v>3,1</v>
          </cell>
          <cell r="AF324" t="str">
            <v>4,15</v>
          </cell>
          <cell r="AG324" t="str">
            <v>5,60</v>
          </cell>
          <cell r="AH324" t="str">
            <v>5,60</v>
          </cell>
          <cell r="AI324" t="str">
            <v>0,20</v>
          </cell>
          <cell r="AJ324" t="str">
            <v>0,20</v>
          </cell>
          <cell r="AK324">
            <v>6258</v>
          </cell>
          <cell r="AL324">
            <v>6311</v>
          </cell>
          <cell r="AM324">
            <v>3632</v>
          </cell>
          <cell r="AN324">
            <v>3350</v>
          </cell>
          <cell r="AO324">
            <v>4058</v>
          </cell>
          <cell r="AP324" t="str">
            <v>12,41%</v>
          </cell>
          <cell r="AQ324" t="str">
            <v>12,41%</v>
          </cell>
          <cell r="BW324" t="str">
            <v>C.F.1</v>
          </cell>
        </row>
        <row r="325">
          <cell r="C325">
            <v>17.25</v>
          </cell>
          <cell r="F325" t="str">
            <v/>
          </cell>
          <cell r="G325" t="str">
            <v/>
          </cell>
          <cell r="N325" t="str">
            <v/>
          </cell>
        </row>
        <row r="326">
          <cell r="B326" t="str">
            <v>3702CCA07</v>
          </cell>
          <cell r="D326">
            <v>2176.0100000000002</v>
          </cell>
          <cell r="E326">
            <v>32708.73899999998</v>
          </cell>
          <cell r="F326" t="str">
            <v>-42133.03</v>
          </cell>
          <cell r="G326" t="str">
            <v>163729.84</v>
          </cell>
          <cell r="I326" t="str">
            <v>S</v>
          </cell>
          <cell r="J326" t="str">
            <v>4,15</v>
          </cell>
          <cell r="K326" t="str">
            <v>Funicular</v>
          </cell>
          <cell r="L326" t="str">
            <v>Marquise</v>
          </cell>
          <cell r="M326" t="str">
            <v>-</v>
          </cell>
          <cell r="N326" t="str">
            <v>Delta</v>
          </cell>
          <cell r="Q326">
            <v>5.6</v>
          </cell>
          <cell r="S326">
            <v>-20</v>
          </cell>
          <cell r="Z326" t="str">
            <v>3702CCA07</v>
          </cell>
          <cell r="AA326" t="str">
            <v>HEA240</v>
          </cell>
          <cell r="AB326" t="str">
            <v>3702CCA08</v>
          </cell>
          <cell r="AC326" t="str">
            <v>HEA240</v>
          </cell>
          <cell r="AD326" t="str">
            <v>4,15</v>
          </cell>
          <cell r="AE326" t="str">
            <v>3,1</v>
          </cell>
          <cell r="AF326" t="str">
            <v>4,15</v>
          </cell>
          <cell r="AG326" t="str">
            <v>5,60</v>
          </cell>
          <cell r="AH326" t="str">
            <v>5,60</v>
          </cell>
          <cell r="AI326" t="str">
            <v>-0,20</v>
          </cell>
          <cell r="AJ326" t="str">
            <v>-0,20</v>
          </cell>
          <cell r="AK326">
            <v>6423</v>
          </cell>
          <cell r="AL326">
            <v>6359</v>
          </cell>
          <cell r="AM326">
            <v>4089</v>
          </cell>
          <cell r="AN326">
            <v>3350</v>
          </cell>
          <cell r="AO326">
            <v>3659</v>
          </cell>
          <cell r="AP326" t="str">
            <v>15,00%</v>
          </cell>
          <cell r="AQ326" t="str">
            <v>15,00%</v>
          </cell>
          <cell r="BW326" t="str">
            <v>C.F.2</v>
          </cell>
        </row>
        <row r="327">
          <cell r="B327" t="str">
            <v>Fin. Est./Anden Campo Arrábida (02+183)</v>
          </cell>
          <cell r="C327">
            <v>25</v>
          </cell>
          <cell r="N327" t="str">
            <v/>
          </cell>
          <cell r="X327" t="str">
            <v>3PEAD D63mm ou 1PEAD D125mm + PEAD D40mm</v>
          </cell>
        </row>
        <row r="328">
          <cell r="B328" t="str">
            <v>3703CCA01</v>
          </cell>
          <cell r="D328">
            <v>2201.0100000000002</v>
          </cell>
          <cell r="E328">
            <v>32683.73899999998</v>
          </cell>
          <cell r="F328" t="str">
            <v>-42124.50</v>
          </cell>
          <cell r="G328" t="str">
            <v>163706.28</v>
          </cell>
          <cell r="H328" t="str">
            <v>Clo</v>
          </cell>
          <cell r="I328" t="str">
            <v>S</v>
          </cell>
          <cell r="J328" t="str">
            <v>3,0</v>
          </cell>
          <cell r="K328" t="str">
            <v>Funicular</v>
          </cell>
          <cell r="L328" t="str">
            <v>HEA 240</v>
          </cell>
          <cell r="M328" t="str">
            <v>M2</v>
          </cell>
          <cell r="N328" t="str">
            <v>Delta</v>
          </cell>
          <cell r="Q328">
            <v>5.6</v>
          </cell>
          <cell r="S328" t="str">
            <v>+20</v>
          </cell>
          <cell r="X328" t="str">
            <v>FR</v>
          </cell>
          <cell r="Z328" t="str">
            <v>3703CCA01</v>
          </cell>
          <cell r="AA328" t="str">
            <v>HEA240</v>
          </cell>
          <cell r="AB328" t="str">
            <v>3703CCA02</v>
          </cell>
          <cell r="AC328" t="str">
            <v>HEA240</v>
          </cell>
          <cell r="AD328" t="str">
            <v>3,9</v>
          </cell>
          <cell r="AE328" t="str">
            <v>3,1</v>
          </cell>
          <cell r="AF328" t="str">
            <v>3,9</v>
          </cell>
          <cell r="AG328" t="str">
            <v>5,60</v>
          </cell>
          <cell r="AH328" t="str">
            <v>5,60</v>
          </cell>
          <cell r="AI328" t="str">
            <v>0,20</v>
          </cell>
          <cell r="AJ328" t="str">
            <v>0,20</v>
          </cell>
          <cell r="AK328">
            <v>6366</v>
          </cell>
          <cell r="AL328">
            <v>6429</v>
          </cell>
          <cell r="AM328">
            <v>3437</v>
          </cell>
          <cell r="AN328">
            <v>3350</v>
          </cell>
          <cell r="AO328">
            <v>3828</v>
          </cell>
          <cell r="AP328" t="str">
            <v>16,07%</v>
          </cell>
          <cell r="AQ328" t="str">
            <v>16,14%</v>
          </cell>
          <cell r="AV328">
            <v>6666</v>
          </cell>
          <cell r="AW328">
            <v>6729</v>
          </cell>
          <cell r="BW328" t="str">
            <v>C.F.24</v>
          </cell>
        </row>
        <row r="329">
          <cell r="C329">
            <v>20.5</v>
          </cell>
          <cell r="F329" t="str">
            <v/>
          </cell>
          <cell r="G329" t="str">
            <v/>
          </cell>
          <cell r="N329" t="str">
            <v/>
          </cell>
          <cell r="X329" t="str">
            <v>3PEAD D63mm ou 1PEAD D125mm</v>
          </cell>
        </row>
        <row r="330">
          <cell r="B330" t="str">
            <v>3703CCA03</v>
          </cell>
          <cell r="D330">
            <v>2221.5100000000002</v>
          </cell>
          <cell r="E330">
            <v>32663.23899999998</v>
          </cell>
          <cell r="F330" t="str">
            <v>-42117.17</v>
          </cell>
          <cell r="G330" t="str">
            <v>163687.30</v>
          </cell>
          <cell r="H330" t="str">
            <v>Clo</v>
          </cell>
          <cell r="I330" t="str">
            <v>S</v>
          </cell>
          <cell r="J330" t="str">
            <v>2,7</v>
          </cell>
          <cell r="K330" t="str">
            <v>Funicular</v>
          </cell>
          <cell r="L330" t="str">
            <v>HEA 240</v>
          </cell>
          <cell r="M330" t="str">
            <v>M2</v>
          </cell>
          <cell r="N330" t="str">
            <v>B. Fun.</v>
          </cell>
          <cell r="Q330">
            <v>5.6</v>
          </cell>
          <cell r="S330">
            <v>-20</v>
          </cell>
          <cell r="Z330" t="str">
            <v>3703CCA03</v>
          </cell>
          <cell r="AA330" t="str">
            <v>HEA240</v>
          </cell>
          <cell r="AB330" t="str">
            <v>3703CCA04</v>
          </cell>
          <cell r="AC330" t="str">
            <v>HEA240</v>
          </cell>
          <cell r="AD330">
            <v>2585</v>
          </cell>
          <cell r="AE330" t="str">
            <v>3,1</v>
          </cell>
          <cell r="AF330">
            <v>2585</v>
          </cell>
          <cell r="AG330" t="str">
            <v>5,60</v>
          </cell>
          <cell r="AH330" t="str">
            <v>5,60</v>
          </cell>
          <cell r="AI330" t="str">
            <v>-0,20</v>
          </cell>
          <cell r="AJ330" t="str">
            <v>-0,20</v>
          </cell>
          <cell r="AK330">
            <v>6368</v>
          </cell>
          <cell r="AL330">
            <v>5839</v>
          </cell>
          <cell r="AM330">
            <v>2769</v>
          </cell>
          <cell r="AN330">
            <v>2859</v>
          </cell>
          <cell r="AO330" t="str">
            <v>0,610</v>
          </cell>
          <cell r="AP330" t="str">
            <v>25,00%</v>
          </cell>
          <cell r="AQ330" t="str">
            <v>10,33%</v>
          </cell>
          <cell r="BW330" t="str">
            <v>C.F.5.A</v>
          </cell>
        </row>
        <row r="331">
          <cell r="C331">
            <v>19.8</v>
          </cell>
          <cell r="F331" t="str">
            <v/>
          </cell>
          <cell r="G331" t="str">
            <v/>
          </cell>
          <cell r="N331" t="str">
            <v/>
          </cell>
        </row>
        <row r="332">
          <cell r="B332" t="str">
            <v>3703CCA05</v>
          </cell>
          <cell r="D332">
            <v>2241.3100000000004</v>
          </cell>
          <cell r="E332">
            <v>32643.43899999998</v>
          </cell>
          <cell r="F332" t="str">
            <v>-42107.47</v>
          </cell>
          <cell r="G332" t="str">
            <v>163670.71</v>
          </cell>
          <cell r="H332">
            <v>142</v>
          </cell>
          <cell r="I332" t="str">
            <v>S</v>
          </cell>
          <cell r="J332" t="str">
            <v>2,7</v>
          </cell>
          <cell r="K332" t="str">
            <v>Funicular</v>
          </cell>
          <cell r="L332" t="str">
            <v>HEA 240</v>
          </cell>
          <cell r="M332" t="str">
            <v>M2</v>
          </cell>
          <cell r="N332" t="str">
            <v>B. Fun.</v>
          </cell>
          <cell r="Q332">
            <v>5.6</v>
          </cell>
          <cell r="S332">
            <v>-20</v>
          </cell>
          <cell r="Z332" t="str">
            <v>3703CCA05</v>
          </cell>
          <cell r="AA332" t="str">
            <v>HEA240</v>
          </cell>
          <cell r="AB332" t="str">
            <v>3703CCA06</v>
          </cell>
          <cell r="AC332" t="str">
            <v>HEA240</v>
          </cell>
          <cell r="AD332">
            <v>2585</v>
          </cell>
          <cell r="AE332" t="str">
            <v>3,1</v>
          </cell>
          <cell r="AF332">
            <v>2585</v>
          </cell>
          <cell r="AG332" t="str">
            <v>5,60</v>
          </cell>
          <cell r="AH332" t="str">
            <v>5,60</v>
          </cell>
          <cell r="AI332" t="str">
            <v>-0,20</v>
          </cell>
          <cell r="AJ332" t="str">
            <v>-0,20</v>
          </cell>
          <cell r="AK332">
            <v>6898</v>
          </cell>
          <cell r="AL332">
            <v>5836</v>
          </cell>
          <cell r="AM332">
            <v>3131</v>
          </cell>
          <cell r="AN332">
            <v>2859</v>
          </cell>
          <cell r="AO332" t="str">
            <v>0,610</v>
          </cell>
          <cell r="AP332" t="str">
            <v>45,00%</v>
          </cell>
          <cell r="AQ332" t="str">
            <v>10,05%</v>
          </cell>
          <cell r="BW332" t="str">
            <v>C.F.5.A</v>
          </cell>
        </row>
        <row r="333">
          <cell r="B333" t="str">
            <v>Inic. Viaducto Arrábida (02+248,27)</v>
          </cell>
          <cell r="C333">
            <v>19.600000000000001</v>
          </cell>
          <cell r="F333" t="str">
            <v/>
          </cell>
          <cell r="G333" t="str">
            <v/>
          </cell>
          <cell r="N333" t="str">
            <v/>
          </cell>
        </row>
        <row r="334">
          <cell r="B334" t="str">
            <v>3703CCA07</v>
          </cell>
          <cell r="D334">
            <v>2260.9100000000003</v>
          </cell>
          <cell r="E334">
            <v>32623.838999999982</v>
          </cell>
          <cell r="F334" t="str">
            <v>-42095.98</v>
          </cell>
          <cell r="G334" t="str">
            <v>163655.29</v>
          </cell>
          <cell r="H334">
            <v>142</v>
          </cell>
          <cell r="I334" t="str">
            <v>S</v>
          </cell>
          <cell r="J334" t="str">
            <v>2,6</v>
          </cell>
          <cell r="K334" t="str">
            <v>Funicular</v>
          </cell>
          <cell r="L334" t="str">
            <v>HEA 300</v>
          </cell>
          <cell r="M334" t="str">
            <v>Anc. Ponte</v>
          </cell>
          <cell r="N334" t="str">
            <v>B. Fun.</v>
          </cell>
          <cell r="Q334">
            <v>5.6</v>
          </cell>
          <cell r="S334">
            <v>-20</v>
          </cell>
          <cell r="BW334" t="str">
            <v>C.F.5.A</v>
          </cell>
        </row>
        <row r="335">
          <cell r="C335">
            <v>19.600000000000001</v>
          </cell>
          <cell r="F335" t="str">
            <v/>
          </cell>
          <cell r="G335" t="str">
            <v/>
          </cell>
          <cell r="N335" t="str">
            <v/>
          </cell>
        </row>
        <row r="336">
          <cell r="B336" t="str">
            <v>3703CCA09</v>
          </cell>
          <cell r="D336">
            <v>2280.5100000000002</v>
          </cell>
          <cell r="E336">
            <v>32604.238999999983</v>
          </cell>
          <cell r="F336" t="str">
            <v>-42082.45</v>
          </cell>
          <cell r="G336" t="str">
            <v>163641.56</v>
          </cell>
          <cell r="H336" t="str">
            <v>Clo</v>
          </cell>
          <cell r="I336" t="str">
            <v>S</v>
          </cell>
          <cell r="J336" t="str">
            <v>2,6</v>
          </cell>
          <cell r="K336" t="str">
            <v>Funicular</v>
          </cell>
          <cell r="L336" t="str">
            <v>HEA 300</v>
          </cell>
          <cell r="M336" t="str">
            <v>Anc. Ponte</v>
          </cell>
          <cell r="N336" t="str">
            <v>B. Fun.</v>
          </cell>
          <cell r="Q336">
            <v>5.6</v>
          </cell>
          <cell r="S336">
            <v>-20</v>
          </cell>
          <cell r="Z336" t="str">
            <v>3703CCA09</v>
          </cell>
          <cell r="AA336" t="str">
            <v>HEA300</v>
          </cell>
          <cell r="AB336" t="str">
            <v>3703CCA10</v>
          </cell>
          <cell r="AC336" t="str">
            <v>HEA300</v>
          </cell>
          <cell r="AD336">
            <v>2455</v>
          </cell>
          <cell r="AE336" t="str">
            <v>3,1</v>
          </cell>
          <cell r="AF336">
            <v>2455</v>
          </cell>
          <cell r="AG336" t="str">
            <v>5,60</v>
          </cell>
          <cell r="AH336" t="str">
            <v>5,60</v>
          </cell>
          <cell r="AI336" t="str">
            <v>-0,20</v>
          </cell>
          <cell r="AJ336" t="str">
            <v>-0,20</v>
          </cell>
          <cell r="AK336">
            <v>6336</v>
          </cell>
          <cell r="AL336">
            <v>5836</v>
          </cell>
          <cell r="AM336">
            <v>2631</v>
          </cell>
          <cell r="AN336">
            <v>2859</v>
          </cell>
          <cell r="AO336" t="str">
            <v>0,620</v>
          </cell>
          <cell r="AP336" t="str">
            <v>25,00%</v>
          </cell>
          <cell r="AQ336" t="str">
            <v>11,18%</v>
          </cell>
          <cell r="BW336" t="str">
            <v>C.F.5.A</v>
          </cell>
        </row>
        <row r="337">
          <cell r="C337">
            <v>20.9</v>
          </cell>
          <cell r="F337" t="str">
            <v/>
          </cell>
          <cell r="G337" t="str">
            <v/>
          </cell>
          <cell r="N337" t="str">
            <v/>
          </cell>
        </row>
        <row r="338">
          <cell r="B338" t="str">
            <v>3703CCA11</v>
          </cell>
          <cell r="D338">
            <v>2301.4100000000003</v>
          </cell>
          <cell r="E338">
            <v>32583.338999999982</v>
          </cell>
          <cell r="F338" t="str">
            <v>-42066.80</v>
          </cell>
          <cell r="G338" t="str">
            <v>163627.77</v>
          </cell>
          <cell r="I338" t="str">
            <v>S</v>
          </cell>
          <cell r="J338" t="str">
            <v>2,6</v>
          </cell>
          <cell r="K338" t="str">
            <v>Funicular</v>
          </cell>
          <cell r="L338" t="str">
            <v>HEA 300</v>
          </cell>
          <cell r="M338" t="str">
            <v>Anc. Ponte</v>
          </cell>
          <cell r="N338" t="str">
            <v>Delta</v>
          </cell>
          <cell r="Q338">
            <v>5.6</v>
          </cell>
          <cell r="S338">
            <v>-20</v>
          </cell>
          <cell r="Z338" t="str">
            <v>3703CCA11</v>
          </cell>
          <cell r="AA338" t="str">
            <v>HEA300</v>
          </cell>
          <cell r="AB338" t="str">
            <v>3703CCA12</v>
          </cell>
          <cell r="AC338" t="str">
            <v>HEA300</v>
          </cell>
          <cell r="AD338" t="str">
            <v>2,6</v>
          </cell>
          <cell r="AE338" t="str">
            <v>3,1</v>
          </cell>
          <cell r="AF338" t="str">
            <v>2,6</v>
          </cell>
          <cell r="AG338" t="str">
            <v>5,60</v>
          </cell>
          <cell r="AH338" t="str">
            <v>5,60</v>
          </cell>
          <cell r="AI338" t="str">
            <v>0,20</v>
          </cell>
          <cell r="AJ338" t="str">
            <v>0,20</v>
          </cell>
          <cell r="AK338">
            <v>6147</v>
          </cell>
          <cell r="AL338">
            <v>6211</v>
          </cell>
          <cell r="AM338">
            <v>2071</v>
          </cell>
          <cell r="AN338">
            <v>3350</v>
          </cell>
          <cell r="AO338">
            <v>2462</v>
          </cell>
          <cell r="AP338" t="str">
            <v>16,20%</v>
          </cell>
          <cell r="AQ338" t="str">
            <v>16,24%</v>
          </cell>
          <cell r="BW338" t="str">
            <v>C.F.1</v>
          </cell>
        </row>
        <row r="339">
          <cell r="B339" t="str">
            <v>Fin. Viaducto Arrábida (02+323,52)</v>
          </cell>
          <cell r="C339">
            <v>25</v>
          </cell>
          <cell r="F339" t="str">
            <v/>
          </cell>
          <cell r="G339" t="str">
            <v/>
          </cell>
          <cell r="N339" t="str">
            <v/>
          </cell>
        </row>
        <row r="340">
          <cell r="B340" t="str">
            <v>3703CCA13</v>
          </cell>
          <cell r="D340">
            <v>2326.4100000000003</v>
          </cell>
          <cell r="E340">
            <v>32558.338999999982</v>
          </cell>
          <cell r="F340" t="str">
            <v>-42048.85</v>
          </cell>
          <cell r="G340" t="str">
            <v>163611.49</v>
          </cell>
          <cell r="I340" t="str">
            <v>A/S</v>
          </cell>
          <cell r="J340" t="str">
            <v>2,8</v>
          </cell>
          <cell r="K340" t="str">
            <v>Funicular</v>
          </cell>
          <cell r="L340" t="str">
            <v>HEM 320</v>
          </cell>
          <cell r="M340" t="str">
            <v>Anc. Ponte</v>
          </cell>
          <cell r="N340" t="str">
            <v>B. Fun.</v>
          </cell>
          <cell r="O340" t="str">
            <v>B. Fun.</v>
          </cell>
          <cell r="Q340">
            <v>5.6</v>
          </cell>
          <cell r="R340">
            <v>5.7916999999999996</v>
          </cell>
          <cell r="S340">
            <v>-20</v>
          </cell>
          <cell r="T340">
            <v>0</v>
          </cell>
          <cell r="U340" t="str">
            <v>Cantón 656 m</v>
          </cell>
          <cell r="V340" t="str">
            <v>Ancoraem 2HC</v>
          </cell>
          <cell r="Z340" t="str">
            <v>3703CCA13</v>
          </cell>
          <cell r="AA340" t="str">
            <v>HEM 320</v>
          </cell>
          <cell r="AB340" t="str">
            <v>3703CCA14</v>
          </cell>
          <cell r="AC340" t="str">
            <v>HEA240</v>
          </cell>
          <cell r="AD340" t="str">
            <v>2,8</v>
          </cell>
          <cell r="AE340" t="str">
            <v>3,1</v>
          </cell>
          <cell r="AF340" t="str">
            <v>2,8</v>
          </cell>
          <cell r="AG340" t="str">
            <v>5,60</v>
          </cell>
          <cell r="AH340" t="str">
            <v>5,60</v>
          </cell>
          <cell r="AI340" t="str">
            <v>-0,20</v>
          </cell>
          <cell r="AJ340" t="str">
            <v>20,20</v>
          </cell>
          <cell r="AK340">
            <v>6245</v>
          </cell>
          <cell r="AL340">
            <v>5913</v>
          </cell>
          <cell r="AM340">
            <v>2759</v>
          </cell>
          <cell r="AN340">
            <v>2859</v>
          </cell>
          <cell r="AO340" t="str">
            <v>0,668</v>
          </cell>
          <cell r="AP340" t="str">
            <v>20,00%</v>
          </cell>
          <cell r="AQ340" t="str">
            <v>15,48%</v>
          </cell>
          <cell r="AV340" t="str">
            <v>5,84</v>
          </cell>
          <cell r="AW340" t="str">
            <v>-</v>
          </cell>
          <cell r="BW340" t="str">
            <v>C.F.7.B</v>
          </cell>
        </row>
        <row r="341">
          <cell r="C341">
            <v>22</v>
          </cell>
          <cell r="F341" t="str">
            <v/>
          </cell>
          <cell r="G341" t="str">
            <v/>
          </cell>
          <cell r="N341" t="str">
            <v/>
          </cell>
        </row>
        <row r="342">
          <cell r="B342" t="str">
            <v>3703CCA15</v>
          </cell>
          <cell r="D342">
            <v>2348.41</v>
          </cell>
          <cell r="E342">
            <v>32536.338999999982</v>
          </cell>
          <cell r="F342" t="str">
            <v>-42031.54</v>
          </cell>
          <cell r="G342" t="str">
            <v>163596.89</v>
          </cell>
          <cell r="H342" t="str">
            <v>Clo</v>
          </cell>
          <cell r="I342" t="str">
            <v>SE</v>
          </cell>
          <cell r="J342" t="str">
            <v>2,8</v>
          </cell>
          <cell r="K342" t="str">
            <v>Funicular</v>
          </cell>
          <cell r="L342" t="str">
            <v>HEA 300</v>
          </cell>
          <cell r="M342" t="str">
            <v>Anc. Ponte</v>
          </cell>
          <cell r="N342" t="str">
            <v>B. Fun.</v>
          </cell>
          <cell r="O342" t="str">
            <v>B. Fun.</v>
          </cell>
          <cell r="Q342">
            <v>5.6</v>
          </cell>
          <cell r="R342">
            <v>5.6597</v>
          </cell>
          <cell r="S342">
            <v>-20</v>
          </cell>
          <cell r="T342">
            <v>0</v>
          </cell>
          <cell r="Z342" t="str">
            <v>3703CCA15</v>
          </cell>
          <cell r="AA342" t="str">
            <v>HEA300</v>
          </cell>
          <cell r="AB342" t="str">
            <v>3703CCA16</v>
          </cell>
          <cell r="AC342" t="str">
            <v>HEA300</v>
          </cell>
          <cell r="AD342" t="str">
            <v>2,8</v>
          </cell>
          <cell r="AE342" t="str">
            <v>3,1</v>
          </cell>
          <cell r="AF342">
            <v>2.8</v>
          </cell>
          <cell r="AG342" t="str">
            <v>5,60</v>
          </cell>
          <cell r="AH342" t="str">
            <v>5,60</v>
          </cell>
          <cell r="AI342" t="str">
            <v>0,00</v>
          </cell>
          <cell r="AJ342" t="str">
            <v>0,00</v>
          </cell>
          <cell r="AK342">
            <v>6210</v>
          </cell>
          <cell r="AL342">
            <v>5939</v>
          </cell>
          <cell r="AM342">
            <v>2578</v>
          </cell>
          <cell r="AN342">
            <v>2859</v>
          </cell>
          <cell r="AO342">
            <v>1033</v>
          </cell>
          <cell r="AP342" t="str">
            <v>20,00%</v>
          </cell>
          <cell r="AQ342" t="str">
            <v>14,93%</v>
          </cell>
          <cell r="AR342" t="str">
            <v>5,72</v>
          </cell>
          <cell r="AS342" t="str">
            <v>5,72</v>
          </cell>
          <cell r="AT342" t="str">
            <v>-0,20</v>
          </cell>
          <cell r="AU342" t="str">
            <v>-0,20</v>
          </cell>
          <cell r="AV342">
            <v>6370</v>
          </cell>
          <cell r="AW342">
            <v>6350</v>
          </cell>
          <cell r="AX342">
            <v>2781</v>
          </cell>
          <cell r="AY342" t="str">
            <v>0,980</v>
          </cell>
          <cell r="AZ342">
            <v>2381</v>
          </cell>
          <cell r="BA342" t="str">
            <v>14,45%</v>
          </cell>
          <cell r="BB342" t="str">
            <v>14,45%</v>
          </cell>
          <cell r="BW342" t="str">
            <v>C.F.19.B</v>
          </cell>
        </row>
        <row r="343">
          <cell r="B343" t="str">
            <v>Fin. Viaducto Arrábida (02+365,52)</v>
          </cell>
          <cell r="C343">
            <v>20.8</v>
          </cell>
          <cell r="F343" t="str">
            <v/>
          </cell>
          <cell r="G343" t="str">
            <v/>
          </cell>
          <cell r="N343" t="str">
            <v/>
          </cell>
          <cell r="U343" t="str">
            <v>Seccionamento</v>
          </cell>
        </row>
        <row r="344">
          <cell r="B344" t="str">
            <v>3703CCA17</v>
          </cell>
          <cell r="D344">
            <v>2369.1999999999998</v>
          </cell>
          <cell r="E344">
            <v>32515.538999999982</v>
          </cell>
          <cell r="F344" t="str">
            <v>-42015.76</v>
          </cell>
          <cell r="G344" t="str">
            <v>163585.06</v>
          </cell>
          <cell r="H344">
            <v>203</v>
          </cell>
          <cell r="I344" t="str">
            <v>E</v>
          </cell>
          <cell r="J344" t="str">
            <v>2,8</v>
          </cell>
          <cell r="K344" t="str">
            <v>Funicular</v>
          </cell>
          <cell r="L344" t="str">
            <v>HEA 280</v>
          </cell>
          <cell r="M344" t="str">
            <v>M4</v>
          </cell>
          <cell r="N344" t="str">
            <v>B. Fun.</v>
          </cell>
          <cell r="O344" t="str">
            <v>B. Fun.</v>
          </cell>
          <cell r="Q344">
            <v>5.6597</v>
          </cell>
          <cell r="R344">
            <v>5.6</v>
          </cell>
          <cell r="S344">
            <v>-20</v>
          </cell>
          <cell r="T344">
            <v>0</v>
          </cell>
          <cell r="Z344" t="str">
            <v>3703CCA17</v>
          </cell>
          <cell r="AA344" t="str">
            <v>HEA280</v>
          </cell>
          <cell r="AB344" t="str">
            <v>3703CCA18</v>
          </cell>
          <cell r="AC344" t="str">
            <v>HEA280</v>
          </cell>
          <cell r="AD344" t="str">
            <v>2,8</v>
          </cell>
          <cell r="AE344" t="str">
            <v>3,1</v>
          </cell>
          <cell r="AF344" t="str">
            <v>2,8</v>
          </cell>
          <cell r="AG344" t="str">
            <v>5,60</v>
          </cell>
          <cell r="AH344" t="str">
            <v>5,60</v>
          </cell>
          <cell r="AI344" t="str">
            <v>0,00</v>
          </cell>
          <cell r="AJ344" t="str">
            <v>0,00</v>
          </cell>
          <cell r="AK344">
            <v>6212</v>
          </cell>
          <cell r="AL344">
            <v>5922</v>
          </cell>
          <cell r="AM344">
            <v>2588</v>
          </cell>
          <cell r="AN344">
            <v>2859</v>
          </cell>
          <cell r="AO344">
            <v>1041</v>
          </cell>
          <cell r="AP344" t="str">
            <v>20,00%</v>
          </cell>
          <cell r="AQ344" t="str">
            <v>13,74%</v>
          </cell>
          <cell r="AR344" t="str">
            <v>5,66</v>
          </cell>
          <cell r="AS344" t="str">
            <v>5,66</v>
          </cell>
          <cell r="AT344" t="str">
            <v>-0,20</v>
          </cell>
          <cell r="AU344" t="str">
            <v>-0,20</v>
          </cell>
          <cell r="AV344">
            <v>6448</v>
          </cell>
          <cell r="AW344">
            <v>5984</v>
          </cell>
          <cell r="AX344">
            <v>2857</v>
          </cell>
          <cell r="AY344">
            <v>2859</v>
          </cell>
          <cell r="AZ344" t="str">
            <v>0,843</v>
          </cell>
          <cell r="BA344" t="str">
            <v>25,00%</v>
          </cell>
          <cell r="BB344" t="str">
            <v>15,90%</v>
          </cell>
          <cell r="BW344" t="str">
            <v>C.F.19.A</v>
          </cell>
        </row>
        <row r="345">
          <cell r="C345">
            <v>18.899999999999999</v>
          </cell>
          <cell r="F345" t="str">
            <v/>
          </cell>
          <cell r="G345" t="str">
            <v/>
          </cell>
          <cell r="N345" t="str">
            <v/>
          </cell>
        </row>
        <row r="346">
          <cell r="B346" t="str">
            <v>3703CCA19</v>
          </cell>
          <cell r="D346">
            <v>2388.1100000000006</v>
          </cell>
          <cell r="E346">
            <v>32496.638999999981</v>
          </cell>
          <cell r="F346" t="str">
            <v>-41998.90</v>
          </cell>
          <cell r="G346" t="str">
            <v>163575.18</v>
          </cell>
          <cell r="H346">
            <v>203</v>
          </cell>
          <cell r="I346" t="str">
            <v>SE</v>
          </cell>
          <cell r="J346" t="str">
            <v>2,8</v>
          </cell>
          <cell r="K346" t="str">
            <v>Funicular</v>
          </cell>
          <cell r="L346" t="str">
            <v>HEA 280</v>
          </cell>
          <cell r="M346" t="str">
            <v>M4</v>
          </cell>
          <cell r="N346" t="str">
            <v>B. Fun.</v>
          </cell>
          <cell r="O346" t="str">
            <v>B. Fun.</v>
          </cell>
          <cell r="Q346">
            <v>5.6</v>
          </cell>
          <cell r="R346">
            <v>5.7785000000000002</v>
          </cell>
          <cell r="S346">
            <v>-20</v>
          </cell>
          <cell r="T346">
            <v>0</v>
          </cell>
          <cell r="U346" t="str">
            <v>Cantón 985,4m</v>
          </cell>
          <cell r="Z346" t="str">
            <v>3703CCA19</v>
          </cell>
          <cell r="AA346" t="str">
            <v>HEA300</v>
          </cell>
          <cell r="AB346" t="str">
            <v>3703CCA20</v>
          </cell>
          <cell r="AC346" t="str">
            <v>HEA300</v>
          </cell>
          <cell r="AD346" t="str">
            <v>2,8</v>
          </cell>
          <cell r="AE346" t="str">
            <v>3,1</v>
          </cell>
          <cell r="AF346">
            <v>2.8</v>
          </cell>
          <cell r="AG346" t="str">
            <v>5,60</v>
          </cell>
          <cell r="AH346" t="str">
            <v>5,60</v>
          </cell>
          <cell r="AI346" t="str">
            <v>0,00</v>
          </cell>
          <cell r="AJ346" t="str">
            <v>0,00</v>
          </cell>
          <cell r="AK346">
            <v>6210</v>
          </cell>
          <cell r="AL346">
            <v>5939</v>
          </cell>
          <cell r="AM346">
            <v>2578</v>
          </cell>
          <cell r="AN346">
            <v>2859</v>
          </cell>
          <cell r="AO346">
            <v>1033</v>
          </cell>
          <cell r="AP346" t="str">
            <v>20,00%</v>
          </cell>
          <cell r="AQ346" t="str">
            <v>14,93%</v>
          </cell>
          <cell r="AR346" t="str">
            <v>5,72</v>
          </cell>
          <cell r="AS346" t="str">
            <v>5,72</v>
          </cell>
          <cell r="AT346" t="str">
            <v>-0,20</v>
          </cell>
          <cell r="AU346" t="str">
            <v>0,20</v>
          </cell>
          <cell r="AV346">
            <v>6370</v>
          </cell>
          <cell r="AW346">
            <v>6350</v>
          </cell>
          <cell r="AX346">
            <v>2781</v>
          </cell>
          <cell r="AY346" t="str">
            <v>0,980</v>
          </cell>
          <cell r="AZ346">
            <v>2381</v>
          </cell>
          <cell r="BA346" t="str">
            <v>14,45%</v>
          </cell>
          <cell r="BB346" t="str">
            <v>14,45%</v>
          </cell>
          <cell r="BW346" t="str">
            <v>C.F.19.B</v>
          </cell>
        </row>
        <row r="347">
          <cell r="C347">
            <v>19.8</v>
          </cell>
          <cell r="F347" t="str">
            <v/>
          </cell>
          <cell r="G347" t="str">
            <v/>
          </cell>
          <cell r="N347" t="str">
            <v/>
          </cell>
        </row>
        <row r="348">
          <cell r="B348" t="str">
            <v>3703CCA21</v>
          </cell>
          <cell r="D348">
            <v>2407.9100000000008</v>
          </cell>
          <cell r="E348">
            <v>32476.838999999982</v>
          </cell>
          <cell r="F348" t="str">
            <v>-41981.13</v>
          </cell>
          <cell r="G348" t="str">
            <v>163566.59</v>
          </cell>
          <cell r="H348" t="str">
            <v>Clo</v>
          </cell>
          <cell r="I348" t="str">
            <v>A/S</v>
          </cell>
          <cell r="J348" t="str">
            <v>2,8</v>
          </cell>
          <cell r="K348" t="str">
            <v>Funicular</v>
          </cell>
          <cell r="L348" t="str">
            <v>HEM 320</v>
          </cell>
          <cell r="M348" t="str">
            <v>M7</v>
          </cell>
          <cell r="N348" t="str">
            <v>B. Fun.</v>
          </cell>
          <cell r="Q348">
            <v>5.6</v>
          </cell>
          <cell r="R348">
            <v>5.8978999999999999</v>
          </cell>
          <cell r="S348">
            <v>-10</v>
          </cell>
          <cell r="V348" t="str">
            <v>Ancoraem 2HC</v>
          </cell>
          <cell r="W348" t="str">
            <v>Ancoraem 1HC</v>
          </cell>
          <cell r="Z348" t="str">
            <v>3703CCA21</v>
          </cell>
          <cell r="AA348" t="str">
            <v>HEM 320</v>
          </cell>
          <cell r="AB348" t="str">
            <v>3703CCA22</v>
          </cell>
          <cell r="AC348" t="str">
            <v>HEM 320</v>
          </cell>
          <cell r="AD348" t="str">
            <v>2,8</v>
          </cell>
          <cell r="AE348" t="str">
            <v>3,1</v>
          </cell>
          <cell r="AF348" t="str">
            <v>2,8</v>
          </cell>
          <cell r="AG348" t="str">
            <v>5,60</v>
          </cell>
          <cell r="AH348" t="str">
            <v>5,60</v>
          </cell>
          <cell r="AI348" t="str">
            <v>0,20</v>
          </cell>
          <cell r="AJ348" t="str">
            <v>-0,20</v>
          </cell>
          <cell r="AK348">
            <v>6245</v>
          </cell>
          <cell r="AL348">
            <v>5913</v>
          </cell>
          <cell r="AM348">
            <v>2759</v>
          </cell>
          <cell r="AN348">
            <v>2859</v>
          </cell>
          <cell r="AO348" t="str">
            <v>0,668</v>
          </cell>
          <cell r="AP348" t="str">
            <v>20,00%</v>
          </cell>
          <cell r="AQ348" t="str">
            <v>15,48%</v>
          </cell>
          <cell r="AV348" t="str">
            <v>5,90</v>
          </cell>
          <cell r="AW348" t="str">
            <v>5,90</v>
          </cell>
          <cell r="BW348" t="str">
            <v>C.F.7.B</v>
          </cell>
        </row>
        <row r="349">
          <cell r="C349">
            <v>20</v>
          </cell>
          <cell r="F349" t="str">
            <v/>
          </cell>
          <cell r="G349" t="str">
            <v/>
          </cell>
          <cell r="N349" t="str">
            <v/>
          </cell>
        </row>
        <row r="350">
          <cell r="B350" t="str">
            <v>3703CCA23</v>
          </cell>
          <cell r="D350">
            <v>2427.9100000000008</v>
          </cell>
          <cell r="E350">
            <v>32456.838999999982</v>
          </cell>
          <cell r="F350" t="str">
            <v>-41962.88</v>
          </cell>
          <cell r="G350" t="str">
            <v>163558.42</v>
          </cell>
          <cell r="I350" t="str">
            <v>A/S</v>
          </cell>
          <cell r="J350" t="str">
            <v>2,8</v>
          </cell>
          <cell r="K350" t="str">
            <v>Funicular</v>
          </cell>
          <cell r="L350" t="str">
            <v>HEA 240</v>
          </cell>
          <cell r="M350" t="str">
            <v>M2</v>
          </cell>
          <cell r="N350" t="str">
            <v>Delta</v>
          </cell>
          <cell r="O350" t="str">
            <v>B. Fun.</v>
          </cell>
          <cell r="Q350">
            <v>5.6</v>
          </cell>
          <cell r="R350">
            <v>5.85</v>
          </cell>
          <cell r="S350" t="str">
            <v>+10</v>
          </cell>
          <cell r="T350" t="str">
            <v>+30</v>
          </cell>
          <cell r="Z350" t="str">
            <v>3703CCA23</v>
          </cell>
          <cell r="AA350" t="str">
            <v>HEA240</v>
          </cell>
          <cell r="AB350" t="str">
            <v>3703CCA24</v>
          </cell>
          <cell r="AC350" t="str">
            <v>HEA240</v>
          </cell>
          <cell r="AD350" t="str">
            <v>2,8</v>
          </cell>
          <cell r="AE350" t="str">
            <v>3,1</v>
          </cell>
          <cell r="AF350" t="str">
            <v>2,8</v>
          </cell>
          <cell r="AG350" t="str">
            <v>5,60</v>
          </cell>
          <cell r="AH350" t="str">
            <v>5,60</v>
          </cell>
          <cell r="AI350" t="str">
            <v>0,10</v>
          </cell>
          <cell r="AJ350" t="str">
            <v>0,20</v>
          </cell>
          <cell r="AK350">
            <v>6148</v>
          </cell>
          <cell r="AL350">
            <v>6194</v>
          </cell>
          <cell r="AM350">
            <v>2349</v>
          </cell>
          <cell r="AN350">
            <v>3250</v>
          </cell>
          <cell r="AO350">
            <v>2602</v>
          </cell>
          <cell r="AP350" t="str">
            <v>14,25%</v>
          </cell>
          <cell r="AQ350" t="str">
            <v>14,25%</v>
          </cell>
          <cell r="AR350" t="str">
            <v>5,70</v>
          </cell>
          <cell r="AS350" t="str">
            <v>5,70</v>
          </cell>
          <cell r="AT350" t="str">
            <v>0,30</v>
          </cell>
          <cell r="AU350" t="str">
            <v>0,00</v>
          </cell>
          <cell r="AV350" t="str">
            <v>6,27</v>
          </cell>
          <cell r="AW350" t="str">
            <v>6,10</v>
          </cell>
          <cell r="AX350">
            <v>2449</v>
          </cell>
          <cell r="AY350">
            <v>1080</v>
          </cell>
          <cell r="AZ350">
            <v>2802</v>
          </cell>
          <cell r="BA350" t="str">
            <v>14,45%</v>
          </cell>
          <cell r="BB350" t="str">
            <v>14,45%</v>
          </cell>
          <cell r="BW350" t="str">
            <v>C.F.18.A</v>
          </cell>
        </row>
        <row r="351">
          <cell r="C351">
            <v>20</v>
          </cell>
          <cell r="F351" t="str">
            <v/>
          </cell>
          <cell r="G351" t="str">
            <v/>
          </cell>
          <cell r="N351" t="str">
            <v/>
          </cell>
        </row>
        <row r="352">
          <cell r="B352" t="str">
            <v>3703CCA25</v>
          </cell>
          <cell r="D352">
            <v>2447.9100000000008</v>
          </cell>
          <cell r="E352">
            <v>32436.838999999982</v>
          </cell>
          <cell r="F352" t="str">
            <v>-41944.62</v>
          </cell>
          <cell r="G352" t="str">
            <v>163550.25</v>
          </cell>
          <cell r="I352" t="str">
            <v>Elev.</v>
          </cell>
          <cell r="J352" t="str">
            <v>2,8</v>
          </cell>
          <cell r="K352" t="str">
            <v>Funicular</v>
          </cell>
          <cell r="L352" t="str">
            <v>HEA 240</v>
          </cell>
          <cell r="M352" t="str">
            <v>M2</v>
          </cell>
          <cell r="N352" t="str">
            <v>Delta</v>
          </cell>
          <cell r="O352" t="str">
            <v>Delta</v>
          </cell>
          <cell r="Q352">
            <v>5.6</v>
          </cell>
          <cell r="R352">
            <v>5.7</v>
          </cell>
          <cell r="S352">
            <v>0</v>
          </cell>
          <cell r="T352" t="str">
            <v>+20</v>
          </cell>
          <cell r="Z352" t="str">
            <v>3703CCA25</v>
          </cell>
          <cell r="AA352" t="str">
            <v>HEA240</v>
          </cell>
          <cell r="AB352" t="str">
            <v>3703CCA26</v>
          </cell>
          <cell r="AC352" t="str">
            <v>HEA240</v>
          </cell>
          <cell r="AD352" t="str">
            <v>2,8</v>
          </cell>
          <cell r="AE352" t="str">
            <v>3,1</v>
          </cell>
          <cell r="AF352" t="str">
            <v>2,8</v>
          </cell>
          <cell r="AG352" t="str">
            <v>5,60</v>
          </cell>
          <cell r="AH352" t="str">
            <v>5,60</v>
          </cell>
          <cell r="AI352" t="str">
            <v>-0,20</v>
          </cell>
          <cell r="AJ352" t="str">
            <v>-0,20</v>
          </cell>
          <cell r="AK352">
            <v>6151</v>
          </cell>
          <cell r="AL352">
            <v>6122</v>
          </cell>
          <cell r="AM352">
            <v>2667</v>
          </cell>
          <cell r="AN352">
            <v>3150</v>
          </cell>
          <cell r="AO352">
            <v>2567</v>
          </cell>
          <cell r="AP352" t="str">
            <v>12,75%</v>
          </cell>
          <cell r="AQ352" t="str">
            <v>12,75%</v>
          </cell>
          <cell r="AR352" t="str">
            <v>5,70</v>
          </cell>
          <cell r="AS352" t="str">
            <v>5,63</v>
          </cell>
          <cell r="AT352" t="str">
            <v>0,20</v>
          </cell>
          <cell r="AU352" t="str">
            <v>-0,30</v>
          </cell>
          <cell r="AV352">
            <v>6627</v>
          </cell>
          <cell r="AW352">
            <v>6174</v>
          </cell>
          <cell r="AX352">
            <v>5266</v>
          </cell>
          <cell r="AY352">
            <v>3550</v>
          </cell>
          <cell r="AZ352">
            <v>2245</v>
          </cell>
          <cell r="BA352" t="str">
            <v>15,00%</v>
          </cell>
          <cell r="BB352" t="str">
            <v>15,00%</v>
          </cell>
          <cell r="BW352" t="str">
            <v>C.F.8.A</v>
          </cell>
        </row>
        <row r="353">
          <cell r="C353">
            <v>15.5</v>
          </cell>
          <cell r="F353" t="str">
            <v/>
          </cell>
          <cell r="G353" t="str">
            <v/>
          </cell>
          <cell r="N353" t="str">
            <v/>
          </cell>
        </row>
        <row r="354">
          <cell r="B354" t="str">
            <v>3703CCA27</v>
          </cell>
          <cell r="D354">
            <v>2463.4100000000008</v>
          </cell>
          <cell r="E354">
            <v>32421.338999999982</v>
          </cell>
          <cell r="F354" t="str">
            <v>-41930.47</v>
          </cell>
          <cell r="G354" t="str">
            <v>163543.91</v>
          </cell>
          <cell r="I354" t="str">
            <v>PA30</v>
          </cell>
          <cell r="J354" t="str">
            <v>2,8</v>
          </cell>
          <cell r="K354" t="str">
            <v>Funicular</v>
          </cell>
          <cell r="L354" t="str">
            <v>HEA 240</v>
          </cell>
          <cell r="M354" t="str">
            <v>M2</v>
          </cell>
          <cell r="N354" t="str">
            <v>Delta</v>
          </cell>
          <cell r="O354" t="str">
            <v>B. Fun.</v>
          </cell>
          <cell r="Q354">
            <v>5.6</v>
          </cell>
          <cell r="R354">
            <v>5.6</v>
          </cell>
          <cell r="S354">
            <v>-20</v>
          </cell>
          <cell r="T354">
            <v>-10</v>
          </cell>
          <cell r="Z354" t="str">
            <v>3703CCA27</v>
          </cell>
          <cell r="AA354" t="str">
            <v>HEA240</v>
          </cell>
          <cell r="AB354" t="str">
            <v>3703CCA28</v>
          </cell>
          <cell r="AC354" t="str">
            <v>HEA240</v>
          </cell>
          <cell r="AD354">
            <v>2.8</v>
          </cell>
          <cell r="AE354" t="str">
            <v>3,1</v>
          </cell>
          <cell r="AF354" t="str">
            <v>2,8</v>
          </cell>
          <cell r="AG354" t="str">
            <v>5,60</v>
          </cell>
          <cell r="AH354" t="str">
            <v>5,60</v>
          </cell>
          <cell r="AI354" t="str">
            <v>0,20</v>
          </cell>
          <cell r="AJ354" t="str">
            <v>0,20</v>
          </cell>
          <cell r="AK354">
            <v>6064</v>
          </cell>
          <cell r="AL354">
            <v>6112</v>
          </cell>
          <cell r="AM354">
            <v>2754</v>
          </cell>
          <cell r="AN354">
            <v>3350</v>
          </cell>
          <cell r="AO354">
            <v>3112</v>
          </cell>
          <cell r="AP354" t="str">
            <v>14,25%</v>
          </cell>
          <cell r="AQ354" t="str">
            <v>14,25%</v>
          </cell>
          <cell r="AR354" t="str">
            <v>5,60</v>
          </cell>
          <cell r="AS354" t="str">
            <v>5,60</v>
          </cell>
          <cell r="AT354" t="str">
            <v>0,100</v>
          </cell>
          <cell r="AU354" t="str">
            <v>-0,100</v>
          </cell>
          <cell r="AV354">
            <v>6117</v>
          </cell>
          <cell r="AW354">
            <v>6162</v>
          </cell>
          <cell r="AX354">
            <v>2610</v>
          </cell>
          <cell r="AY354" t="str">
            <v>0,980</v>
          </cell>
          <cell r="AZ354">
            <v>2610</v>
          </cell>
          <cell r="BA354" t="str">
            <v>17,06%</v>
          </cell>
          <cell r="BB354" t="str">
            <v>17,06%</v>
          </cell>
          <cell r="BW354" t="str">
            <v>C.F.18.B</v>
          </cell>
        </row>
        <row r="355">
          <cell r="C355">
            <v>8.0500000000000007</v>
          </cell>
          <cell r="F355" t="str">
            <v/>
          </cell>
          <cell r="G355" t="str">
            <v/>
          </cell>
          <cell r="N355" t="str">
            <v/>
          </cell>
        </row>
        <row r="356">
          <cell r="B356" t="str">
            <v>3703CCA29</v>
          </cell>
          <cell r="D356">
            <v>2471.4600000000009</v>
          </cell>
          <cell r="E356">
            <v>32413.288999999982</v>
          </cell>
          <cell r="F356" t="str">
            <v>-41923.11</v>
          </cell>
          <cell r="G356" t="str">
            <v>163540.62</v>
          </cell>
          <cell r="I356" t="str">
            <v>Aislad.</v>
          </cell>
          <cell r="J356" t="str">
            <v>2,8</v>
          </cell>
          <cell r="K356" t="str">
            <v>Funicular</v>
          </cell>
          <cell r="L356" t="str">
            <v>HEA 240</v>
          </cell>
          <cell r="M356" t="str">
            <v>M2</v>
          </cell>
          <cell r="V356" t="str">
            <v>Aislador 1HC</v>
          </cell>
          <cell r="Z356" t="str">
            <v>3703CCA29</v>
          </cell>
          <cell r="AA356" t="str">
            <v>HEA240</v>
          </cell>
          <cell r="AB356" t="str">
            <v>3703CCA30</v>
          </cell>
          <cell r="AC356" t="str">
            <v>HEA240</v>
          </cell>
          <cell r="AD356" t="str">
            <v>2,8</v>
          </cell>
          <cell r="AE356" t="str">
            <v>3,1</v>
          </cell>
          <cell r="AF356" t="str">
            <v>2,8</v>
          </cell>
          <cell r="AG356" t="str">
            <v>5,60</v>
          </cell>
          <cell r="AK356">
            <v>6200</v>
          </cell>
          <cell r="AL356">
            <v>6200</v>
          </cell>
          <cell r="BD356">
            <v>8710</v>
          </cell>
          <cell r="BW356" t="str">
            <v>C.F.23</v>
          </cell>
        </row>
        <row r="357">
          <cell r="C357">
            <v>8.0500000000000007</v>
          </cell>
          <cell r="F357" t="str">
            <v/>
          </cell>
          <cell r="G357" t="str">
            <v/>
          </cell>
          <cell r="N357" t="str">
            <v/>
          </cell>
        </row>
        <row r="358">
          <cell r="B358" t="str">
            <v>3703CCA31</v>
          </cell>
          <cell r="D358">
            <v>2479.5100000000011</v>
          </cell>
          <cell r="E358">
            <v>32405.238999999983</v>
          </cell>
          <cell r="F358" t="str">
            <v>-41915.74</v>
          </cell>
          <cell r="G358" t="str">
            <v>163537.40</v>
          </cell>
          <cell r="I358" t="str">
            <v>PA30</v>
          </cell>
          <cell r="J358" t="str">
            <v>2,8</v>
          </cell>
          <cell r="K358" t="str">
            <v>Funicular</v>
          </cell>
          <cell r="L358" t="str">
            <v>HEA 240</v>
          </cell>
          <cell r="M358" t="str">
            <v>M2</v>
          </cell>
          <cell r="N358" t="str">
            <v>Delta</v>
          </cell>
          <cell r="O358" t="str">
            <v>B. Fun.</v>
          </cell>
          <cell r="Q358">
            <v>5.6</v>
          </cell>
          <cell r="R358">
            <v>5.6</v>
          </cell>
          <cell r="S358">
            <v>-20</v>
          </cell>
          <cell r="T358">
            <v>-10</v>
          </cell>
          <cell r="Z358" t="str">
            <v>3703CCA31</v>
          </cell>
          <cell r="AA358" t="str">
            <v>HEA240</v>
          </cell>
          <cell r="AB358" t="str">
            <v>3703CCA32</v>
          </cell>
          <cell r="AC358" t="str">
            <v>HEA240</v>
          </cell>
          <cell r="AD358" t="str">
            <v>2,8</v>
          </cell>
          <cell r="AE358" t="str">
            <v>3,2</v>
          </cell>
          <cell r="AF358" t="str">
            <v>2,8</v>
          </cell>
          <cell r="AG358" t="str">
            <v>5,60</v>
          </cell>
          <cell r="AH358" t="str">
            <v>5,60</v>
          </cell>
          <cell r="AI358" t="str">
            <v>0,20</v>
          </cell>
          <cell r="AJ358" t="str">
            <v>0,20</v>
          </cell>
          <cell r="AK358">
            <v>6165</v>
          </cell>
          <cell r="AL358">
            <v>6162</v>
          </cell>
          <cell r="AM358">
            <v>2669</v>
          </cell>
          <cell r="AN358">
            <v>2950</v>
          </cell>
          <cell r="AO358">
            <v>2574</v>
          </cell>
          <cell r="AP358" t="str">
            <v>13,25%</v>
          </cell>
          <cell r="AQ358" t="str">
            <v>13,25%</v>
          </cell>
          <cell r="AR358" t="str">
            <v>5,60</v>
          </cell>
          <cell r="AS358" t="str">
            <v>5,60</v>
          </cell>
          <cell r="AT358" t="str">
            <v>0,10</v>
          </cell>
          <cell r="AU358" t="str">
            <v>0,10</v>
          </cell>
          <cell r="AV358">
            <v>6080</v>
          </cell>
          <cell r="AW358">
            <v>6080</v>
          </cell>
          <cell r="AX358">
            <v>2117</v>
          </cell>
          <cell r="AY358" t="str">
            <v>0,980</v>
          </cell>
          <cell r="AZ358">
            <v>2117</v>
          </cell>
          <cell r="BA358" t="str">
            <v>14,45%</v>
          </cell>
          <cell r="BB358" t="str">
            <v>14,45%</v>
          </cell>
          <cell r="BW358" t="str">
            <v>C.F.17</v>
          </cell>
        </row>
        <row r="359">
          <cell r="C359">
            <v>21</v>
          </cell>
          <cell r="F359" t="str">
            <v/>
          </cell>
          <cell r="G359" t="str">
            <v/>
          </cell>
          <cell r="N359" t="str">
            <v/>
          </cell>
          <cell r="X359" t="str">
            <v>1PEAD D110mm ou 2PEAD D63mm+ 1PEAD 32mm</v>
          </cell>
        </row>
        <row r="360">
          <cell r="B360" t="str">
            <v>3703CCA33</v>
          </cell>
          <cell r="D360">
            <v>2500.5100000000011</v>
          </cell>
          <cell r="E360">
            <v>32384.238999999983</v>
          </cell>
          <cell r="F360" t="str">
            <v>-41896.42</v>
          </cell>
          <cell r="G360" t="str">
            <v>163529.24</v>
          </cell>
          <cell r="I360" t="str">
            <v>Elev.</v>
          </cell>
          <cell r="J360" t="str">
            <v>2,8</v>
          </cell>
          <cell r="K360" t="str">
            <v>Funicular</v>
          </cell>
          <cell r="L360" t="str">
            <v>HEA 240</v>
          </cell>
          <cell r="M360" t="str">
            <v>M2</v>
          </cell>
          <cell r="N360" t="str">
            <v>Delta</v>
          </cell>
          <cell r="O360" t="str">
            <v>B. Fun.</v>
          </cell>
          <cell r="Q360">
            <v>5.6</v>
          </cell>
          <cell r="R360">
            <v>5.7</v>
          </cell>
          <cell r="S360">
            <v>-5</v>
          </cell>
          <cell r="T360" t="str">
            <v>+20</v>
          </cell>
          <cell r="X360" t="str">
            <v>FR</v>
          </cell>
          <cell r="Z360" t="str">
            <v>3703CCA33</v>
          </cell>
          <cell r="AA360" t="str">
            <v>HEA240</v>
          </cell>
          <cell r="AB360" t="str">
            <v>3703CCA34</v>
          </cell>
          <cell r="AC360" t="str">
            <v>HEA240</v>
          </cell>
          <cell r="AD360" t="str">
            <v>2,8</v>
          </cell>
          <cell r="AE360" t="str">
            <v>3,1</v>
          </cell>
          <cell r="AF360" t="str">
            <v>2,8</v>
          </cell>
          <cell r="AG360" t="str">
            <v>5,60</v>
          </cell>
          <cell r="AH360" t="str">
            <v>5,60</v>
          </cell>
          <cell r="AI360" t="str">
            <v>0,05</v>
          </cell>
          <cell r="AJ360" t="str">
            <v>-0,05</v>
          </cell>
          <cell r="AK360">
            <v>6199</v>
          </cell>
          <cell r="AL360">
            <v>6202</v>
          </cell>
          <cell r="AM360">
            <v>2407</v>
          </cell>
          <cell r="AN360">
            <v>3450</v>
          </cell>
          <cell r="AO360">
            <v>2360</v>
          </cell>
          <cell r="AP360" t="str">
            <v>15,91%</v>
          </cell>
          <cell r="AQ360" t="str">
            <v>15,91%</v>
          </cell>
          <cell r="AR360" t="str">
            <v>5,70</v>
          </cell>
          <cell r="AS360" t="str">
            <v>5,70%</v>
          </cell>
          <cell r="AT360" t="str">
            <v>0,20</v>
          </cell>
          <cell r="AU360" t="str">
            <v>-0,20</v>
          </cell>
          <cell r="AV360">
            <v>6274</v>
          </cell>
          <cell r="AW360">
            <v>6277</v>
          </cell>
          <cell r="AX360">
            <v>2255</v>
          </cell>
          <cell r="AY360">
            <v>4219</v>
          </cell>
          <cell r="AZ360" t="str">
            <v>0,996</v>
          </cell>
          <cell r="BA360" t="str">
            <v>15,91%</v>
          </cell>
          <cell r="BB360" t="str">
            <v>15,91%</v>
          </cell>
          <cell r="BW360" t="str">
            <v>C.F.20.B</v>
          </cell>
        </row>
        <row r="361">
          <cell r="C361">
            <v>24</v>
          </cell>
          <cell r="F361" t="str">
            <v/>
          </cell>
          <cell r="G361" t="str">
            <v/>
          </cell>
          <cell r="N361" t="str">
            <v/>
          </cell>
          <cell r="X361" t="str">
            <v>1PEAD D110mm ou 2PEAD D63mm</v>
          </cell>
        </row>
        <row r="362">
          <cell r="B362" t="str">
            <v>3703CCA35</v>
          </cell>
          <cell r="D362">
            <v>2524.5100000000011</v>
          </cell>
          <cell r="E362">
            <v>32360.238999999983</v>
          </cell>
          <cell r="F362" t="str">
            <v>-41874.28</v>
          </cell>
          <cell r="G362" t="str">
            <v>163519.83</v>
          </cell>
          <cell r="I362" t="str">
            <v>A/S - Elev</v>
          </cell>
          <cell r="J362" t="str">
            <v>2,95</v>
          </cell>
          <cell r="K362" t="str">
            <v>Cons. Dob.</v>
          </cell>
          <cell r="L362" t="str">
            <v>HEM 320</v>
          </cell>
          <cell r="M362" t="str">
            <v>M6</v>
          </cell>
          <cell r="N362" t="str">
            <v>C3- C.L.</v>
          </cell>
          <cell r="P362">
            <v>6</v>
          </cell>
          <cell r="Q362">
            <v>5.6</v>
          </cell>
          <cell r="R362">
            <v>5.8</v>
          </cell>
          <cell r="S362" t="str">
            <v>+20</v>
          </cell>
          <cell r="T362">
            <v>-40</v>
          </cell>
          <cell r="V362" t="str">
            <v>Ancoraem 1HC</v>
          </cell>
          <cell r="AM362" t="str">
            <v>0,320</v>
          </cell>
          <cell r="AN362" t="str">
            <v>2,95</v>
          </cell>
          <cell r="AO362">
            <v>3100</v>
          </cell>
          <cell r="BE362" t="str">
            <v>C1</v>
          </cell>
          <cell r="BF362" t="str">
            <v>0,200</v>
          </cell>
          <cell r="BG362" t="str">
            <v>0,200</v>
          </cell>
          <cell r="BH362">
            <v>1800</v>
          </cell>
          <cell r="BI362" t="str">
            <v>0,150</v>
          </cell>
          <cell r="BJ362" t="str">
            <v>0,350</v>
          </cell>
          <cell r="BK362" t="str">
            <v>0,350</v>
          </cell>
          <cell r="BL362">
            <v>2556</v>
          </cell>
          <cell r="BM362">
            <v>5432</v>
          </cell>
          <cell r="BN362" t="str">
            <v>34,99°</v>
          </cell>
          <cell r="BO362" t="str">
            <v>17,83°</v>
          </cell>
          <cell r="BP362">
            <v>5600</v>
          </cell>
          <cell r="BQ362">
            <v>5600</v>
          </cell>
          <cell r="BR362" t="str">
            <v>0,330</v>
          </cell>
          <cell r="BS362">
            <v>5900</v>
          </cell>
          <cell r="BV362">
            <v>5850</v>
          </cell>
          <cell r="BW362" t="str">
            <v>C.C.1</v>
          </cell>
        </row>
        <row r="363">
          <cell r="C363">
            <v>23.3</v>
          </cell>
          <cell r="F363" t="str">
            <v/>
          </cell>
          <cell r="G363" t="str">
            <v/>
          </cell>
          <cell r="N363" t="str">
            <v/>
          </cell>
        </row>
        <row r="364">
          <cell r="B364" t="str">
            <v>3703CCA37</v>
          </cell>
          <cell r="D364">
            <v>2547.8100000000013</v>
          </cell>
          <cell r="E364">
            <v>32336.938999999984</v>
          </cell>
          <cell r="F364" t="str">
            <v>-41853.07</v>
          </cell>
          <cell r="G364" t="str">
            <v>163510.30</v>
          </cell>
          <cell r="I364" t="str">
            <v>A/S</v>
          </cell>
          <cell r="J364" t="str">
            <v>2,95</v>
          </cell>
          <cell r="K364" t="str">
            <v>Cons. Dob.</v>
          </cell>
          <cell r="L364" t="str">
            <v>HEM 320</v>
          </cell>
          <cell r="M364" t="str">
            <v>M6</v>
          </cell>
          <cell r="N364" t="str">
            <v>C3- C.L.</v>
          </cell>
          <cell r="P364">
            <v>7.2</v>
          </cell>
          <cell r="Q364">
            <v>5.6</v>
          </cell>
          <cell r="R364">
            <v>5.85</v>
          </cell>
          <cell r="S364">
            <v>-20</v>
          </cell>
          <cell r="V364" t="str">
            <v>Ancoraem 1HC</v>
          </cell>
          <cell r="AM364" t="str">
            <v>0,320</v>
          </cell>
          <cell r="AN364" t="str">
            <v>2,95</v>
          </cell>
          <cell r="AO364">
            <v>3100</v>
          </cell>
          <cell r="BE364" t="str">
            <v>c2</v>
          </cell>
          <cell r="BF364" t="str">
            <v>0,200</v>
          </cell>
          <cell r="BG364" t="str">
            <v>0,200</v>
          </cell>
          <cell r="BH364">
            <v>1800</v>
          </cell>
          <cell r="BI364" t="str">
            <v>0,150</v>
          </cell>
          <cell r="BJ364" t="str">
            <v>0,350</v>
          </cell>
          <cell r="BK364" t="str">
            <v>0,350</v>
          </cell>
          <cell r="BL364">
            <v>3758</v>
          </cell>
          <cell r="BM364">
            <v>5432</v>
          </cell>
          <cell r="BN364" t="str">
            <v>23,48°</v>
          </cell>
          <cell r="BO364" t="str">
            <v>17,83°</v>
          </cell>
          <cell r="BP364">
            <v>5600</v>
          </cell>
          <cell r="BQ364">
            <v>5600</v>
          </cell>
          <cell r="BR364" t="str">
            <v>0,330</v>
          </cell>
          <cell r="BS364">
            <v>7100</v>
          </cell>
          <cell r="BW364" t="str">
            <v>C.C.2</v>
          </cell>
        </row>
        <row r="365">
          <cell r="C365">
            <v>20.100000000000001</v>
          </cell>
          <cell r="F365" t="str">
            <v/>
          </cell>
          <cell r="G365" t="str">
            <v/>
          </cell>
          <cell r="N365" t="str">
            <v/>
          </cell>
        </row>
        <row r="366">
          <cell r="B366" t="str">
            <v>3703CCA39</v>
          </cell>
          <cell r="D366">
            <v>2567.9100000000012</v>
          </cell>
          <cell r="E366">
            <v>32316.838999999985</v>
          </cell>
          <cell r="F366" t="str">
            <v>-41834.83</v>
          </cell>
          <cell r="G366" t="str">
            <v>163502.00</v>
          </cell>
          <cell r="I366" t="str">
            <v>S</v>
          </cell>
          <cell r="J366" t="str">
            <v>2,95</v>
          </cell>
          <cell r="K366" t="str">
            <v>Cons. Dob.</v>
          </cell>
          <cell r="L366" t="str">
            <v>HEM 320</v>
          </cell>
          <cell r="M366" t="str">
            <v>M4</v>
          </cell>
          <cell r="N366" t="str">
            <v>C3- C.L.</v>
          </cell>
          <cell r="P366">
            <v>6</v>
          </cell>
          <cell r="Q366">
            <v>5.6</v>
          </cell>
          <cell r="S366" t="str">
            <v>+20</v>
          </cell>
          <cell r="AM366" t="str">
            <v>0,320</v>
          </cell>
          <cell r="AN366" t="str">
            <v>2,95</v>
          </cell>
          <cell r="AO366">
            <v>3100</v>
          </cell>
          <cell r="BE366" t="str">
            <v>C1</v>
          </cell>
          <cell r="BF366" t="str">
            <v>0,200</v>
          </cell>
          <cell r="BG366" t="str">
            <v>0,200</v>
          </cell>
          <cell r="BH366">
            <v>1800</v>
          </cell>
          <cell r="BI366" t="str">
            <v>0,150</v>
          </cell>
          <cell r="BJ366" t="str">
            <v>0,350</v>
          </cell>
          <cell r="BK366" t="str">
            <v>0,350</v>
          </cell>
          <cell r="BL366">
            <v>2556</v>
          </cell>
          <cell r="BM366">
            <v>5432</v>
          </cell>
          <cell r="BN366" t="str">
            <v>34,99°</v>
          </cell>
          <cell r="BO366" t="str">
            <v>17,83°</v>
          </cell>
          <cell r="BP366">
            <v>5600</v>
          </cell>
          <cell r="BQ366">
            <v>5600</v>
          </cell>
          <cell r="BR366" t="str">
            <v>0,330</v>
          </cell>
          <cell r="BS366">
            <v>5900</v>
          </cell>
          <cell r="BW366" t="str">
            <v>C.C.1</v>
          </cell>
        </row>
        <row r="367">
          <cell r="B367" t="str">
            <v>Inic. Viaduto A1</v>
          </cell>
          <cell r="C367">
            <v>19.8</v>
          </cell>
          <cell r="N367" t="str">
            <v/>
          </cell>
        </row>
        <row r="368">
          <cell r="B368" t="str">
            <v>3703CCA41</v>
          </cell>
          <cell r="D368">
            <v>2587.6100000000015</v>
          </cell>
          <cell r="E368">
            <v>32297.038999999986</v>
          </cell>
          <cell r="F368" t="str">
            <v>-41816.71</v>
          </cell>
          <cell r="G368" t="str">
            <v>163493.94</v>
          </cell>
          <cell r="H368" t="str">
            <v>Clo</v>
          </cell>
          <cell r="I368" t="str">
            <v>S</v>
          </cell>
          <cell r="J368" t="str">
            <v>2,95</v>
          </cell>
          <cell r="K368" t="str">
            <v>Cons. Dob.</v>
          </cell>
          <cell r="L368" t="str">
            <v>HEM 320</v>
          </cell>
          <cell r="M368" t="str">
            <v>Anc. Ponte</v>
          </cell>
          <cell r="N368" t="str">
            <v>C3- C.L.</v>
          </cell>
          <cell r="P368">
            <v>6</v>
          </cell>
          <cell r="Q368">
            <v>5.6</v>
          </cell>
          <cell r="S368" t="str">
            <v>+20</v>
          </cell>
          <cell r="AM368" t="str">
            <v>0,320</v>
          </cell>
          <cell r="AN368" t="str">
            <v>2,95</v>
          </cell>
          <cell r="AO368">
            <v>3100</v>
          </cell>
          <cell r="BE368" t="str">
            <v>C1</v>
          </cell>
          <cell r="BF368" t="str">
            <v>0,200</v>
          </cell>
          <cell r="BG368" t="str">
            <v>0,200</v>
          </cell>
          <cell r="BH368">
            <v>1800</v>
          </cell>
          <cell r="BI368" t="str">
            <v>0,150</v>
          </cell>
          <cell r="BJ368" t="str">
            <v>0,350</v>
          </cell>
          <cell r="BK368" t="str">
            <v>0,350</v>
          </cell>
          <cell r="BL368">
            <v>2556</v>
          </cell>
          <cell r="BM368">
            <v>5432</v>
          </cell>
          <cell r="BN368" t="str">
            <v>34,99</v>
          </cell>
          <cell r="BO368" t="str">
            <v>17,83°</v>
          </cell>
          <cell r="BP368">
            <v>5600</v>
          </cell>
          <cell r="BQ368">
            <v>5600</v>
          </cell>
          <cell r="BR368" t="str">
            <v>0,330</v>
          </cell>
          <cell r="BS368">
            <v>5900</v>
          </cell>
          <cell r="BW368" t="str">
            <v>C.C.1</v>
          </cell>
        </row>
        <row r="369">
          <cell r="C369">
            <v>20</v>
          </cell>
          <cell r="F369" t="str">
            <v/>
          </cell>
          <cell r="G369" t="str">
            <v/>
          </cell>
          <cell r="N369" t="str">
            <v/>
          </cell>
        </row>
        <row r="370">
          <cell r="B370" t="str">
            <v>3703CCA43</v>
          </cell>
          <cell r="D370">
            <v>2607.6100000000015</v>
          </cell>
          <cell r="E370">
            <v>32277.038999999986</v>
          </cell>
          <cell r="F370" t="str">
            <v>-41798.43</v>
          </cell>
          <cell r="G370" t="str">
            <v>163485.59</v>
          </cell>
          <cell r="H370" t="str">
            <v>Clo</v>
          </cell>
          <cell r="I370" t="str">
            <v>S</v>
          </cell>
          <cell r="J370" t="str">
            <v>2,95</v>
          </cell>
          <cell r="K370" t="str">
            <v>Cons. Dob.</v>
          </cell>
          <cell r="L370" t="str">
            <v>HEM 320</v>
          </cell>
          <cell r="M370" t="str">
            <v>Anc. Ponte</v>
          </cell>
          <cell r="N370" t="str">
            <v>C3- C.L.</v>
          </cell>
          <cell r="P370">
            <v>6</v>
          </cell>
          <cell r="Q370">
            <v>5.6</v>
          </cell>
          <cell r="S370" t="str">
            <v>+20</v>
          </cell>
          <cell r="AM370" t="str">
            <v>0,320</v>
          </cell>
          <cell r="AN370" t="str">
            <v>2,95</v>
          </cell>
          <cell r="AO370">
            <v>3100</v>
          </cell>
          <cell r="BE370" t="str">
            <v>C1</v>
          </cell>
          <cell r="BF370" t="str">
            <v>0,200</v>
          </cell>
          <cell r="BG370" t="str">
            <v>0,200</v>
          </cell>
          <cell r="BH370">
            <v>1800</v>
          </cell>
          <cell r="BI370" t="str">
            <v>0,150</v>
          </cell>
          <cell r="BJ370" t="str">
            <v>0,350</v>
          </cell>
          <cell r="BK370" t="str">
            <v>0,350</v>
          </cell>
          <cell r="BL370">
            <v>2556</v>
          </cell>
          <cell r="BM370">
            <v>5432</v>
          </cell>
          <cell r="BN370" t="str">
            <v>34,99°</v>
          </cell>
          <cell r="BO370" t="str">
            <v>17,83°</v>
          </cell>
          <cell r="BP370">
            <v>5600</v>
          </cell>
          <cell r="BQ370">
            <v>5600</v>
          </cell>
          <cell r="BR370" t="str">
            <v>0,330</v>
          </cell>
          <cell r="BS370">
            <v>5900</v>
          </cell>
          <cell r="BW370" t="str">
            <v>C.C.1</v>
          </cell>
        </row>
        <row r="371">
          <cell r="C371">
            <v>20.399999999999999</v>
          </cell>
          <cell r="F371" t="str">
            <v/>
          </cell>
          <cell r="G371" t="str">
            <v/>
          </cell>
          <cell r="N371" t="str">
            <v/>
          </cell>
        </row>
        <row r="372">
          <cell r="B372" t="str">
            <v>3703CCA45</v>
          </cell>
          <cell r="D372">
            <v>2628.0100000000016</v>
          </cell>
          <cell r="E372">
            <v>32256.638999999985</v>
          </cell>
          <cell r="F372" t="str">
            <v>-41780.24</v>
          </cell>
          <cell r="G372" t="str">
            <v>163475.88</v>
          </cell>
          <cell r="H372">
            <v>-310</v>
          </cell>
          <cell r="I372" t="str">
            <v>S</v>
          </cell>
          <cell r="J372" t="str">
            <v>2,95</v>
          </cell>
          <cell r="K372" t="str">
            <v>Cons. Dob.</v>
          </cell>
          <cell r="L372" t="str">
            <v>HEM 320</v>
          </cell>
          <cell r="M372" t="str">
            <v>Anc. Ponte</v>
          </cell>
          <cell r="N372" t="str">
            <v>C3- C.L.</v>
          </cell>
          <cell r="P372">
            <v>6</v>
          </cell>
          <cell r="Q372">
            <v>5.6</v>
          </cell>
          <cell r="S372" t="str">
            <v>+20</v>
          </cell>
          <cell r="AM372" t="str">
            <v>0,320</v>
          </cell>
          <cell r="AN372" t="str">
            <v>2,95</v>
          </cell>
          <cell r="AO372">
            <v>3100</v>
          </cell>
          <cell r="BE372" t="str">
            <v>C1</v>
          </cell>
          <cell r="BF372" t="str">
            <v>0,200</v>
          </cell>
          <cell r="BG372" t="str">
            <v>0,200</v>
          </cell>
          <cell r="BH372">
            <v>1800</v>
          </cell>
          <cell r="BI372" t="str">
            <v>0,150</v>
          </cell>
          <cell r="BJ372" t="str">
            <v>0,350</v>
          </cell>
          <cell r="BK372" t="str">
            <v>0,350</v>
          </cell>
          <cell r="BL372">
            <v>2556</v>
          </cell>
          <cell r="BM372">
            <v>5432</v>
          </cell>
          <cell r="BN372" t="str">
            <v>34,99°</v>
          </cell>
          <cell r="BO372" t="str">
            <v>17,83°</v>
          </cell>
          <cell r="BP372">
            <v>5600</v>
          </cell>
          <cell r="BQ372">
            <v>5600</v>
          </cell>
          <cell r="BR372" t="str">
            <v>0,330</v>
          </cell>
          <cell r="BS372">
            <v>5900</v>
          </cell>
          <cell r="BW372" t="str">
            <v>C.C.1</v>
          </cell>
        </row>
        <row r="373">
          <cell r="C373">
            <v>20.2</v>
          </cell>
          <cell r="F373" t="str">
            <v/>
          </cell>
          <cell r="G373" t="str">
            <v/>
          </cell>
          <cell r="N373" t="str">
            <v/>
          </cell>
        </row>
        <row r="374">
          <cell r="B374" t="str">
            <v>3703CCA47</v>
          </cell>
          <cell r="D374">
            <v>2648.2100000000014</v>
          </cell>
          <cell r="E374">
            <v>32236.438999999984</v>
          </cell>
          <cell r="F374" t="str">
            <v>-41762.80</v>
          </cell>
          <cell r="G374" t="str">
            <v>163465.24</v>
          </cell>
          <cell r="H374">
            <v>-310</v>
          </cell>
          <cell r="I374" t="str">
            <v>S</v>
          </cell>
          <cell r="J374" t="str">
            <v>2,95</v>
          </cell>
          <cell r="K374" t="str">
            <v>Cons. Dob.</v>
          </cell>
          <cell r="L374" t="str">
            <v>HEM 320</v>
          </cell>
          <cell r="M374" t="str">
            <v>Anc. Ponte</v>
          </cell>
          <cell r="N374" t="str">
            <v>C3- C.L.</v>
          </cell>
          <cell r="P374">
            <v>6</v>
          </cell>
          <cell r="Q374">
            <v>5.6</v>
          </cell>
          <cell r="S374" t="str">
            <v>+20</v>
          </cell>
          <cell r="AM374" t="str">
            <v>0,320</v>
          </cell>
          <cell r="AN374" t="str">
            <v>2,95</v>
          </cell>
          <cell r="AO374">
            <v>3100</v>
          </cell>
          <cell r="BE374" t="str">
            <v>C1</v>
          </cell>
          <cell r="BF374" t="str">
            <v>0,200</v>
          </cell>
          <cell r="BG374" t="str">
            <v>0,200</v>
          </cell>
          <cell r="BH374">
            <v>1800</v>
          </cell>
          <cell r="BI374" t="str">
            <v>0,150</v>
          </cell>
          <cell r="BJ374" t="str">
            <v>0,350</v>
          </cell>
          <cell r="BK374" t="str">
            <v>0,350</v>
          </cell>
          <cell r="BL374">
            <v>2556</v>
          </cell>
          <cell r="BM374">
            <v>5432</v>
          </cell>
          <cell r="BN374" t="str">
            <v>34,99°</v>
          </cell>
          <cell r="BO374" t="str">
            <v>17,83°</v>
          </cell>
          <cell r="BP374">
            <v>5600</v>
          </cell>
          <cell r="BQ374">
            <v>5600</v>
          </cell>
          <cell r="BR374" t="str">
            <v>0,330</v>
          </cell>
          <cell r="BS374">
            <v>5900</v>
          </cell>
          <cell r="BW374" t="str">
            <v>C.C.1</v>
          </cell>
        </row>
        <row r="375">
          <cell r="C375">
            <v>19.7</v>
          </cell>
          <cell r="F375" t="str">
            <v/>
          </cell>
          <cell r="G375" t="str">
            <v/>
          </cell>
          <cell r="N375" t="str">
            <v/>
          </cell>
        </row>
        <row r="376">
          <cell r="B376" t="str">
            <v>3703CCA49</v>
          </cell>
          <cell r="D376">
            <v>2667.9100000000012</v>
          </cell>
          <cell r="E376">
            <v>32216.738999999983</v>
          </cell>
          <cell r="F376" t="str">
            <v>-41746.62</v>
          </cell>
          <cell r="G376" t="str">
            <v>163453.79</v>
          </cell>
          <cell r="H376">
            <v>-310</v>
          </cell>
          <cell r="I376" t="str">
            <v>S</v>
          </cell>
          <cell r="J376" t="str">
            <v>2,95</v>
          </cell>
          <cell r="K376" t="str">
            <v>Cons. Dob.</v>
          </cell>
          <cell r="L376" t="str">
            <v>HEM 320</v>
          </cell>
          <cell r="M376" t="str">
            <v>Anc. Ponte</v>
          </cell>
          <cell r="N376" t="str">
            <v>C3- C.L.</v>
          </cell>
          <cell r="P376">
            <v>6</v>
          </cell>
          <cell r="Q376">
            <v>5.6</v>
          </cell>
          <cell r="S376" t="str">
            <v>+20</v>
          </cell>
          <cell r="AM376" t="str">
            <v>0,320</v>
          </cell>
          <cell r="AN376" t="str">
            <v>2,95</v>
          </cell>
          <cell r="AO376">
            <v>3100</v>
          </cell>
          <cell r="BE376" t="str">
            <v>C1</v>
          </cell>
          <cell r="BF376" t="str">
            <v>0,200</v>
          </cell>
          <cell r="BG376" t="str">
            <v>0,200</v>
          </cell>
          <cell r="BH376">
            <v>1800</v>
          </cell>
          <cell r="BI376" t="str">
            <v>0,150</v>
          </cell>
          <cell r="BJ376" t="str">
            <v>0,350</v>
          </cell>
          <cell r="BK376" t="str">
            <v>0,350</v>
          </cell>
          <cell r="BL376">
            <v>2556</v>
          </cell>
          <cell r="BM376">
            <v>5432</v>
          </cell>
          <cell r="BN376" t="str">
            <v>34,99°</v>
          </cell>
          <cell r="BO376" t="str">
            <v>17,83°</v>
          </cell>
          <cell r="BP376">
            <v>5600</v>
          </cell>
          <cell r="BQ376">
            <v>5600</v>
          </cell>
          <cell r="BR376" t="str">
            <v>0,330</v>
          </cell>
          <cell r="BS376">
            <v>5900</v>
          </cell>
          <cell r="BW376" t="str">
            <v>C.C.1</v>
          </cell>
        </row>
        <row r="377">
          <cell r="C377">
            <v>19.8</v>
          </cell>
          <cell r="F377" t="str">
            <v/>
          </cell>
          <cell r="G377" t="str">
            <v/>
          </cell>
          <cell r="N377" t="str">
            <v/>
          </cell>
        </row>
        <row r="378">
          <cell r="B378" t="str">
            <v>3703CCA51</v>
          </cell>
          <cell r="D378">
            <v>2687.7100000000014</v>
          </cell>
          <cell r="E378">
            <v>32196.938999999984</v>
          </cell>
          <cell r="F378" t="str">
            <v>-41731.01</v>
          </cell>
          <cell r="G378" t="str">
            <v>163441.26</v>
          </cell>
          <cell r="H378">
            <v>-310</v>
          </cell>
          <cell r="I378" t="str">
            <v>S</v>
          </cell>
          <cell r="J378" t="str">
            <v>2,95</v>
          </cell>
          <cell r="K378" t="str">
            <v>Cons. Dob.</v>
          </cell>
          <cell r="L378" t="str">
            <v>HEM 320</v>
          </cell>
          <cell r="M378" t="str">
            <v>Anc. Ponte</v>
          </cell>
          <cell r="N378" t="str">
            <v>C3- C.L.</v>
          </cell>
          <cell r="P378">
            <v>6</v>
          </cell>
          <cell r="Q378">
            <v>5.6</v>
          </cell>
          <cell r="S378" t="str">
            <v>+20</v>
          </cell>
          <cell r="AM378" t="str">
            <v>0,320</v>
          </cell>
          <cell r="AN378" t="str">
            <v>2,95</v>
          </cell>
          <cell r="AO378">
            <v>3100</v>
          </cell>
          <cell r="BE378" t="str">
            <v>C1</v>
          </cell>
          <cell r="BF378" t="str">
            <v>0,200</v>
          </cell>
          <cell r="BG378" t="str">
            <v>0,200</v>
          </cell>
          <cell r="BH378">
            <v>1800</v>
          </cell>
          <cell r="BI378" t="str">
            <v>0,150</v>
          </cell>
          <cell r="BJ378" t="str">
            <v>0,350</v>
          </cell>
          <cell r="BK378" t="str">
            <v>0,350</v>
          </cell>
          <cell r="BL378">
            <v>2556</v>
          </cell>
          <cell r="BM378">
            <v>5432</v>
          </cell>
          <cell r="BN378" t="str">
            <v>34,99°</v>
          </cell>
          <cell r="BO378" t="str">
            <v>17,83°</v>
          </cell>
          <cell r="BP378">
            <v>5600</v>
          </cell>
          <cell r="BQ378">
            <v>5600</v>
          </cell>
          <cell r="BR378" t="str">
            <v>0,330</v>
          </cell>
          <cell r="BS378">
            <v>5900</v>
          </cell>
          <cell r="BW378" t="str">
            <v>C.C.1</v>
          </cell>
        </row>
        <row r="379">
          <cell r="C379">
            <v>20.5</v>
          </cell>
          <cell r="F379" t="str">
            <v/>
          </cell>
          <cell r="G379" t="str">
            <v/>
          </cell>
          <cell r="N379" t="str">
            <v/>
          </cell>
        </row>
        <row r="380">
          <cell r="B380" t="str">
            <v>3703CCA53</v>
          </cell>
          <cell r="D380">
            <v>2708.2100000000014</v>
          </cell>
          <cell r="E380">
            <v>32176.438999999984</v>
          </cell>
          <cell r="F380" t="str">
            <v>-41715.76</v>
          </cell>
          <cell r="G380" t="str">
            <v>163427.22</v>
          </cell>
          <cell r="H380">
            <v>-310</v>
          </cell>
          <cell r="I380" t="str">
            <v>S</v>
          </cell>
          <cell r="J380" t="str">
            <v>2,95</v>
          </cell>
          <cell r="K380" t="str">
            <v>Cons. Dob.</v>
          </cell>
          <cell r="L380" t="str">
            <v>HEM 320</v>
          </cell>
          <cell r="M380" t="str">
            <v>Anc. Ponte</v>
          </cell>
          <cell r="N380" t="str">
            <v>C3- C.L.</v>
          </cell>
          <cell r="P380">
            <v>6</v>
          </cell>
          <cell r="Q380">
            <v>5.6</v>
          </cell>
          <cell r="S380" t="str">
            <v>+20</v>
          </cell>
          <cell r="AM380" t="str">
            <v>0,320</v>
          </cell>
          <cell r="AN380" t="str">
            <v>2,95</v>
          </cell>
          <cell r="AO380">
            <v>3100</v>
          </cell>
          <cell r="BE380" t="str">
            <v>C1</v>
          </cell>
          <cell r="BF380" t="str">
            <v>0,200</v>
          </cell>
          <cell r="BG380" t="str">
            <v>0,200</v>
          </cell>
          <cell r="BH380">
            <v>1800</v>
          </cell>
          <cell r="BI380" t="str">
            <v>0,150</v>
          </cell>
          <cell r="BJ380" t="str">
            <v>0,350</v>
          </cell>
          <cell r="BK380" t="str">
            <v>0,350</v>
          </cell>
          <cell r="BL380">
            <v>2556</v>
          </cell>
          <cell r="BM380">
            <v>5432</v>
          </cell>
          <cell r="BN380" t="str">
            <v>34,99°</v>
          </cell>
          <cell r="BO380" t="str">
            <v>17,83°</v>
          </cell>
          <cell r="BP380">
            <v>5600</v>
          </cell>
          <cell r="BQ380">
            <v>5600</v>
          </cell>
          <cell r="BR380" t="str">
            <v>0,330</v>
          </cell>
          <cell r="BS380">
            <v>5900</v>
          </cell>
          <cell r="BW380" t="str">
            <v>C.C.1</v>
          </cell>
        </row>
        <row r="381">
          <cell r="C381">
            <v>20.100000000000001</v>
          </cell>
          <cell r="F381" t="str">
            <v/>
          </cell>
          <cell r="G381" t="str">
            <v/>
          </cell>
          <cell r="N381" t="str">
            <v/>
          </cell>
        </row>
        <row r="382">
          <cell r="B382" t="str">
            <v>3703CCA55</v>
          </cell>
          <cell r="D382">
            <v>2728.3100000000013</v>
          </cell>
          <cell r="E382">
            <v>32156.338999999985</v>
          </cell>
          <cell r="F382" t="str">
            <v>-41701.74</v>
          </cell>
          <cell r="G382" t="str">
            <v>163412.59</v>
          </cell>
          <cell r="H382">
            <v>-310</v>
          </cell>
          <cell r="I382" t="str">
            <v>S</v>
          </cell>
          <cell r="J382" t="str">
            <v>2,95</v>
          </cell>
          <cell r="K382" t="str">
            <v>Cons. Dob.</v>
          </cell>
          <cell r="L382" t="str">
            <v>HEM 320</v>
          </cell>
          <cell r="M382" t="str">
            <v>Anc. Ponte</v>
          </cell>
          <cell r="N382" t="str">
            <v>C3- C.L.</v>
          </cell>
          <cell r="P382">
            <v>6</v>
          </cell>
          <cell r="Q382">
            <v>5.6</v>
          </cell>
          <cell r="S382" t="str">
            <v>+20</v>
          </cell>
          <cell r="AM382" t="str">
            <v>0,320</v>
          </cell>
          <cell r="AN382" t="str">
            <v>2,95</v>
          </cell>
          <cell r="AO382">
            <v>3100</v>
          </cell>
          <cell r="BE382" t="str">
            <v>C1</v>
          </cell>
          <cell r="BF382" t="str">
            <v>0,200</v>
          </cell>
          <cell r="BG382" t="str">
            <v>0,200</v>
          </cell>
          <cell r="BH382">
            <v>1800</v>
          </cell>
          <cell r="BI382" t="str">
            <v>0,150</v>
          </cell>
          <cell r="BJ382" t="str">
            <v>0,350</v>
          </cell>
          <cell r="BK382" t="str">
            <v>0,350</v>
          </cell>
          <cell r="BL382">
            <v>2556</v>
          </cell>
          <cell r="BM382">
            <v>5432</v>
          </cell>
          <cell r="BN382" t="str">
            <v>34,99</v>
          </cell>
          <cell r="BO382" t="str">
            <v>17,83°</v>
          </cell>
          <cell r="BP382">
            <v>5600</v>
          </cell>
          <cell r="BQ382">
            <v>5600</v>
          </cell>
          <cell r="BR382" t="str">
            <v>0,330</v>
          </cell>
          <cell r="BS382">
            <v>5900</v>
          </cell>
          <cell r="BW382" t="str">
            <v>C.C.1</v>
          </cell>
        </row>
        <row r="383">
          <cell r="C383">
            <v>19.8</v>
          </cell>
          <cell r="F383" t="str">
            <v/>
          </cell>
          <cell r="G383" t="str">
            <v/>
          </cell>
          <cell r="N383" t="str">
            <v/>
          </cell>
        </row>
        <row r="384">
          <cell r="B384" t="str">
            <v>3703CCA57</v>
          </cell>
          <cell r="D384">
            <v>2748.1100000000015</v>
          </cell>
          <cell r="E384">
            <v>32136.538999999986</v>
          </cell>
          <cell r="F384" t="str">
            <v>-41688.83</v>
          </cell>
          <cell r="G384" t="str">
            <v>163397.26</v>
          </cell>
          <cell r="H384">
            <v>-310</v>
          </cell>
          <cell r="I384" t="str">
            <v>S</v>
          </cell>
          <cell r="J384" t="str">
            <v>2,95</v>
          </cell>
          <cell r="K384" t="str">
            <v>Cons. Dob.</v>
          </cell>
          <cell r="L384" t="str">
            <v>HEM 320</v>
          </cell>
          <cell r="M384" t="str">
            <v>Anc. Ponte</v>
          </cell>
          <cell r="N384" t="str">
            <v>C3- C.L.</v>
          </cell>
          <cell r="P384">
            <v>6</v>
          </cell>
          <cell r="Q384">
            <v>5.6</v>
          </cell>
          <cell r="S384" t="str">
            <v>+20</v>
          </cell>
          <cell r="AM384" t="str">
            <v>0,320</v>
          </cell>
          <cell r="AN384" t="str">
            <v>2,95</v>
          </cell>
          <cell r="AO384">
            <v>3100</v>
          </cell>
          <cell r="BE384" t="str">
            <v>C1</v>
          </cell>
          <cell r="BF384" t="str">
            <v>0,200</v>
          </cell>
          <cell r="BG384" t="str">
            <v>0,200</v>
          </cell>
          <cell r="BH384">
            <v>1800</v>
          </cell>
          <cell r="BI384" t="str">
            <v>0,150</v>
          </cell>
          <cell r="BJ384" t="str">
            <v>0,350</v>
          </cell>
          <cell r="BK384" t="str">
            <v>0,350</v>
          </cell>
          <cell r="BL384">
            <v>2556</v>
          </cell>
          <cell r="BM384">
            <v>5432</v>
          </cell>
          <cell r="BN384" t="str">
            <v>34,99°</v>
          </cell>
          <cell r="BO384" t="str">
            <v>17,83°</v>
          </cell>
          <cell r="BP384">
            <v>5600</v>
          </cell>
          <cell r="BQ384">
            <v>5600</v>
          </cell>
          <cell r="BR384" t="str">
            <v>0,330</v>
          </cell>
          <cell r="BS384">
            <v>5900</v>
          </cell>
          <cell r="BW384" t="str">
            <v>C.C.1</v>
          </cell>
        </row>
        <row r="385">
          <cell r="C385">
            <v>20.3</v>
          </cell>
          <cell r="F385" t="str">
            <v/>
          </cell>
          <cell r="G385" t="str">
            <v/>
          </cell>
          <cell r="N385" t="str">
            <v/>
          </cell>
        </row>
        <row r="386">
          <cell r="B386" t="str">
            <v>3703CCA59</v>
          </cell>
          <cell r="D386">
            <v>2768.4100000000017</v>
          </cell>
          <cell r="E386">
            <v>32116.238999999987</v>
          </cell>
          <cell r="F386" t="str">
            <v>-41676.69</v>
          </cell>
          <cell r="G386" t="str">
            <v>163380.71</v>
          </cell>
          <cell r="H386">
            <v>-310</v>
          </cell>
          <cell r="I386" t="str">
            <v>S</v>
          </cell>
          <cell r="J386" t="str">
            <v>2,95</v>
          </cell>
          <cell r="K386" t="str">
            <v>Cons. Dob.</v>
          </cell>
          <cell r="L386" t="str">
            <v>HEM 320</v>
          </cell>
          <cell r="M386" t="str">
            <v>Anc. Ponte</v>
          </cell>
          <cell r="N386" t="str">
            <v>C3- C.L.</v>
          </cell>
          <cell r="P386">
            <v>6</v>
          </cell>
          <cell r="Q386">
            <v>5.6</v>
          </cell>
          <cell r="S386" t="str">
            <v>+20</v>
          </cell>
          <cell r="AM386" t="str">
            <v>0,320</v>
          </cell>
          <cell r="AN386" t="str">
            <v>2,95</v>
          </cell>
          <cell r="AO386">
            <v>3100</v>
          </cell>
          <cell r="BE386" t="str">
            <v>C1</v>
          </cell>
          <cell r="BF386" t="str">
            <v>0,200</v>
          </cell>
          <cell r="BG386" t="str">
            <v>0,200</v>
          </cell>
          <cell r="BH386">
            <v>1800</v>
          </cell>
          <cell r="BI386" t="str">
            <v>0,150</v>
          </cell>
          <cell r="BJ386" t="str">
            <v>0,350</v>
          </cell>
          <cell r="BK386" t="str">
            <v>0,350</v>
          </cell>
          <cell r="BL386">
            <v>2556</v>
          </cell>
          <cell r="BM386">
            <v>5432</v>
          </cell>
          <cell r="BN386" t="str">
            <v>34,99°</v>
          </cell>
          <cell r="BO386" t="str">
            <v>17,83°</v>
          </cell>
          <cell r="BP386">
            <v>5600</v>
          </cell>
          <cell r="BQ386">
            <v>5600</v>
          </cell>
          <cell r="BR386" t="str">
            <v>0,330</v>
          </cell>
          <cell r="BS386">
            <v>5900</v>
          </cell>
          <cell r="BW386" t="str">
            <v>C.C.1</v>
          </cell>
        </row>
        <row r="387">
          <cell r="B387" t="str">
            <v>Fin. Viaduto A1</v>
          </cell>
          <cell r="C387">
            <v>20.3</v>
          </cell>
          <cell r="N387" t="str">
            <v/>
          </cell>
        </row>
        <row r="388">
          <cell r="B388" t="str">
            <v>3703CCA61</v>
          </cell>
          <cell r="D388">
            <v>2788.7100000000019</v>
          </cell>
          <cell r="E388">
            <v>32095.938999999988</v>
          </cell>
          <cell r="F388" t="str">
            <v>-41665.57</v>
          </cell>
          <cell r="G388" t="str">
            <v>163363.45</v>
          </cell>
          <cell r="H388">
            <v>-310</v>
          </cell>
          <cell r="I388" t="str">
            <v>S</v>
          </cell>
          <cell r="J388" t="str">
            <v>2,95</v>
          </cell>
          <cell r="K388" t="str">
            <v>Cons. Dob.</v>
          </cell>
          <cell r="L388" t="str">
            <v>HEM 320</v>
          </cell>
          <cell r="M388" t="str">
            <v>M4</v>
          </cell>
          <cell r="N388" t="str">
            <v>C3- C.L.</v>
          </cell>
          <cell r="P388">
            <v>6</v>
          </cell>
          <cell r="Q388">
            <v>5.6</v>
          </cell>
          <cell r="S388" t="str">
            <v>+20</v>
          </cell>
          <cell r="AM388" t="str">
            <v>0,320</v>
          </cell>
          <cell r="AN388" t="str">
            <v>2,95</v>
          </cell>
          <cell r="AO388">
            <v>3100</v>
          </cell>
          <cell r="BE388" t="str">
            <v>C1</v>
          </cell>
          <cell r="BF388" t="str">
            <v>0,200</v>
          </cell>
          <cell r="BG388" t="str">
            <v>0,200</v>
          </cell>
          <cell r="BH388">
            <v>1800</v>
          </cell>
          <cell r="BI388" t="str">
            <v>0,150</v>
          </cell>
          <cell r="BJ388" t="str">
            <v>0,350</v>
          </cell>
          <cell r="BK388" t="str">
            <v>0,350</v>
          </cell>
          <cell r="BL388">
            <v>2556</v>
          </cell>
          <cell r="BM388">
            <v>5432</v>
          </cell>
          <cell r="BN388" t="str">
            <v>34,99°</v>
          </cell>
          <cell r="BO388" t="str">
            <v>17,83°</v>
          </cell>
          <cell r="BP388">
            <v>5600</v>
          </cell>
          <cell r="BQ388">
            <v>5600</v>
          </cell>
          <cell r="BR388" t="str">
            <v>0,330</v>
          </cell>
          <cell r="BS388">
            <v>5900</v>
          </cell>
          <cell r="BW388" t="str">
            <v>C.C.1</v>
          </cell>
        </row>
        <row r="389">
          <cell r="C389">
            <v>20.100000000000001</v>
          </cell>
          <cell r="F389" t="str">
            <v/>
          </cell>
          <cell r="G389" t="str">
            <v/>
          </cell>
          <cell r="N389" t="str">
            <v/>
          </cell>
        </row>
        <row r="390">
          <cell r="B390" t="str">
            <v>3703CCA63</v>
          </cell>
          <cell r="D390">
            <v>2808.8100000000018</v>
          </cell>
          <cell r="E390">
            <v>32075.838999999989</v>
          </cell>
          <cell r="F390" t="str">
            <v>-41655.77</v>
          </cell>
          <cell r="G390" t="str">
            <v>163345.70</v>
          </cell>
          <cell r="H390">
            <v>-310</v>
          </cell>
          <cell r="I390" t="str">
            <v>S</v>
          </cell>
          <cell r="J390" t="str">
            <v>2,95</v>
          </cell>
          <cell r="K390" t="str">
            <v>Cons. Dob.</v>
          </cell>
          <cell r="L390" t="str">
            <v>HEM 320</v>
          </cell>
          <cell r="M390" t="str">
            <v>M4</v>
          </cell>
          <cell r="N390" t="str">
            <v>C3- C.L.</v>
          </cell>
          <cell r="P390">
            <v>6</v>
          </cell>
          <cell r="Q390">
            <v>5.6</v>
          </cell>
          <cell r="S390" t="str">
            <v>+20</v>
          </cell>
          <cell r="AM390" t="str">
            <v>0,320</v>
          </cell>
          <cell r="AN390" t="str">
            <v>2,95</v>
          </cell>
          <cell r="AO390">
            <v>3100</v>
          </cell>
          <cell r="BE390" t="str">
            <v>C1</v>
          </cell>
          <cell r="BF390" t="str">
            <v>0,200</v>
          </cell>
          <cell r="BG390" t="str">
            <v>0,200</v>
          </cell>
          <cell r="BH390">
            <v>1800</v>
          </cell>
          <cell r="BI390" t="str">
            <v>0,150</v>
          </cell>
          <cell r="BJ390" t="str">
            <v>0,350</v>
          </cell>
          <cell r="BK390" t="str">
            <v>0,350</v>
          </cell>
          <cell r="BL390">
            <v>2556</v>
          </cell>
          <cell r="BM390">
            <v>5432</v>
          </cell>
          <cell r="BN390" t="str">
            <v>34,99°</v>
          </cell>
          <cell r="BO390" t="str">
            <v>17,83°</v>
          </cell>
          <cell r="BP390">
            <v>5600</v>
          </cell>
          <cell r="BQ390">
            <v>5600</v>
          </cell>
          <cell r="BR390" t="str">
            <v>0,330</v>
          </cell>
          <cell r="BS390">
            <v>5900</v>
          </cell>
          <cell r="BW390" t="str">
            <v>C.C.1</v>
          </cell>
        </row>
        <row r="391">
          <cell r="C391">
            <v>20.2</v>
          </cell>
          <cell r="F391" t="str">
            <v/>
          </cell>
          <cell r="G391" t="str">
            <v/>
          </cell>
          <cell r="N391" t="str">
            <v/>
          </cell>
        </row>
        <row r="392">
          <cell r="B392" t="str">
            <v>3703CCA65</v>
          </cell>
          <cell r="D392">
            <v>2829.0100000000016</v>
          </cell>
          <cell r="E392">
            <v>32055.638999999988</v>
          </cell>
          <cell r="F392" t="str">
            <v>-41647.10</v>
          </cell>
          <cell r="G392" t="str">
            <v>163327.25</v>
          </cell>
          <cell r="H392">
            <v>-310</v>
          </cell>
          <cell r="I392" t="str">
            <v>S</v>
          </cell>
          <cell r="J392" t="str">
            <v>2,95</v>
          </cell>
          <cell r="K392" t="str">
            <v>Cons. Dob.</v>
          </cell>
          <cell r="L392" t="str">
            <v>HEM 320</v>
          </cell>
          <cell r="M392" t="str">
            <v>M4</v>
          </cell>
          <cell r="N392" t="str">
            <v>C3- C.L.</v>
          </cell>
          <cell r="P392">
            <v>6</v>
          </cell>
          <cell r="Q392">
            <v>5.6</v>
          </cell>
          <cell r="S392" t="str">
            <v>+20</v>
          </cell>
          <cell r="BW392" t="str">
            <v>C.C.1</v>
          </cell>
        </row>
        <row r="393">
          <cell r="C393">
            <v>20.100000000000001</v>
          </cell>
          <cell r="F393" t="str">
            <v/>
          </cell>
          <cell r="G393" t="str">
            <v/>
          </cell>
          <cell r="N393" t="str">
            <v/>
          </cell>
          <cell r="X393" t="str">
            <v>1PEAD D110mm ou 2PEAD D63mm+ 1PEAD 32mm</v>
          </cell>
        </row>
        <row r="394">
          <cell r="B394" t="str">
            <v>3703CCA67</v>
          </cell>
          <cell r="D394">
            <v>2849.1100000000015</v>
          </cell>
          <cell r="E394">
            <v>32035.53899999999</v>
          </cell>
          <cell r="F394" t="str">
            <v>-41639.89</v>
          </cell>
          <cell r="G394" t="str">
            <v>163308.44</v>
          </cell>
          <cell r="H394">
            <v>-310</v>
          </cell>
          <cell r="I394" t="str">
            <v>S</v>
          </cell>
          <cell r="J394" t="str">
            <v>2,95</v>
          </cell>
          <cell r="K394" t="str">
            <v>Funicular</v>
          </cell>
          <cell r="L394" t="str">
            <v>HEA 240</v>
          </cell>
          <cell r="M394" t="str">
            <v>M2</v>
          </cell>
          <cell r="N394" t="str">
            <v>B. Fun.</v>
          </cell>
          <cell r="Q394">
            <v>5.6</v>
          </cell>
          <cell r="S394" t="str">
            <v>+20</v>
          </cell>
          <cell r="X394" t="str">
            <v>FR</v>
          </cell>
          <cell r="Z394" t="str">
            <v>3703CCA67</v>
          </cell>
          <cell r="AA394" t="str">
            <v>HEA240</v>
          </cell>
          <cell r="AB394" t="str">
            <v>3703CCA68</v>
          </cell>
          <cell r="AC394" t="str">
            <v>HEA240</v>
          </cell>
          <cell r="AD394" t="str">
            <v>3,4</v>
          </cell>
          <cell r="AE394" t="str">
            <v>3,1</v>
          </cell>
          <cell r="AF394" t="str">
            <v>3,4</v>
          </cell>
          <cell r="AG394" t="str">
            <v>5,60</v>
          </cell>
          <cell r="AH394" t="str">
            <v>5,60</v>
          </cell>
          <cell r="AI394" t="str">
            <v>0,20</v>
          </cell>
          <cell r="AJ394" t="str">
            <v>0,20</v>
          </cell>
          <cell r="AK394">
            <v>5982</v>
          </cell>
          <cell r="AL394">
            <v>6376</v>
          </cell>
          <cell r="AM394">
            <v>1468</v>
          </cell>
          <cell r="AN394">
            <v>2859</v>
          </cell>
          <cell r="AO394">
            <v>3373</v>
          </cell>
          <cell r="AP394" t="str">
            <v>13,85%</v>
          </cell>
          <cell r="AQ394" t="str">
            <v>20,00%</v>
          </cell>
          <cell r="AV394">
            <v>6282</v>
          </cell>
          <cell r="AW394">
            <v>6676</v>
          </cell>
          <cell r="BW394" t="str">
            <v>C.F.4.A</v>
          </cell>
        </row>
        <row r="395">
          <cell r="C395">
            <v>20.100000000000001</v>
          </cell>
          <cell r="F395" t="str">
            <v/>
          </cell>
          <cell r="G395" t="str">
            <v/>
          </cell>
          <cell r="N395" t="str">
            <v/>
          </cell>
          <cell r="X395" t="str">
            <v>1PEAD D110mm ou 2PEAD D63mm</v>
          </cell>
        </row>
        <row r="396">
          <cell r="B396" t="str">
            <v>3703CCA69</v>
          </cell>
          <cell r="D396">
            <v>2869.2100000000014</v>
          </cell>
          <cell r="E396">
            <v>32015.438999999991</v>
          </cell>
          <cell r="F396" t="str">
            <v>-41633.21</v>
          </cell>
          <cell r="G396" t="str">
            <v>163289.08</v>
          </cell>
          <cell r="H396" t="str">
            <v>Clo</v>
          </cell>
          <cell r="I396" t="str">
            <v>S</v>
          </cell>
          <cell r="J396" t="str">
            <v>3,4</v>
          </cell>
          <cell r="K396" t="str">
            <v>Funicular</v>
          </cell>
          <cell r="L396" t="str">
            <v>HEA 240</v>
          </cell>
          <cell r="M396" t="str">
            <v>M2</v>
          </cell>
          <cell r="N396" t="str">
            <v>B. Fun.</v>
          </cell>
          <cell r="Q396">
            <v>5.6</v>
          </cell>
          <cell r="S396" t="str">
            <v>+20</v>
          </cell>
          <cell r="Z396" t="str">
            <v>3703CCA69</v>
          </cell>
          <cell r="AA396" t="str">
            <v>HEA240</v>
          </cell>
          <cell r="AB396" t="str">
            <v>3703CCA70</v>
          </cell>
          <cell r="AC396" t="str">
            <v>HEA240</v>
          </cell>
          <cell r="AD396" t="str">
            <v>3,4</v>
          </cell>
          <cell r="AE396" t="str">
            <v>3,1</v>
          </cell>
          <cell r="AF396" t="str">
            <v>3,4</v>
          </cell>
          <cell r="AG396" t="str">
            <v>5,60</v>
          </cell>
          <cell r="AH396" t="str">
            <v>5,60</v>
          </cell>
          <cell r="AI396" t="str">
            <v>0,20</v>
          </cell>
          <cell r="AJ396" t="str">
            <v>0,20</v>
          </cell>
          <cell r="AK396">
            <v>5979</v>
          </cell>
          <cell r="AL396">
            <v>6376</v>
          </cell>
          <cell r="AM396">
            <v>1467</v>
          </cell>
          <cell r="AN396">
            <v>2859</v>
          </cell>
          <cell r="AO396">
            <v>3373</v>
          </cell>
          <cell r="AP396" t="str">
            <v>13,71%</v>
          </cell>
          <cell r="AQ396" t="str">
            <v>20,00%</v>
          </cell>
          <cell r="BW396" t="str">
            <v>C.F.4.A</v>
          </cell>
        </row>
        <row r="397">
          <cell r="C397">
            <v>19</v>
          </cell>
          <cell r="F397" t="str">
            <v/>
          </cell>
          <cell r="G397" t="str">
            <v/>
          </cell>
          <cell r="N397" t="str">
            <v/>
          </cell>
        </row>
        <row r="398">
          <cell r="B398" t="str">
            <v>3703CCA71</v>
          </cell>
          <cell r="D398">
            <v>2888.2100000000014</v>
          </cell>
          <cell r="E398">
            <v>31996.438999999991</v>
          </cell>
          <cell r="F398" t="str">
            <v>-41628.11</v>
          </cell>
          <cell r="G398" t="str">
            <v>163270.90</v>
          </cell>
          <cell r="I398" t="str">
            <v>S</v>
          </cell>
          <cell r="J398" t="str">
            <v>3,5</v>
          </cell>
          <cell r="K398" t="str">
            <v>Funicular</v>
          </cell>
          <cell r="L398" t="str">
            <v>HEA 240</v>
          </cell>
          <cell r="M398" t="str">
            <v>M2</v>
          </cell>
          <cell r="N398" t="str">
            <v>Delta</v>
          </cell>
          <cell r="Q398">
            <v>5.6</v>
          </cell>
          <cell r="S398">
            <v>-20</v>
          </cell>
          <cell r="Z398" t="str">
            <v>3703CCA71</v>
          </cell>
          <cell r="AA398" t="str">
            <v>HEA240</v>
          </cell>
          <cell r="AB398" t="str">
            <v>3703CCA72</v>
          </cell>
          <cell r="AC398" t="str">
            <v>HEA240</v>
          </cell>
          <cell r="AD398" t="str">
            <v>3,55</v>
          </cell>
          <cell r="AE398" t="str">
            <v>3,1</v>
          </cell>
          <cell r="AF398" t="str">
            <v>3,35</v>
          </cell>
          <cell r="AG398" t="str">
            <v>5,60</v>
          </cell>
          <cell r="AH398" t="str">
            <v>5,60</v>
          </cell>
          <cell r="AI398" t="str">
            <v>-0,20</v>
          </cell>
          <cell r="AJ398" t="str">
            <v>-0,20</v>
          </cell>
          <cell r="AK398">
            <v>6308</v>
          </cell>
          <cell r="AL398">
            <v>6217</v>
          </cell>
          <cell r="AM398">
            <v>3468</v>
          </cell>
          <cell r="AN398">
            <v>3350</v>
          </cell>
          <cell r="AO398">
            <v>2835</v>
          </cell>
          <cell r="AP398" t="str">
            <v>14,38%</v>
          </cell>
          <cell r="AQ398" t="str">
            <v>14,38%</v>
          </cell>
          <cell r="BW398" t="str">
            <v>C.F.2</v>
          </cell>
        </row>
        <row r="399">
          <cell r="C399">
            <v>21.6</v>
          </cell>
          <cell r="F399" t="str">
            <v/>
          </cell>
          <cell r="G399" t="str">
            <v/>
          </cell>
          <cell r="N399" t="str">
            <v/>
          </cell>
        </row>
        <row r="400">
          <cell r="B400" t="str">
            <v>3703CCA73</v>
          </cell>
          <cell r="D400">
            <v>2909.8100000000013</v>
          </cell>
          <cell r="E400">
            <v>31974.838999999993</v>
          </cell>
          <cell r="F400" t="str">
            <v>-41622.78</v>
          </cell>
          <cell r="G400" t="str">
            <v>163250.05</v>
          </cell>
          <cell r="I400" t="str">
            <v>S</v>
          </cell>
          <cell r="J400" t="str">
            <v>3,3</v>
          </cell>
          <cell r="K400" t="str">
            <v>Funicular</v>
          </cell>
          <cell r="L400" t="str">
            <v>HEA 240</v>
          </cell>
          <cell r="M400" t="str">
            <v>M2</v>
          </cell>
          <cell r="N400" t="str">
            <v>Delta</v>
          </cell>
          <cell r="Q400">
            <v>5.6</v>
          </cell>
          <cell r="S400" t="str">
            <v>+20</v>
          </cell>
          <cell r="Z400" t="str">
            <v>3703CCA73</v>
          </cell>
          <cell r="AA400" t="str">
            <v>HEA240</v>
          </cell>
          <cell r="AB400" t="str">
            <v>3703CCA74</v>
          </cell>
          <cell r="AC400" t="str">
            <v>HEA240</v>
          </cell>
          <cell r="AD400" t="str">
            <v>3,3</v>
          </cell>
          <cell r="AE400" t="str">
            <v>3,1</v>
          </cell>
          <cell r="AF400" t="str">
            <v>3,3</v>
          </cell>
          <cell r="AG400" t="str">
            <v>5,60</v>
          </cell>
          <cell r="AH400" t="str">
            <v>5,60</v>
          </cell>
          <cell r="AI400" t="str">
            <v>0,20</v>
          </cell>
          <cell r="AJ400" t="str">
            <v>0,20</v>
          </cell>
          <cell r="AK400">
            <v>6224</v>
          </cell>
          <cell r="AL400">
            <v>6288</v>
          </cell>
          <cell r="AM400">
            <v>2788</v>
          </cell>
          <cell r="AN400">
            <v>3350</v>
          </cell>
          <cell r="AO400">
            <v>3218</v>
          </cell>
          <cell r="AP400" t="str">
            <v>14,85%</v>
          </cell>
          <cell r="AQ400" t="str">
            <v>14,85%</v>
          </cell>
          <cell r="BW400" t="str">
            <v>C.F.1</v>
          </cell>
        </row>
        <row r="401">
          <cell r="C401">
            <v>20.2</v>
          </cell>
          <cell r="F401" t="str">
            <v/>
          </cell>
          <cell r="G401" t="str">
            <v/>
          </cell>
          <cell r="N401" t="str">
            <v/>
          </cell>
        </row>
        <row r="402">
          <cell r="B402" t="str">
            <v>3703CCA75</v>
          </cell>
          <cell r="D402">
            <v>2930.0100000000011</v>
          </cell>
          <cell r="E402">
            <v>31954.638999999992</v>
          </cell>
          <cell r="F402" t="str">
            <v>-41617.52</v>
          </cell>
          <cell r="G402" t="str">
            <v>163230.55</v>
          </cell>
          <cell r="I402" t="str">
            <v>S</v>
          </cell>
          <cell r="J402" t="str">
            <v>3,3</v>
          </cell>
          <cell r="K402" t="str">
            <v>Funicular</v>
          </cell>
          <cell r="L402" t="str">
            <v>HEA 240</v>
          </cell>
          <cell r="M402" t="str">
            <v>M2</v>
          </cell>
          <cell r="N402" t="str">
            <v>Delta</v>
          </cell>
          <cell r="Q402">
            <v>5.6</v>
          </cell>
          <cell r="S402">
            <v>-20</v>
          </cell>
          <cell r="Z402" t="str">
            <v>3703CCA75</v>
          </cell>
          <cell r="AA402" t="str">
            <v>HEA240</v>
          </cell>
          <cell r="AB402" t="str">
            <v>3703CCA76</v>
          </cell>
          <cell r="AC402" t="str">
            <v>HEA240</v>
          </cell>
          <cell r="AD402" t="str">
            <v>3,3</v>
          </cell>
          <cell r="AE402" t="str">
            <v>3,1</v>
          </cell>
          <cell r="AF402" t="str">
            <v>3,3</v>
          </cell>
          <cell r="AG402" t="str">
            <v>5,60</v>
          </cell>
          <cell r="AH402" t="str">
            <v>5,60</v>
          </cell>
          <cell r="AI402" t="str">
            <v>-0,20</v>
          </cell>
          <cell r="AJ402" t="str">
            <v>-0,20</v>
          </cell>
          <cell r="AK402">
            <v>6271</v>
          </cell>
          <cell r="AL402">
            <v>6210</v>
          </cell>
          <cell r="AM402">
            <v>3213</v>
          </cell>
          <cell r="AN402">
            <v>3350</v>
          </cell>
          <cell r="AO402">
            <v>2784</v>
          </cell>
          <cell r="AP402" t="str">
            <v>14,38%</v>
          </cell>
          <cell r="AQ402" t="str">
            <v>14,38%</v>
          </cell>
          <cell r="BW402" t="str">
            <v>C.F.2</v>
          </cell>
        </row>
        <row r="403">
          <cell r="C403">
            <v>20.2</v>
          </cell>
          <cell r="F403" t="str">
            <v/>
          </cell>
          <cell r="G403" t="str">
            <v/>
          </cell>
          <cell r="N403" t="str">
            <v/>
          </cell>
        </row>
        <row r="404">
          <cell r="B404" t="str">
            <v>3703CCA77</v>
          </cell>
          <cell r="D404">
            <v>2950.2100000000009</v>
          </cell>
          <cell r="E404">
            <v>31934.438999999991</v>
          </cell>
          <cell r="F404" t="str">
            <v>-41611.99</v>
          </cell>
          <cell r="G404" t="str">
            <v>163211.24</v>
          </cell>
          <cell r="I404" t="str">
            <v>S</v>
          </cell>
          <cell r="J404" t="str">
            <v>3,3</v>
          </cell>
          <cell r="K404" t="str">
            <v>Funicular</v>
          </cell>
          <cell r="L404" t="str">
            <v>HEA 240</v>
          </cell>
          <cell r="M404" t="str">
            <v>M2</v>
          </cell>
          <cell r="N404" t="str">
            <v>Delta</v>
          </cell>
          <cell r="Q404">
            <v>5.6</v>
          </cell>
          <cell r="S404" t="str">
            <v>+5</v>
          </cell>
          <cell r="Z404" t="str">
            <v>3703CCA77</v>
          </cell>
          <cell r="AA404" t="str">
            <v>HEA240</v>
          </cell>
          <cell r="AB404" t="str">
            <v>3703CCA78</v>
          </cell>
          <cell r="AC404" t="str">
            <v>HEA240</v>
          </cell>
          <cell r="AD404" t="str">
            <v>3,3</v>
          </cell>
          <cell r="AE404" t="str">
            <v>3,1</v>
          </cell>
          <cell r="AF404" t="str">
            <v>3,3</v>
          </cell>
          <cell r="AG404" t="str">
            <v>5,60</v>
          </cell>
          <cell r="AH404" t="str">
            <v>5,60</v>
          </cell>
          <cell r="AI404" t="str">
            <v>0,05</v>
          </cell>
          <cell r="AJ404" t="str">
            <v>0,05</v>
          </cell>
          <cell r="AK404">
            <v>6232</v>
          </cell>
          <cell r="AL404">
            <v>6249</v>
          </cell>
          <cell r="AM404">
            <v>2937</v>
          </cell>
          <cell r="AN404">
            <v>3350</v>
          </cell>
          <cell r="AO404">
            <v>3060</v>
          </cell>
          <cell r="AP404" t="str">
            <v>14,38%</v>
          </cell>
          <cell r="AQ404" t="str">
            <v>14,38%</v>
          </cell>
          <cell r="BW404" t="str">
            <v>C.F.1</v>
          </cell>
        </row>
        <row r="405">
          <cell r="C405">
            <v>20.100000000000001</v>
          </cell>
          <cell r="F405" t="str">
            <v/>
          </cell>
          <cell r="G405" t="str">
            <v/>
          </cell>
          <cell r="N405" t="str">
            <v/>
          </cell>
        </row>
        <row r="406">
          <cell r="B406" t="str">
            <v>3703CCA79</v>
          </cell>
          <cell r="D406">
            <v>2970.3100000000009</v>
          </cell>
          <cell r="E406">
            <v>31914.338999999993</v>
          </cell>
          <cell r="F406" t="str">
            <v>-41606.16</v>
          </cell>
          <cell r="G406" t="str">
            <v>163191.92</v>
          </cell>
          <cell r="I406" t="str">
            <v>S</v>
          </cell>
          <cell r="J406" t="str">
            <v>3,3</v>
          </cell>
          <cell r="K406" t="str">
            <v>Funicular</v>
          </cell>
          <cell r="L406" t="str">
            <v>HEA 240</v>
          </cell>
          <cell r="M406" t="str">
            <v>M2</v>
          </cell>
          <cell r="N406" t="str">
            <v>Delta</v>
          </cell>
          <cell r="Q406">
            <v>5.6</v>
          </cell>
          <cell r="S406" t="str">
            <v>+20</v>
          </cell>
          <cell r="Z406" t="str">
            <v>3703CCA79</v>
          </cell>
          <cell r="AA406" t="str">
            <v>HEA240</v>
          </cell>
          <cell r="AB406" t="str">
            <v>3703CCA80</v>
          </cell>
          <cell r="AC406" t="str">
            <v>HEA240</v>
          </cell>
          <cell r="AD406" t="str">
            <v>3,3</v>
          </cell>
          <cell r="AE406" t="str">
            <v>3,1</v>
          </cell>
          <cell r="AF406" t="str">
            <v>3,3</v>
          </cell>
          <cell r="AG406" t="str">
            <v>5,60</v>
          </cell>
          <cell r="AH406" t="str">
            <v>5,60</v>
          </cell>
          <cell r="AI406" t="str">
            <v>0,20</v>
          </cell>
          <cell r="AJ406" t="str">
            <v>0,20</v>
          </cell>
          <cell r="AK406">
            <v>6210</v>
          </cell>
          <cell r="AL406">
            <v>6271</v>
          </cell>
          <cell r="AM406">
            <v>2784</v>
          </cell>
          <cell r="AN406">
            <v>3350</v>
          </cell>
          <cell r="AO406">
            <v>3213</v>
          </cell>
          <cell r="AP406" t="str">
            <v>14,38%</v>
          </cell>
          <cell r="AQ406" t="str">
            <v>14,38%</v>
          </cell>
          <cell r="BW406" t="str">
            <v>C.F.1</v>
          </cell>
        </row>
        <row r="407">
          <cell r="C407">
            <v>20.2</v>
          </cell>
          <cell r="F407" t="str">
            <v/>
          </cell>
          <cell r="G407" t="str">
            <v/>
          </cell>
          <cell r="N407" t="str">
            <v/>
          </cell>
        </row>
        <row r="408">
          <cell r="B408" t="str">
            <v>3703CCA81</v>
          </cell>
          <cell r="D408">
            <v>2990.5100000000007</v>
          </cell>
          <cell r="E408">
            <v>31894.138999999992</v>
          </cell>
          <cell r="F408" t="str">
            <v>-41600.28</v>
          </cell>
          <cell r="G408" t="str">
            <v>163172.63</v>
          </cell>
          <cell r="I408" t="str">
            <v>S</v>
          </cell>
          <cell r="J408" t="str">
            <v>3,3</v>
          </cell>
          <cell r="K408" t="str">
            <v>Funicular</v>
          </cell>
          <cell r="L408" t="str">
            <v>HEA 220</v>
          </cell>
          <cell r="M408" t="str">
            <v>M1</v>
          </cell>
          <cell r="N408" t="str">
            <v>Delta</v>
          </cell>
          <cell r="Q408">
            <v>5.6</v>
          </cell>
          <cell r="S408">
            <v>-20</v>
          </cell>
          <cell r="Z408" t="str">
            <v>3703CCA81</v>
          </cell>
          <cell r="AA408" t="str">
            <v>HEA220</v>
          </cell>
          <cell r="AB408" t="str">
            <v>3703CCA82</v>
          </cell>
          <cell r="AC408" t="str">
            <v>HEA220</v>
          </cell>
          <cell r="AD408" t="str">
            <v>3,3</v>
          </cell>
          <cell r="AE408" t="str">
            <v>3,1</v>
          </cell>
          <cell r="AF408" t="str">
            <v>3,3</v>
          </cell>
          <cell r="AG408" t="str">
            <v>5,60</v>
          </cell>
          <cell r="AH408" t="str">
            <v>5,60</v>
          </cell>
          <cell r="AI408" t="str">
            <v>-0,20</v>
          </cell>
          <cell r="AJ408" t="str">
            <v>-0,20</v>
          </cell>
          <cell r="AK408">
            <v>6273</v>
          </cell>
          <cell r="AL408">
            <v>6211</v>
          </cell>
          <cell r="AM408">
            <v>3223</v>
          </cell>
          <cell r="AN408">
            <v>3350</v>
          </cell>
          <cell r="AO408">
            <v>2794</v>
          </cell>
          <cell r="AP408" t="str">
            <v>14,38%</v>
          </cell>
          <cell r="AQ408" t="str">
            <v>14,38%</v>
          </cell>
          <cell r="BW408" t="str">
            <v>C.F.2</v>
          </cell>
        </row>
        <row r="409">
          <cell r="C409">
            <v>20.2</v>
          </cell>
          <cell r="F409" t="str">
            <v/>
          </cell>
          <cell r="G409" t="str">
            <v/>
          </cell>
          <cell r="N409" t="str">
            <v/>
          </cell>
        </row>
        <row r="410">
          <cell r="B410" t="str">
            <v>3703CCA83</v>
          </cell>
          <cell r="D410">
            <v>3010.7100000000005</v>
          </cell>
          <cell r="E410">
            <v>31873.938999999991</v>
          </cell>
          <cell r="F410" t="str">
            <v>-41594.39</v>
          </cell>
          <cell r="G410" t="str">
            <v>163153.33</v>
          </cell>
          <cell r="I410" t="str">
            <v>S</v>
          </cell>
          <cell r="J410" t="str">
            <v>3,3</v>
          </cell>
          <cell r="K410" t="str">
            <v>Funicular</v>
          </cell>
          <cell r="L410" t="str">
            <v>HEA 220</v>
          </cell>
          <cell r="M410" t="str">
            <v>M1</v>
          </cell>
          <cell r="N410" t="str">
            <v>Delta</v>
          </cell>
          <cell r="Q410">
            <v>5.6</v>
          </cell>
          <cell r="S410" t="str">
            <v>+20</v>
          </cell>
          <cell r="Z410" t="str">
            <v>3703CCA83</v>
          </cell>
          <cell r="AA410" t="str">
            <v>HEA220</v>
          </cell>
          <cell r="AB410" t="str">
            <v>3703CCA84</v>
          </cell>
          <cell r="AC410" t="str">
            <v>HEA220</v>
          </cell>
          <cell r="AD410" t="str">
            <v>3,3</v>
          </cell>
          <cell r="AE410" t="str">
            <v>3,1</v>
          </cell>
          <cell r="AF410" t="str">
            <v>3,3</v>
          </cell>
          <cell r="AG410" t="str">
            <v>5,60</v>
          </cell>
          <cell r="AH410" t="str">
            <v>5,60</v>
          </cell>
          <cell r="AI410" t="str">
            <v>0,20</v>
          </cell>
          <cell r="AJ410" t="str">
            <v>0,20</v>
          </cell>
          <cell r="AK410">
            <v>6249</v>
          </cell>
          <cell r="AL410">
            <v>6317</v>
          </cell>
          <cell r="AM410">
            <v>2806</v>
          </cell>
          <cell r="AN410">
            <v>3350</v>
          </cell>
          <cell r="AO410">
            <v>3236</v>
          </cell>
          <cell r="AP410" t="str">
            <v>15,64%</v>
          </cell>
          <cell r="AQ410" t="str">
            <v>15,64%</v>
          </cell>
          <cell r="BW410" t="str">
            <v>C.F.1</v>
          </cell>
        </row>
        <row r="411">
          <cell r="C411">
            <v>24</v>
          </cell>
          <cell r="F411" t="str">
            <v/>
          </cell>
          <cell r="G411" t="str">
            <v/>
          </cell>
          <cell r="N411" t="str">
            <v/>
          </cell>
        </row>
        <row r="412">
          <cell r="B412" t="str">
            <v>3703CCA85</v>
          </cell>
          <cell r="D412">
            <v>3034.7100000000005</v>
          </cell>
          <cell r="E412">
            <v>31849.938999999991</v>
          </cell>
          <cell r="F412" t="str">
            <v>-41587.38</v>
          </cell>
          <cell r="G412" t="str">
            <v>163130.35</v>
          </cell>
          <cell r="I412" t="str">
            <v>S</v>
          </cell>
          <cell r="J412" t="str">
            <v>3,3</v>
          </cell>
          <cell r="K412" t="str">
            <v>Funicular</v>
          </cell>
          <cell r="L412" t="str">
            <v>HEA 220</v>
          </cell>
          <cell r="M412" t="str">
            <v>M1</v>
          </cell>
          <cell r="N412" t="str">
            <v>Delta</v>
          </cell>
          <cell r="Q412">
            <v>5.6</v>
          </cell>
          <cell r="S412">
            <v>-20</v>
          </cell>
          <cell r="Z412" t="str">
            <v>3703CCA85</v>
          </cell>
          <cell r="AA412" t="str">
            <v>HEA220</v>
          </cell>
          <cell r="AB412" t="str">
            <v>3703CCA86</v>
          </cell>
          <cell r="AC412" t="str">
            <v>HEA220</v>
          </cell>
          <cell r="AD412" t="str">
            <v>3,3</v>
          </cell>
          <cell r="AE412" t="str">
            <v>3,1</v>
          </cell>
          <cell r="AF412" t="str">
            <v>3,3</v>
          </cell>
          <cell r="AG412" t="str">
            <v>5,60</v>
          </cell>
          <cell r="AH412" t="str">
            <v>5,60</v>
          </cell>
          <cell r="AI412" t="str">
            <v>-0,20</v>
          </cell>
          <cell r="AJ412" t="str">
            <v>-0,20</v>
          </cell>
          <cell r="AK412">
            <v>6367</v>
          </cell>
          <cell r="AL412">
            <v>6293</v>
          </cell>
          <cell r="AM412">
            <v>3253</v>
          </cell>
          <cell r="AN412">
            <v>3350</v>
          </cell>
          <cell r="AO412">
            <v>2820</v>
          </cell>
          <cell r="AP412" t="str">
            <v>17,06%</v>
          </cell>
          <cell r="AQ412" t="str">
            <v>17,06%</v>
          </cell>
          <cell r="BW412" t="str">
            <v>C.F.2</v>
          </cell>
        </row>
        <row r="413">
          <cell r="C413">
            <v>24.5</v>
          </cell>
          <cell r="F413" t="str">
            <v/>
          </cell>
          <cell r="G413" t="str">
            <v/>
          </cell>
          <cell r="N413" t="str">
            <v/>
          </cell>
          <cell r="X413" t="str">
            <v>1PEAD D110mm ou 2PEAD D63mm+ 1PEAD 32mm</v>
          </cell>
        </row>
        <row r="414">
          <cell r="B414" t="str">
            <v>3703CCA87</v>
          </cell>
          <cell r="D414">
            <v>3059.2100000000005</v>
          </cell>
          <cell r="E414">
            <v>31825.438999999991</v>
          </cell>
          <cell r="F414" t="str">
            <v>-41580.20</v>
          </cell>
          <cell r="G414" t="str">
            <v>163106.92</v>
          </cell>
          <cell r="I414" t="str">
            <v>S</v>
          </cell>
          <cell r="J414" t="str">
            <v>3,3</v>
          </cell>
          <cell r="K414" t="str">
            <v>Funicular</v>
          </cell>
          <cell r="L414" t="str">
            <v>HEA 220</v>
          </cell>
          <cell r="M414" t="str">
            <v>M1</v>
          </cell>
          <cell r="N414" t="str">
            <v>Delta</v>
          </cell>
          <cell r="Q414">
            <v>5.6</v>
          </cell>
          <cell r="S414" t="str">
            <v>+20</v>
          </cell>
          <cell r="X414" t="str">
            <v>FR</v>
          </cell>
          <cell r="Z414" t="str">
            <v>3703CCA87</v>
          </cell>
          <cell r="AA414" t="str">
            <v>HEA220</v>
          </cell>
          <cell r="AB414" t="str">
            <v>3703CCA88</v>
          </cell>
          <cell r="AC414" t="str">
            <v>HEA220</v>
          </cell>
          <cell r="AD414" t="str">
            <v>3,3</v>
          </cell>
          <cell r="AE414" t="str">
            <v>3,1</v>
          </cell>
          <cell r="AF414" t="str">
            <v>3,3</v>
          </cell>
          <cell r="AG414" t="str">
            <v>5,60</v>
          </cell>
          <cell r="AH414" t="str">
            <v>5,60</v>
          </cell>
          <cell r="AI414" t="str">
            <v>0,20</v>
          </cell>
          <cell r="AJ414" t="str">
            <v>0,20</v>
          </cell>
          <cell r="AK414">
            <v>6200</v>
          </cell>
          <cell r="AL414">
            <v>6260</v>
          </cell>
          <cell r="AM414">
            <v>2763</v>
          </cell>
          <cell r="AN414">
            <v>3350</v>
          </cell>
          <cell r="AO414">
            <v>3120</v>
          </cell>
          <cell r="AP414" t="str">
            <v>14,02%</v>
          </cell>
          <cell r="AQ414" t="str">
            <v>14,02%</v>
          </cell>
          <cell r="AV414">
            <v>6500</v>
          </cell>
          <cell r="AW414">
            <v>6560</v>
          </cell>
          <cell r="BW414" t="str">
            <v>C.F.24</v>
          </cell>
        </row>
        <row r="415">
          <cell r="C415">
            <v>14.8</v>
          </cell>
          <cell r="F415" t="str">
            <v/>
          </cell>
          <cell r="G415" t="str">
            <v/>
          </cell>
          <cell r="N415" t="str">
            <v/>
          </cell>
          <cell r="X415" t="str">
            <v>1PEAD D110mm ou 2PEAD D63mm</v>
          </cell>
        </row>
        <row r="416">
          <cell r="B416" t="str">
            <v>3703CCA89</v>
          </cell>
          <cell r="D416">
            <v>3074.0100000000007</v>
          </cell>
          <cell r="E416">
            <v>31810.638999999992</v>
          </cell>
          <cell r="F416" t="str">
            <v>-41575.45</v>
          </cell>
          <cell r="G416" t="str">
            <v>163092,88</v>
          </cell>
          <cell r="I416" t="str">
            <v>S</v>
          </cell>
          <cell r="J416" t="str">
            <v>3,3</v>
          </cell>
          <cell r="K416" t="str">
            <v>Funicular</v>
          </cell>
          <cell r="L416" t="str">
            <v>HEA 220</v>
          </cell>
          <cell r="M416" t="str">
            <v>M1</v>
          </cell>
          <cell r="N416" t="str">
            <v>Delta</v>
          </cell>
          <cell r="Q416">
            <v>5.6</v>
          </cell>
          <cell r="S416">
            <v>-20</v>
          </cell>
          <cell r="Z416" t="str">
            <v>3703CCA89</v>
          </cell>
          <cell r="AA416" t="str">
            <v>HEA220</v>
          </cell>
          <cell r="AB416" t="str">
            <v>3703CCA90</v>
          </cell>
          <cell r="AC416" t="str">
            <v>HEA220</v>
          </cell>
          <cell r="AD416" t="str">
            <v>3,3</v>
          </cell>
          <cell r="AE416" t="str">
            <v>3,1</v>
          </cell>
          <cell r="AF416" t="str">
            <v>3,3</v>
          </cell>
          <cell r="AG416" t="str">
            <v>5,60</v>
          </cell>
          <cell r="AH416" t="str">
            <v>5,60</v>
          </cell>
          <cell r="AI416" t="str">
            <v>-0,20</v>
          </cell>
          <cell r="AJ416" t="str">
            <v>-0,20</v>
          </cell>
          <cell r="AK416">
            <v>6152</v>
          </cell>
          <cell r="AL416">
            <v>6106</v>
          </cell>
          <cell r="AM416">
            <v>3192</v>
          </cell>
          <cell r="AN416">
            <v>3350</v>
          </cell>
          <cell r="AO416">
            <v>2767</v>
          </cell>
          <cell r="AP416" t="str">
            <v>10,83%</v>
          </cell>
          <cell r="AQ416" t="str">
            <v>10,83%</v>
          </cell>
          <cell r="BW416" t="str">
            <v>C.F.2</v>
          </cell>
        </row>
        <row r="417">
          <cell r="C417">
            <v>15</v>
          </cell>
        </row>
        <row r="418">
          <cell r="B418" t="str">
            <v>3703CCA91</v>
          </cell>
          <cell r="D418">
            <v>3089.0100000000007</v>
          </cell>
          <cell r="E418">
            <v>31795.638999999992</v>
          </cell>
          <cell r="F418" t="str">
            <v>-41571.08</v>
          </cell>
          <cell r="G418" t="str">
            <v>163078,53</v>
          </cell>
          <cell r="I418" t="str">
            <v>S</v>
          </cell>
          <cell r="J418" t="str">
            <v>4,75</v>
          </cell>
          <cell r="K418" t="str">
            <v>Funicular</v>
          </cell>
          <cell r="L418" t="str">
            <v>HEA 220</v>
          </cell>
          <cell r="M418" t="str">
            <v>M1</v>
          </cell>
          <cell r="N418" t="str">
            <v>Delta</v>
          </cell>
          <cell r="Q418">
            <v>5.6</v>
          </cell>
          <cell r="S418" t="str">
            <v>+20</v>
          </cell>
          <cell r="Z418" t="str">
            <v>3703CCA91</v>
          </cell>
          <cell r="AA418" t="str">
            <v>HEA220</v>
          </cell>
          <cell r="AB418" t="str">
            <v>3703CCA92</v>
          </cell>
          <cell r="AC418" t="str">
            <v>HEA220</v>
          </cell>
          <cell r="AD418" t="str">
            <v>4,74</v>
          </cell>
          <cell r="AE418" t="str">
            <v>3,1</v>
          </cell>
          <cell r="AF418" t="str">
            <v>4,74</v>
          </cell>
          <cell r="AG418" t="str">
            <v>5,60</v>
          </cell>
          <cell r="AH418" t="str">
            <v>5,60</v>
          </cell>
          <cell r="AI418" t="str">
            <v>0,20</v>
          </cell>
          <cell r="AJ418" t="str">
            <v>0,20</v>
          </cell>
          <cell r="AK418">
            <v>6337</v>
          </cell>
          <cell r="AL418">
            <v>6390</v>
          </cell>
          <cell r="AM418">
            <v>4242</v>
          </cell>
          <cell r="AN418">
            <v>3350</v>
          </cell>
          <cell r="AO418">
            <v>4669</v>
          </cell>
          <cell r="AP418" t="str">
            <v>12,48%</v>
          </cell>
          <cell r="AQ418" t="str">
            <v>12,48%</v>
          </cell>
          <cell r="BW418" t="str">
            <v>C.F.1</v>
          </cell>
        </row>
        <row r="419">
          <cell r="B419" t="str">
            <v>Inic. Est./Anden Candal (03+096)</v>
          </cell>
          <cell r="C419">
            <v>19.7</v>
          </cell>
          <cell r="N419" t="str">
            <v/>
          </cell>
        </row>
        <row r="420">
          <cell r="B420" t="str">
            <v>3704CCA01</v>
          </cell>
          <cell r="D420">
            <v>3108.7100000000005</v>
          </cell>
          <cell r="E420">
            <v>31775.938999999991</v>
          </cell>
          <cell r="F420" t="str">
            <v>-41565.26</v>
          </cell>
          <cell r="G420" t="str">
            <v>163059.74</v>
          </cell>
          <cell r="I420" t="str">
            <v>S</v>
          </cell>
          <cell r="J420" t="str">
            <v>4,0</v>
          </cell>
          <cell r="K420" t="str">
            <v>Funicular</v>
          </cell>
          <cell r="L420" t="str">
            <v>Marquise</v>
          </cell>
          <cell r="M420" t="str">
            <v>-</v>
          </cell>
          <cell r="N420" t="str">
            <v>Delta</v>
          </cell>
          <cell r="Q420">
            <v>5.5783000000000005</v>
          </cell>
          <cell r="S420">
            <v>-20</v>
          </cell>
          <cell r="Z420" t="str">
            <v>3704CCA01</v>
          </cell>
          <cell r="AA420" t="str">
            <v>HEB240</v>
          </cell>
          <cell r="AB420" t="str">
            <v>3704CCA02</v>
          </cell>
          <cell r="AC420" t="str">
            <v>HEB240</v>
          </cell>
          <cell r="AD420" t="str">
            <v>4,0</v>
          </cell>
          <cell r="AE420" t="str">
            <v>3,1</v>
          </cell>
          <cell r="AF420" t="str">
            <v>4,0</v>
          </cell>
          <cell r="AG420" t="str">
            <v>5,58</v>
          </cell>
          <cell r="AH420" t="str">
            <v>5,53</v>
          </cell>
          <cell r="AI420" t="str">
            <v>-0,20</v>
          </cell>
          <cell r="AJ420" t="str">
            <v>-0,20</v>
          </cell>
          <cell r="AK420">
            <v>6246</v>
          </cell>
          <cell r="AL420">
            <v>6150</v>
          </cell>
          <cell r="AM420">
            <v>3895</v>
          </cell>
          <cell r="AN420">
            <v>3350</v>
          </cell>
          <cell r="AO420">
            <v>3469</v>
          </cell>
          <cell r="AP420" t="str">
            <v>14,70%</v>
          </cell>
          <cell r="AQ420" t="str">
            <v>11,82%</v>
          </cell>
          <cell r="BW420" t="str">
            <v>C.F.2</v>
          </cell>
        </row>
        <row r="421">
          <cell r="C421">
            <v>17.25</v>
          </cell>
          <cell r="N421" t="str">
            <v/>
          </cell>
        </row>
        <row r="422">
          <cell r="B422" t="str">
            <v>3704CCA03</v>
          </cell>
          <cell r="D422">
            <v>3125.9600000000005</v>
          </cell>
          <cell r="E422">
            <v>31758.688999999991</v>
          </cell>
          <cell r="F422" t="str">
            <v>-41560.23</v>
          </cell>
          <cell r="G422" t="str">
            <v>163043.24</v>
          </cell>
          <cell r="I422" t="str">
            <v>S</v>
          </cell>
          <cell r="J422" t="str">
            <v>4,0</v>
          </cell>
          <cell r="K422" t="str">
            <v>Funicular</v>
          </cell>
          <cell r="L422" t="str">
            <v>Marquise</v>
          </cell>
          <cell r="M422" t="str">
            <v>-</v>
          </cell>
          <cell r="N422" t="str">
            <v>Delta</v>
          </cell>
          <cell r="Q422">
            <v>5.5093000000000005</v>
          </cell>
          <cell r="S422" t="str">
            <v>+20</v>
          </cell>
          <cell r="Z422" t="str">
            <v>3704CCA03</v>
          </cell>
          <cell r="AA422" t="str">
            <v>HEB240</v>
          </cell>
          <cell r="AB422" t="str">
            <v>3704CCA04</v>
          </cell>
          <cell r="AC422" t="str">
            <v>HEB240</v>
          </cell>
          <cell r="AD422" t="str">
            <v>4,0</v>
          </cell>
          <cell r="AE422" t="str">
            <v>3,1</v>
          </cell>
          <cell r="AF422" t="str">
            <v>4,0</v>
          </cell>
          <cell r="AG422" t="str">
            <v>5,51</v>
          </cell>
          <cell r="AH422" t="str">
            <v>5,46</v>
          </cell>
          <cell r="AI422" t="str">
            <v>0,20</v>
          </cell>
          <cell r="AJ422" t="str">
            <v>0,20</v>
          </cell>
          <cell r="AK422">
            <v>6096</v>
          </cell>
          <cell r="AL422">
            <v>6098</v>
          </cell>
          <cell r="AM422">
            <v>3462</v>
          </cell>
          <cell r="AN422">
            <v>3350</v>
          </cell>
          <cell r="AO422">
            <v>3887</v>
          </cell>
          <cell r="AP422" t="str">
            <v>13,88%</v>
          </cell>
          <cell r="AQ422" t="str">
            <v>10,99%</v>
          </cell>
          <cell r="BW422" t="str">
            <v>C.F.1</v>
          </cell>
        </row>
        <row r="423">
          <cell r="C423">
            <v>17.25</v>
          </cell>
          <cell r="F423" t="str">
            <v/>
          </cell>
          <cell r="G423" t="str">
            <v/>
          </cell>
          <cell r="N423" t="str">
            <v/>
          </cell>
        </row>
        <row r="424">
          <cell r="B424" t="str">
            <v>3704CCA05</v>
          </cell>
          <cell r="D424">
            <v>3143.2100000000005</v>
          </cell>
          <cell r="E424">
            <v>31741.438999999991</v>
          </cell>
          <cell r="F424" t="str">
            <v>-41555.19</v>
          </cell>
          <cell r="G424" t="str">
            <v>163026.74</v>
          </cell>
          <cell r="I424" t="str">
            <v>S</v>
          </cell>
          <cell r="J424" t="str">
            <v>4,0</v>
          </cell>
          <cell r="K424" t="str">
            <v>Funicular</v>
          </cell>
          <cell r="L424" t="str">
            <v>Marquise</v>
          </cell>
          <cell r="M424" t="str">
            <v>-</v>
          </cell>
          <cell r="N424" t="str">
            <v>Delta</v>
          </cell>
          <cell r="Q424">
            <v>5.4058000000000002</v>
          </cell>
          <cell r="S424">
            <v>-20</v>
          </cell>
          <cell r="Z424" t="str">
            <v>3704CCA05</v>
          </cell>
          <cell r="AA424" t="str">
            <v>HEB240</v>
          </cell>
          <cell r="AB424" t="str">
            <v>3704CCA06</v>
          </cell>
          <cell r="AC424" t="str">
            <v>HEB240</v>
          </cell>
          <cell r="AD424" t="str">
            <v>4,0</v>
          </cell>
          <cell r="AE424" t="str">
            <v>3,1</v>
          </cell>
          <cell r="AF424" t="str">
            <v>4,0</v>
          </cell>
          <cell r="AG424" t="str">
            <v>5,41</v>
          </cell>
          <cell r="AH424" t="str">
            <v>5,36</v>
          </cell>
          <cell r="AI424" t="str">
            <v>-0,20</v>
          </cell>
          <cell r="AJ424" t="str">
            <v>-0,20</v>
          </cell>
          <cell r="AK424">
            <v>6039</v>
          </cell>
          <cell r="AL424">
            <v>5948</v>
          </cell>
          <cell r="AM424">
            <v>3887</v>
          </cell>
          <cell r="AN424">
            <v>3350</v>
          </cell>
          <cell r="AO424">
            <v>3462</v>
          </cell>
          <cell r="AP424" t="str">
            <v>13,88%</v>
          </cell>
          <cell r="AQ424" t="str">
            <v>10,99%</v>
          </cell>
          <cell r="BW424" t="str">
            <v>C.F.2</v>
          </cell>
        </row>
        <row r="425">
          <cell r="C425">
            <v>17.25</v>
          </cell>
          <cell r="F425" t="str">
            <v/>
          </cell>
          <cell r="G425" t="str">
            <v/>
          </cell>
          <cell r="N425" t="str">
            <v/>
          </cell>
        </row>
        <row r="426">
          <cell r="B426" t="str">
            <v>3704CCA07</v>
          </cell>
          <cell r="D426">
            <v>3160.4600000000005</v>
          </cell>
          <cell r="E426">
            <v>31724.188999999991</v>
          </cell>
          <cell r="F426" t="str">
            <v>-41550.16</v>
          </cell>
          <cell r="G426" t="str">
            <v>163010.24</v>
          </cell>
          <cell r="I426" t="str">
            <v>S</v>
          </cell>
          <cell r="J426" t="str">
            <v>4,0</v>
          </cell>
          <cell r="K426" t="str">
            <v>Funicular</v>
          </cell>
          <cell r="L426" t="str">
            <v>Marquise</v>
          </cell>
          <cell r="M426" t="str">
            <v>-</v>
          </cell>
          <cell r="N426" t="str">
            <v>Delta</v>
          </cell>
          <cell r="Q426">
            <v>5.3022999999999998</v>
          </cell>
          <cell r="S426" t="str">
            <v>+20</v>
          </cell>
          <cell r="Z426" t="str">
            <v>3704CCA07</v>
          </cell>
          <cell r="AA426" t="str">
            <v>HEB240</v>
          </cell>
          <cell r="AB426" t="str">
            <v>3704CCA08</v>
          </cell>
          <cell r="AC426" t="str">
            <v>HEB240</v>
          </cell>
          <cell r="AD426" t="str">
            <v>4,0</v>
          </cell>
          <cell r="AE426" t="str">
            <v>3,1</v>
          </cell>
          <cell r="AF426" t="str">
            <v>4,0</v>
          </cell>
          <cell r="AG426" t="str">
            <v>5,30</v>
          </cell>
          <cell r="AH426" t="str">
            <v>5,26</v>
          </cell>
          <cell r="AI426" t="str">
            <v>0,20</v>
          </cell>
          <cell r="AJ426" t="str">
            <v>0,20</v>
          </cell>
          <cell r="AK426">
            <v>5912</v>
          </cell>
          <cell r="AL426">
            <v>5916</v>
          </cell>
          <cell r="AM426">
            <v>3467</v>
          </cell>
          <cell r="AN426">
            <v>3350</v>
          </cell>
          <cell r="AO426">
            <v>3893</v>
          </cell>
          <cell r="AP426" t="str">
            <v>14,50%</v>
          </cell>
          <cell r="AQ426" t="str">
            <v>11,61%</v>
          </cell>
          <cell r="BW426" t="str">
            <v>C.F.1</v>
          </cell>
        </row>
        <row r="427">
          <cell r="B427" t="str">
            <v>Fin. Est./Anden Candal (03+168)</v>
          </cell>
          <cell r="C427">
            <v>19.100000000000001</v>
          </cell>
          <cell r="N427" t="str">
            <v/>
          </cell>
        </row>
        <row r="428">
          <cell r="B428" t="str">
            <v>3705CCA01</v>
          </cell>
          <cell r="D428">
            <v>3179.5600000000004</v>
          </cell>
          <cell r="E428">
            <v>31705.088999999993</v>
          </cell>
          <cell r="F428" t="str">
            <v>-41544.59</v>
          </cell>
          <cell r="G428" t="str">
            <v>162991,99</v>
          </cell>
          <cell r="I428" t="str">
            <v>S</v>
          </cell>
          <cell r="J428" t="str">
            <v>4,75</v>
          </cell>
          <cell r="K428" t="str">
            <v>Funicular</v>
          </cell>
          <cell r="L428" t="str">
            <v>HEA 220</v>
          </cell>
          <cell r="M428" t="str">
            <v>M1</v>
          </cell>
          <cell r="N428" t="str">
            <v/>
          </cell>
          <cell r="Q428">
            <v>5.2450000000000001</v>
          </cell>
          <cell r="S428">
            <v>-20</v>
          </cell>
          <cell r="Z428" t="str">
            <v>3705CCA01</v>
          </cell>
          <cell r="AA428" t="str">
            <v>HEA220</v>
          </cell>
          <cell r="AB428" t="str">
            <v>3705CCA02</v>
          </cell>
          <cell r="AC428" t="str">
            <v>HEA220</v>
          </cell>
          <cell r="AD428" t="str">
            <v>4,75</v>
          </cell>
          <cell r="AE428" t="str">
            <v>3,1</v>
          </cell>
          <cell r="AF428" t="str">
            <v>4,75</v>
          </cell>
          <cell r="AG428" t="str">
            <v>5,25</v>
          </cell>
          <cell r="AH428" t="str">
            <v>5,25</v>
          </cell>
          <cell r="AI428" t="str">
            <v>-0,20</v>
          </cell>
          <cell r="AJ428" t="str">
            <v>-0,20</v>
          </cell>
          <cell r="AK428">
            <v>6027</v>
          </cell>
          <cell r="AL428">
            <v>5974</v>
          </cell>
          <cell r="AM428">
            <v>4676</v>
          </cell>
          <cell r="AN428">
            <v>3350</v>
          </cell>
          <cell r="AO428">
            <v>4250</v>
          </cell>
          <cell r="AP428" t="str">
            <v>12,28%</v>
          </cell>
          <cell r="AQ428" t="str">
            <v>12,28%</v>
          </cell>
          <cell r="BW428" t="str">
            <v>C.F.2</v>
          </cell>
        </row>
        <row r="429">
          <cell r="C429">
            <v>15</v>
          </cell>
        </row>
        <row r="430">
          <cell r="B430" t="str">
            <v>3705CCA03</v>
          </cell>
          <cell r="D430">
            <v>3194.5600000000004</v>
          </cell>
          <cell r="E430">
            <v>31690.088999999993</v>
          </cell>
          <cell r="F430" t="str">
            <v>-41540.23</v>
          </cell>
          <cell r="G430" t="str">
            <v>162977.66</v>
          </cell>
          <cell r="I430" t="str">
            <v>A/S</v>
          </cell>
          <cell r="J430" t="str">
            <v>3,4</v>
          </cell>
          <cell r="K430" t="str">
            <v>Funicular</v>
          </cell>
          <cell r="L430" t="str">
            <v>HEM 320</v>
          </cell>
          <cell r="M430" t="str">
            <v>M7</v>
          </cell>
          <cell r="N430" t="str">
            <v>Delta</v>
          </cell>
          <cell r="Q430">
            <v>5.2</v>
          </cell>
          <cell r="R430">
            <v>5.5</v>
          </cell>
          <cell r="S430" t="str">
            <v>+20</v>
          </cell>
          <cell r="V430" t="str">
            <v>Ancoraem 2HC</v>
          </cell>
          <cell r="Z430" t="str">
            <v>3705CCA03</v>
          </cell>
          <cell r="AA430" t="str">
            <v>HEM 320</v>
          </cell>
          <cell r="AB430" t="str">
            <v>3705CCA04</v>
          </cell>
          <cell r="AC430" t="str">
            <v>HEM 320</v>
          </cell>
          <cell r="AD430" t="str">
            <v>3,4</v>
          </cell>
          <cell r="AE430" t="str">
            <v>3,1</v>
          </cell>
          <cell r="AF430" t="str">
            <v>3,4</v>
          </cell>
          <cell r="AG430" t="str">
            <v>5,20</v>
          </cell>
          <cell r="AH430" t="str">
            <v>5,20</v>
          </cell>
          <cell r="AI430" t="str">
            <v>0,20</v>
          </cell>
          <cell r="AJ430" t="str">
            <v>0,20</v>
          </cell>
          <cell r="AK430">
            <v>5716</v>
          </cell>
          <cell r="AL430">
            <v>5763</v>
          </cell>
          <cell r="AM430">
            <v>2788</v>
          </cell>
          <cell r="AN430">
            <v>3350</v>
          </cell>
          <cell r="AO430">
            <v>3132</v>
          </cell>
          <cell r="AP430" t="str">
            <v>11,03%</v>
          </cell>
          <cell r="AQ430" t="str">
            <v>11,03%</v>
          </cell>
          <cell r="AV430" t="str">
            <v>5,50</v>
          </cell>
          <cell r="AW430" t="str">
            <v>5,50</v>
          </cell>
          <cell r="BW430" t="str">
            <v>C.F.6</v>
          </cell>
        </row>
        <row r="431">
          <cell r="C431">
            <v>15.4</v>
          </cell>
          <cell r="F431" t="str">
            <v/>
          </cell>
          <cell r="G431" t="str">
            <v/>
          </cell>
          <cell r="N431" t="str">
            <v/>
          </cell>
        </row>
        <row r="432">
          <cell r="B432" t="str">
            <v>3705CCA05</v>
          </cell>
          <cell r="D432">
            <v>3209.9600000000005</v>
          </cell>
          <cell r="E432">
            <v>31674.688999999991</v>
          </cell>
          <cell r="F432" t="str">
            <v>-41536.22</v>
          </cell>
          <cell r="G432" t="str">
            <v>162962.74</v>
          </cell>
          <cell r="I432" t="str">
            <v>SE</v>
          </cell>
          <cell r="J432" t="str">
            <v>3,4</v>
          </cell>
          <cell r="K432" t="str">
            <v>Funicular</v>
          </cell>
          <cell r="L432" t="str">
            <v>HEA 240</v>
          </cell>
          <cell r="M432" t="str">
            <v>M2</v>
          </cell>
          <cell r="N432" t="str">
            <v>B. Fun.</v>
          </cell>
          <cell r="O432" t="str">
            <v>B. Fun.</v>
          </cell>
          <cell r="Q432">
            <v>5.2</v>
          </cell>
          <cell r="R432">
            <v>5.3902000000000001</v>
          </cell>
          <cell r="S432">
            <v>0</v>
          </cell>
          <cell r="T432">
            <v>-20</v>
          </cell>
          <cell r="U432" t="str">
            <v>Cantón 985,4m</v>
          </cell>
          <cell r="Z432" t="str">
            <v>3705CCA05</v>
          </cell>
          <cell r="AA432" t="str">
            <v>HEA240</v>
          </cell>
          <cell r="AB432" t="str">
            <v>3705CCA06</v>
          </cell>
          <cell r="AC432" t="str">
            <v>HEA240</v>
          </cell>
          <cell r="AD432" t="str">
            <v>3,4</v>
          </cell>
          <cell r="AE432" t="str">
            <v>3,1</v>
          </cell>
          <cell r="AF432" t="str">
            <v>3,4</v>
          </cell>
          <cell r="AG432" t="str">
            <v>5,20</v>
          </cell>
          <cell r="AH432" t="str">
            <v>5,20</v>
          </cell>
          <cell r="AI432" t="str">
            <v>-0,20</v>
          </cell>
          <cell r="AJ432" t="str">
            <v>-0,20</v>
          </cell>
          <cell r="AK432">
            <v>5847</v>
          </cell>
          <cell r="AL432">
            <v>5790</v>
          </cell>
          <cell r="AM432">
            <v>3274</v>
          </cell>
          <cell r="AN432">
            <v>3350</v>
          </cell>
          <cell r="AO432">
            <v>2778</v>
          </cell>
          <cell r="AP432" t="str">
            <v>13,28%</v>
          </cell>
          <cell r="AQ432" t="str">
            <v>13,28%</v>
          </cell>
          <cell r="AR432" t="str">
            <v>5,39</v>
          </cell>
          <cell r="AS432" t="str">
            <v>5,39</v>
          </cell>
          <cell r="AT432" t="str">
            <v>0,00</v>
          </cell>
          <cell r="AU432" t="str">
            <v>0,00</v>
          </cell>
          <cell r="AV432">
            <v>5970</v>
          </cell>
          <cell r="AW432">
            <v>5970</v>
          </cell>
          <cell r="AX432">
            <v>3232</v>
          </cell>
          <cell r="AY432" t="str">
            <v>0,980</v>
          </cell>
          <cell r="AZ432">
            <v>3232</v>
          </cell>
          <cell r="BA432" t="str">
            <v>14,70%</v>
          </cell>
          <cell r="BB432" t="str">
            <v>14,70%</v>
          </cell>
          <cell r="BW432" t="str">
            <v>C.F.17</v>
          </cell>
        </row>
        <row r="433">
          <cell r="C433">
            <v>21.7</v>
          </cell>
          <cell r="F433" t="str">
            <v/>
          </cell>
          <cell r="G433" t="str">
            <v/>
          </cell>
          <cell r="N433" t="str">
            <v/>
          </cell>
        </row>
        <row r="434">
          <cell r="B434" t="str">
            <v>3705CCA07</v>
          </cell>
          <cell r="D434">
            <v>3231.6600000000003</v>
          </cell>
          <cell r="E434">
            <v>31652.98899999999</v>
          </cell>
          <cell r="F434" t="str">
            <v>-41529.88</v>
          </cell>
          <cell r="G434" t="str">
            <v>162942.07</v>
          </cell>
          <cell r="I434" t="str">
            <v>E</v>
          </cell>
          <cell r="J434" t="str">
            <v>3,4</v>
          </cell>
          <cell r="K434" t="str">
            <v>Funicular</v>
          </cell>
          <cell r="L434" t="str">
            <v>HEA 240</v>
          </cell>
          <cell r="M434" t="str">
            <v>M2</v>
          </cell>
          <cell r="N434" t="str">
            <v>B. Fun.</v>
          </cell>
          <cell r="O434" t="str">
            <v>Delta</v>
          </cell>
          <cell r="Q434">
            <v>5.2</v>
          </cell>
          <cell r="R434">
            <v>5.26</v>
          </cell>
          <cell r="S434" t="str">
            <v>+20</v>
          </cell>
          <cell r="T434">
            <v>0</v>
          </cell>
          <cell r="Z434" t="str">
            <v>3705CCA07</v>
          </cell>
          <cell r="AA434" t="str">
            <v>HEA240</v>
          </cell>
          <cell r="AB434" t="str">
            <v>3705CCA08</v>
          </cell>
          <cell r="AC434" t="str">
            <v>HEA240</v>
          </cell>
          <cell r="AD434" t="str">
            <v>3,4</v>
          </cell>
          <cell r="AE434" t="str">
            <v>3,1</v>
          </cell>
          <cell r="AF434" t="str">
            <v>3,4</v>
          </cell>
          <cell r="AG434" t="str">
            <v>5,20</v>
          </cell>
          <cell r="AH434" t="str">
            <v>5,20</v>
          </cell>
          <cell r="AI434" t="str">
            <v>0,00</v>
          </cell>
          <cell r="AJ434" t="str">
            <v>0,00</v>
          </cell>
          <cell r="AK434">
            <v>5875</v>
          </cell>
          <cell r="AL434">
            <v>5887</v>
          </cell>
          <cell r="AM434">
            <v>3029</v>
          </cell>
          <cell r="AN434">
            <v>3350</v>
          </cell>
          <cell r="AO434">
            <v>3047</v>
          </cell>
          <cell r="AP434" t="str">
            <v>14,81%</v>
          </cell>
          <cell r="AQ434" t="str">
            <v>14,81%</v>
          </cell>
          <cell r="AR434" t="str">
            <v>5,26</v>
          </cell>
          <cell r="AS434" t="str">
            <v>5,26</v>
          </cell>
          <cell r="AT434" t="str">
            <v>0,20</v>
          </cell>
          <cell r="AU434" t="str">
            <v>0,20</v>
          </cell>
          <cell r="AV434">
            <v>5718</v>
          </cell>
          <cell r="AW434">
            <v>6036</v>
          </cell>
          <cell r="AX434" t="str">
            <v>1,47</v>
          </cell>
          <cell r="AY434">
            <v>2859</v>
          </cell>
          <cell r="AZ434">
            <v>3374</v>
          </cell>
          <cell r="BA434" t="str">
            <v>17,68%</v>
          </cell>
          <cell r="BB434" t="str">
            <v>20,00%</v>
          </cell>
          <cell r="BW434" t="str">
            <v>C.F.21</v>
          </cell>
        </row>
        <row r="435">
          <cell r="C435">
            <v>20</v>
          </cell>
          <cell r="F435" t="str">
            <v/>
          </cell>
          <cell r="G435" t="str">
            <v/>
          </cell>
          <cell r="N435" t="str">
            <v/>
          </cell>
          <cell r="U435" t="str">
            <v>Seccionamento</v>
          </cell>
        </row>
        <row r="436">
          <cell r="B436" t="str">
            <v>3705CCA09</v>
          </cell>
          <cell r="D436">
            <v>3251.6600000000003</v>
          </cell>
          <cell r="E436">
            <v>31632.98899999999</v>
          </cell>
          <cell r="F436" t="str">
            <v>-41524.05</v>
          </cell>
          <cell r="G436" t="str">
            <v>162922.94</v>
          </cell>
          <cell r="I436" t="str">
            <v>E</v>
          </cell>
          <cell r="J436" t="str">
            <v>3,4</v>
          </cell>
          <cell r="K436" t="str">
            <v>Funicular</v>
          </cell>
          <cell r="L436" t="str">
            <v>HEA 240</v>
          </cell>
          <cell r="M436" t="str">
            <v>M2</v>
          </cell>
          <cell r="N436" t="str">
            <v>Delta</v>
          </cell>
          <cell r="O436" t="str">
            <v>B. Fun.</v>
          </cell>
          <cell r="Q436">
            <v>5.2</v>
          </cell>
          <cell r="R436">
            <v>5.26</v>
          </cell>
          <cell r="S436">
            <v>0</v>
          </cell>
          <cell r="T436">
            <v>-20</v>
          </cell>
          <cell r="Z436" t="str">
            <v>3705CCA09</v>
          </cell>
          <cell r="AA436" t="str">
            <v>HEA240</v>
          </cell>
          <cell r="AB436" t="str">
            <v>3705CCA10</v>
          </cell>
          <cell r="AC436" t="str">
            <v>HEA240</v>
          </cell>
          <cell r="AD436" t="str">
            <v>3,4</v>
          </cell>
          <cell r="AE436" t="str">
            <v>3,1</v>
          </cell>
          <cell r="AF436" t="str">
            <v>3,4</v>
          </cell>
          <cell r="AG436" t="str">
            <v>5,20</v>
          </cell>
          <cell r="AH436" t="str">
            <v>5,20</v>
          </cell>
          <cell r="AI436" t="str">
            <v>0,00</v>
          </cell>
          <cell r="AJ436" t="str">
            <v>0,00</v>
          </cell>
          <cell r="AK436">
            <v>5856</v>
          </cell>
          <cell r="AL436">
            <v>5868</v>
          </cell>
          <cell r="AM436">
            <v>3026</v>
          </cell>
          <cell r="AN436">
            <v>3350</v>
          </cell>
          <cell r="AO436">
            <v>3041</v>
          </cell>
          <cell r="AP436" t="str">
            <v>14,25%</v>
          </cell>
          <cell r="AQ436" t="str">
            <v>14,25%</v>
          </cell>
          <cell r="AR436" t="str">
            <v>5,26</v>
          </cell>
          <cell r="AS436" t="str">
            <v>5,26</v>
          </cell>
          <cell r="AT436" t="str">
            <v>-0,20</v>
          </cell>
          <cell r="AU436" t="str">
            <v>-0,20</v>
          </cell>
          <cell r="AV436">
            <v>6036</v>
          </cell>
          <cell r="AW436">
            <v>5715</v>
          </cell>
          <cell r="AX436">
            <v>3374</v>
          </cell>
          <cell r="AY436">
            <v>2859</v>
          </cell>
          <cell r="AZ436">
            <v>1476</v>
          </cell>
          <cell r="BA436" t="str">
            <v>20,00%</v>
          </cell>
          <cell r="BB436" t="str">
            <v>17,52%</v>
          </cell>
          <cell r="BW436" t="str">
            <v>C.F.20.B</v>
          </cell>
        </row>
        <row r="437">
          <cell r="C437">
            <v>20</v>
          </cell>
          <cell r="F437" t="str">
            <v/>
          </cell>
          <cell r="G437" t="str">
            <v/>
          </cell>
          <cell r="N437" t="str">
            <v/>
          </cell>
        </row>
        <row r="438">
          <cell r="B438" t="str">
            <v>3705CCA11</v>
          </cell>
          <cell r="D438">
            <v>3271.6600000000003</v>
          </cell>
          <cell r="E438">
            <v>31612.98899999999</v>
          </cell>
          <cell r="F438" t="str">
            <v>-41518.22</v>
          </cell>
          <cell r="G438" t="str">
            <v>162903.81</v>
          </cell>
          <cell r="I438" t="str">
            <v>SE</v>
          </cell>
          <cell r="J438" t="str">
            <v>3,4</v>
          </cell>
          <cell r="K438" t="str">
            <v>Funicular</v>
          </cell>
          <cell r="L438" t="str">
            <v>HEA 240</v>
          </cell>
          <cell r="M438" t="str">
            <v>M2</v>
          </cell>
          <cell r="N438" t="str">
            <v>Delta</v>
          </cell>
          <cell r="O438" t="str">
            <v>B. Fun.</v>
          </cell>
          <cell r="Q438">
            <v>5.2</v>
          </cell>
          <cell r="R438">
            <v>5.38</v>
          </cell>
          <cell r="S438" t="str">
            <v>+20</v>
          </cell>
          <cell r="T438">
            <v>0</v>
          </cell>
          <cell r="U438" t="str">
            <v>Cantón 883,5m</v>
          </cell>
          <cell r="Z438" t="str">
            <v>3705CCA11</v>
          </cell>
          <cell r="AA438" t="str">
            <v>HEA240</v>
          </cell>
          <cell r="AB438" t="str">
            <v>3705CCA12</v>
          </cell>
          <cell r="AC438" t="str">
            <v>HEA240</v>
          </cell>
          <cell r="AD438" t="str">
            <v>3,4</v>
          </cell>
          <cell r="AE438" t="str">
            <v>3,1</v>
          </cell>
          <cell r="AF438" t="str">
            <v>3,4</v>
          </cell>
          <cell r="AG438" t="str">
            <v>5,20</v>
          </cell>
          <cell r="AH438" t="str">
            <v>5,20</v>
          </cell>
          <cell r="AI438" t="str">
            <v>0,20</v>
          </cell>
          <cell r="AJ438" t="str">
            <v>0,20</v>
          </cell>
          <cell r="AK438">
            <v>5820</v>
          </cell>
          <cell r="AL438">
            <v>5881</v>
          </cell>
          <cell r="AM438">
            <v>2855</v>
          </cell>
          <cell r="AN438">
            <v>3350</v>
          </cell>
          <cell r="AO438">
            <v>3215</v>
          </cell>
          <cell r="AP438" t="str">
            <v>14,25%</v>
          </cell>
          <cell r="AQ438" t="str">
            <v>14,25%</v>
          </cell>
          <cell r="AR438" t="str">
            <v>5,39</v>
          </cell>
          <cell r="AS438" t="str">
            <v>5,39</v>
          </cell>
          <cell r="AT438" t="str">
            <v>0,00</v>
          </cell>
          <cell r="AU438" t="str">
            <v>0,00</v>
          </cell>
          <cell r="AV438">
            <v>6002</v>
          </cell>
          <cell r="AW438">
            <v>6002</v>
          </cell>
          <cell r="AX438">
            <v>3237</v>
          </cell>
          <cell r="AY438" t="str">
            <v>0,980</v>
          </cell>
          <cell r="AZ438">
            <v>3237</v>
          </cell>
          <cell r="BA438" t="str">
            <v>15,66%</v>
          </cell>
          <cell r="BB438" t="str">
            <v>15,66%</v>
          </cell>
          <cell r="BW438" t="str">
            <v>C.F.18.A</v>
          </cell>
        </row>
        <row r="439">
          <cell r="C439">
            <v>20</v>
          </cell>
          <cell r="F439" t="str">
            <v/>
          </cell>
          <cell r="G439" t="str">
            <v/>
          </cell>
          <cell r="N439" t="str">
            <v/>
          </cell>
        </row>
        <row r="440">
          <cell r="B440" t="str">
            <v>3705CCA13</v>
          </cell>
          <cell r="D440">
            <v>3291.6600000000003</v>
          </cell>
          <cell r="E440">
            <v>31592.98899999999</v>
          </cell>
          <cell r="F440" t="str">
            <v>-41512.38</v>
          </cell>
          <cell r="G440" t="str">
            <v>162884.68</v>
          </cell>
          <cell r="I440" t="str">
            <v>A/S</v>
          </cell>
          <cell r="J440" t="str">
            <v>3,4</v>
          </cell>
          <cell r="K440" t="str">
            <v>Funicular</v>
          </cell>
          <cell r="L440" t="str">
            <v>HEM 320</v>
          </cell>
          <cell r="M440" t="str">
            <v>M7</v>
          </cell>
          <cell r="N440" t="str">
            <v>Delta</v>
          </cell>
          <cell r="Q440">
            <v>5.2</v>
          </cell>
          <cell r="R440">
            <v>5.5</v>
          </cell>
          <cell r="S440">
            <v>-20</v>
          </cell>
          <cell r="V440" t="str">
            <v>Ancoraem 2HC</v>
          </cell>
          <cell r="Z440" t="str">
            <v>3705CCA13</v>
          </cell>
          <cell r="AA440" t="str">
            <v>HEM 320</v>
          </cell>
          <cell r="AB440" t="str">
            <v>3705CCA14</v>
          </cell>
          <cell r="AC440" t="str">
            <v>HEM 320</v>
          </cell>
          <cell r="AD440" t="str">
            <v>3,4</v>
          </cell>
          <cell r="AE440" t="str">
            <v>3,1</v>
          </cell>
          <cell r="AF440" t="str">
            <v>3,4</v>
          </cell>
          <cell r="AG440" t="str">
            <v>5,20</v>
          </cell>
          <cell r="AH440" t="str">
            <v>5,20</v>
          </cell>
          <cell r="AI440" t="str">
            <v>-0,20</v>
          </cell>
          <cell r="AJ440" t="str">
            <v>-0,20</v>
          </cell>
          <cell r="AK440">
            <v>5874</v>
          </cell>
          <cell r="AL440">
            <v>5812</v>
          </cell>
          <cell r="AM440">
            <v>3258</v>
          </cell>
          <cell r="AN440">
            <v>3350</v>
          </cell>
          <cell r="AO440">
            <v>2830</v>
          </cell>
          <cell r="AP440" t="str">
            <v>14,25%</v>
          </cell>
          <cell r="AQ440" t="str">
            <v>14,25%</v>
          </cell>
          <cell r="AV440" t="str">
            <v>5,50</v>
          </cell>
          <cell r="AW440" t="str">
            <v>5,50</v>
          </cell>
          <cell r="BW440" t="str">
            <v>C.F.7.A</v>
          </cell>
        </row>
        <row r="441">
          <cell r="C441">
            <v>20</v>
          </cell>
          <cell r="F441" t="str">
            <v/>
          </cell>
          <cell r="G441" t="str">
            <v/>
          </cell>
          <cell r="N441" t="str">
            <v/>
          </cell>
          <cell r="X441" t="str">
            <v>1PEAD D110mm ou 2PEAD D63mm</v>
          </cell>
        </row>
        <row r="442">
          <cell r="B442" t="str">
            <v>3705CCA15</v>
          </cell>
          <cell r="D442">
            <v>3311.6600000000003</v>
          </cell>
          <cell r="E442">
            <v>31572.98899999999</v>
          </cell>
          <cell r="F442" t="str">
            <v>-41506.55</v>
          </cell>
          <cell r="G442" t="str">
            <v>162865.55</v>
          </cell>
          <cell r="I442" t="str">
            <v>S</v>
          </cell>
          <cell r="J442" t="str">
            <v>3,4</v>
          </cell>
          <cell r="K442" t="str">
            <v>Funicular</v>
          </cell>
          <cell r="L442" t="str">
            <v>HEA 220</v>
          </cell>
          <cell r="M442" t="str">
            <v>M1</v>
          </cell>
          <cell r="N442" t="str">
            <v>Delta</v>
          </cell>
          <cell r="Q442">
            <v>5.0678000000000001</v>
          </cell>
          <cell r="S442" t="str">
            <v>+20</v>
          </cell>
          <cell r="X442" t="str">
            <v>FR</v>
          </cell>
          <cell r="Z442" t="str">
            <v>3705CCA15</v>
          </cell>
          <cell r="AA442" t="str">
            <v>HEA220</v>
          </cell>
          <cell r="AB442" t="str">
            <v>3705CCA16</v>
          </cell>
          <cell r="AC442" t="str">
            <v>HEA220</v>
          </cell>
          <cell r="AD442" t="str">
            <v>3,4</v>
          </cell>
          <cell r="AE442" t="str">
            <v>3,1</v>
          </cell>
          <cell r="AF442" t="str">
            <v>3,4</v>
          </cell>
          <cell r="AG442" t="str">
            <v>5,07</v>
          </cell>
          <cell r="AH442" t="str">
            <v>5,07</v>
          </cell>
          <cell r="AI442" t="str">
            <v>0,20</v>
          </cell>
          <cell r="AJ442" t="str">
            <v>0,20</v>
          </cell>
          <cell r="AK442">
            <v>5690</v>
          </cell>
          <cell r="AL442">
            <v>5751</v>
          </cell>
          <cell r="AM442">
            <v>2865</v>
          </cell>
          <cell r="AN442">
            <v>3350</v>
          </cell>
          <cell r="AO442">
            <v>3225</v>
          </cell>
          <cell r="AP442" t="str">
            <v>14,25%</v>
          </cell>
          <cell r="AQ442" t="str">
            <v>14,25%</v>
          </cell>
          <cell r="AV442">
            <v>5990</v>
          </cell>
          <cell r="AW442">
            <v>6051</v>
          </cell>
          <cell r="BW442" t="str">
            <v>C.F.24</v>
          </cell>
        </row>
        <row r="443">
          <cell r="C443">
            <v>20</v>
          </cell>
          <cell r="F443" t="str">
            <v/>
          </cell>
          <cell r="G443" t="str">
            <v/>
          </cell>
          <cell r="N443" t="str">
            <v/>
          </cell>
          <cell r="X443" t="str">
            <v>1PEAD D110mm ou 2PEAD D63mm</v>
          </cell>
        </row>
        <row r="444">
          <cell r="B444" t="str">
            <v>3705CCA17</v>
          </cell>
          <cell r="D444">
            <v>3331.6600000000003</v>
          </cell>
          <cell r="E444">
            <v>31552.98899999999</v>
          </cell>
          <cell r="F444" t="str">
            <v>-41500.72</v>
          </cell>
          <cell r="G444" t="str">
            <v>162846.42</v>
          </cell>
          <cell r="I444" t="str">
            <v>S</v>
          </cell>
          <cell r="J444" t="str">
            <v>3,4</v>
          </cell>
          <cell r="K444" t="str">
            <v>Funicular</v>
          </cell>
          <cell r="L444" t="str">
            <v>HEA 220</v>
          </cell>
          <cell r="M444" t="str">
            <v>M1</v>
          </cell>
          <cell r="N444" t="str">
            <v>Delta</v>
          </cell>
          <cell r="Q444">
            <v>4.9478</v>
          </cell>
          <cell r="S444">
            <v>-20</v>
          </cell>
          <cell r="Z444" t="str">
            <v>3705CCA17</v>
          </cell>
          <cell r="AA444" t="str">
            <v>HEA220</v>
          </cell>
          <cell r="AB444" t="str">
            <v>3705CCA18</v>
          </cell>
          <cell r="AC444" t="str">
            <v>HEA220</v>
          </cell>
          <cell r="AD444" t="str">
            <v>3,4</v>
          </cell>
          <cell r="AE444" t="str">
            <v>3,1</v>
          </cell>
          <cell r="AF444" t="str">
            <v>3,4</v>
          </cell>
          <cell r="AG444" t="str">
            <v>4,95</v>
          </cell>
          <cell r="AH444" t="str">
            <v>4,95</v>
          </cell>
          <cell r="AI444" t="str">
            <v>-0,20</v>
          </cell>
          <cell r="AJ444" t="str">
            <v>-0,20</v>
          </cell>
          <cell r="AK444">
            <v>5631</v>
          </cell>
          <cell r="AL444">
            <v>5570</v>
          </cell>
          <cell r="AM444">
            <v>3324</v>
          </cell>
          <cell r="AN444">
            <v>3350</v>
          </cell>
          <cell r="AO444">
            <v>2895</v>
          </cell>
          <cell r="AP444" t="str">
            <v>14,25%</v>
          </cell>
          <cell r="AQ444" t="str">
            <v>14,25%</v>
          </cell>
          <cell r="BW444" t="str">
            <v>C.F.2</v>
          </cell>
        </row>
        <row r="445">
          <cell r="C445">
            <v>20</v>
          </cell>
          <cell r="F445" t="str">
            <v/>
          </cell>
          <cell r="G445" t="str">
            <v/>
          </cell>
          <cell r="N445" t="str">
            <v/>
          </cell>
        </row>
        <row r="446">
          <cell r="B446" t="str">
            <v>3705CCA19</v>
          </cell>
          <cell r="D446">
            <v>3351.6600000000003</v>
          </cell>
          <cell r="E446">
            <v>31532.98899999999</v>
          </cell>
          <cell r="F446" t="str">
            <v>-41494.88</v>
          </cell>
          <cell r="G446" t="str">
            <v>162827.29</v>
          </cell>
          <cell r="I446" t="str">
            <v>S</v>
          </cell>
          <cell r="J446" t="str">
            <v>3,4</v>
          </cell>
          <cell r="K446" t="str">
            <v>Funicular</v>
          </cell>
          <cell r="L446" t="str">
            <v>HEA 220</v>
          </cell>
          <cell r="M446" t="str">
            <v>M1</v>
          </cell>
          <cell r="N446" t="str">
            <v>Delta</v>
          </cell>
          <cell r="Q446">
            <v>4.8277999999999999</v>
          </cell>
          <cell r="S446" t="str">
            <v>+20</v>
          </cell>
          <cell r="Z446" t="str">
            <v>3705CCA19</v>
          </cell>
          <cell r="AA446" t="str">
            <v>HEA220</v>
          </cell>
          <cell r="AB446" t="str">
            <v>3705CCA20</v>
          </cell>
          <cell r="AC446" t="str">
            <v>HEA220</v>
          </cell>
          <cell r="AD446" t="str">
            <v>3,4</v>
          </cell>
          <cell r="AE446" t="str">
            <v>3,1</v>
          </cell>
          <cell r="AF446" t="str">
            <v>3,4</v>
          </cell>
          <cell r="AG446" t="str">
            <v>4,83</v>
          </cell>
          <cell r="AH446" t="str">
            <v>4,83</v>
          </cell>
          <cell r="AI446" t="str">
            <v>0,20</v>
          </cell>
          <cell r="AJ446" t="str">
            <v>0,20</v>
          </cell>
          <cell r="AK446">
            <v>5484</v>
          </cell>
          <cell r="AL446">
            <v>5550</v>
          </cell>
          <cell r="AM446">
            <v>2905</v>
          </cell>
          <cell r="AN446">
            <v>3350</v>
          </cell>
          <cell r="AO446">
            <v>3336</v>
          </cell>
          <cell r="AP446" t="str">
            <v>15,35%</v>
          </cell>
          <cell r="AQ446" t="str">
            <v>15,35%</v>
          </cell>
          <cell r="BW446" t="str">
            <v>C.F.1</v>
          </cell>
        </row>
        <row r="447">
          <cell r="C447">
            <v>23.3</v>
          </cell>
          <cell r="F447" t="str">
            <v/>
          </cell>
          <cell r="G447" t="str">
            <v/>
          </cell>
          <cell r="N447" t="str">
            <v/>
          </cell>
        </row>
        <row r="448">
          <cell r="B448" t="str">
            <v>3705CCA21</v>
          </cell>
          <cell r="D448">
            <v>3374.9600000000005</v>
          </cell>
          <cell r="E448">
            <v>31509.688999999991</v>
          </cell>
          <cell r="F448" t="str">
            <v>-41488.04</v>
          </cell>
          <cell r="G448" t="str">
            <v>162804.97</v>
          </cell>
          <cell r="I448" t="str">
            <v>S</v>
          </cell>
          <cell r="J448" t="str">
            <v>3,4</v>
          </cell>
          <cell r="K448" t="str">
            <v>Funicular</v>
          </cell>
          <cell r="L448" t="str">
            <v>HEA 220</v>
          </cell>
          <cell r="M448" t="str">
            <v>M1</v>
          </cell>
          <cell r="N448" t="str">
            <v>Delta</v>
          </cell>
          <cell r="Q448">
            <v>4.6879999999999997</v>
          </cell>
          <cell r="S448">
            <v>-20</v>
          </cell>
          <cell r="Z448" t="str">
            <v>3705CCA21</v>
          </cell>
          <cell r="AA448" t="str">
            <v>HEA220</v>
          </cell>
          <cell r="AB448" t="str">
            <v>3705CCA22</v>
          </cell>
          <cell r="AC448" t="str">
            <v>HEA220</v>
          </cell>
          <cell r="AD448" t="str">
            <v>3,4</v>
          </cell>
          <cell r="AE448" t="str">
            <v>3,1</v>
          </cell>
          <cell r="AF448" t="str">
            <v>3,4</v>
          </cell>
          <cell r="AG448" t="str">
            <v>4,69</v>
          </cell>
          <cell r="AH448" t="str">
            <v>4,69</v>
          </cell>
          <cell r="AI448" t="str">
            <v>-0,20</v>
          </cell>
          <cell r="AJ448" t="str">
            <v>-0,20</v>
          </cell>
          <cell r="AK448">
            <v>5434</v>
          </cell>
          <cell r="AL448">
            <v>5365</v>
          </cell>
          <cell r="AM448">
            <v>3343</v>
          </cell>
          <cell r="AN448">
            <v>3350</v>
          </cell>
          <cell r="AO448">
            <v>2912</v>
          </cell>
          <cell r="AP448" t="str">
            <v>16,01%</v>
          </cell>
          <cell r="AQ448" t="str">
            <v>16,01%</v>
          </cell>
          <cell r="BW448" t="str">
            <v>C.F.2</v>
          </cell>
        </row>
        <row r="449">
          <cell r="C449">
            <v>22</v>
          </cell>
          <cell r="F449" t="str">
            <v/>
          </cell>
          <cell r="G449" t="str">
            <v/>
          </cell>
          <cell r="N449" t="str">
            <v/>
          </cell>
        </row>
        <row r="450">
          <cell r="B450" t="str">
            <v>3705CCA23</v>
          </cell>
          <cell r="D450">
            <v>3396.9600000000005</v>
          </cell>
          <cell r="E450">
            <v>31487.688999999991</v>
          </cell>
          <cell r="F450" t="str">
            <v>-41481.66</v>
          </cell>
          <cell r="G450" t="str">
            <v>162783.92</v>
          </cell>
          <cell r="I450" t="str">
            <v>S</v>
          </cell>
          <cell r="J450" t="str">
            <v>3,3</v>
          </cell>
          <cell r="K450" t="str">
            <v>Funicular</v>
          </cell>
          <cell r="L450" t="str">
            <v>HEA 220</v>
          </cell>
          <cell r="M450" t="str">
            <v>M1</v>
          </cell>
          <cell r="N450" t="str">
            <v>Delta</v>
          </cell>
          <cell r="Q450">
            <v>4.556</v>
          </cell>
          <cell r="S450" t="str">
            <v>+20</v>
          </cell>
          <cell r="Z450" t="str">
            <v>3705CCA23</v>
          </cell>
          <cell r="AA450" t="str">
            <v>HEA220</v>
          </cell>
          <cell r="AB450" t="str">
            <v>3705CCA24</v>
          </cell>
          <cell r="AC450" t="str">
            <v>HEA220</v>
          </cell>
          <cell r="AD450" t="str">
            <v>3,3</v>
          </cell>
          <cell r="AE450" t="str">
            <v>3,1</v>
          </cell>
          <cell r="AF450" t="str">
            <v>3,3</v>
          </cell>
          <cell r="AG450" t="str">
            <v>4,56</v>
          </cell>
          <cell r="AH450" t="str">
            <v>4,56</v>
          </cell>
          <cell r="AI450" t="str">
            <v>0,20</v>
          </cell>
          <cell r="AJ450" t="str">
            <v>0,20</v>
          </cell>
          <cell r="AK450">
            <v>5143</v>
          </cell>
          <cell r="AL450">
            <v>5201</v>
          </cell>
          <cell r="AM450">
            <v>2787</v>
          </cell>
          <cell r="AN450">
            <v>3350</v>
          </cell>
          <cell r="AO450">
            <v>3215</v>
          </cell>
          <cell r="AP450" t="str">
            <v>13,58%</v>
          </cell>
          <cell r="AQ450" t="str">
            <v>13,58%</v>
          </cell>
          <cell r="BW450" t="str">
            <v>C.F.1</v>
          </cell>
        </row>
        <row r="451">
          <cell r="C451">
            <v>16</v>
          </cell>
          <cell r="F451" t="str">
            <v/>
          </cell>
          <cell r="G451" t="str">
            <v/>
          </cell>
          <cell r="N451" t="str">
            <v/>
          </cell>
        </row>
        <row r="452">
          <cell r="B452" t="str">
            <v>3705CCA25</v>
          </cell>
          <cell r="D452">
            <v>3412.9600000000005</v>
          </cell>
          <cell r="E452">
            <v>31471.688999999991</v>
          </cell>
          <cell r="F452" t="str">
            <v>-41477.04</v>
          </cell>
          <cell r="G452" t="str">
            <v>162768.60</v>
          </cell>
          <cell r="I452" t="str">
            <v>S</v>
          </cell>
          <cell r="J452" t="str">
            <v>3,3</v>
          </cell>
          <cell r="K452" t="str">
            <v>Funicular</v>
          </cell>
          <cell r="L452" t="str">
            <v>HEA 220</v>
          </cell>
          <cell r="M452" t="str">
            <v>M1</v>
          </cell>
          <cell r="N452" t="str">
            <v>Delta</v>
          </cell>
          <cell r="Q452">
            <v>4.46</v>
          </cell>
          <cell r="S452">
            <v>-20</v>
          </cell>
          <cell r="Z452" t="str">
            <v>3705CCA25</v>
          </cell>
          <cell r="AA452" t="str">
            <v>HEA220</v>
          </cell>
          <cell r="AB452" t="str">
            <v>3705CCA26</v>
          </cell>
          <cell r="AC452" t="str">
            <v>HEA220</v>
          </cell>
          <cell r="AD452" t="str">
            <v>3,3</v>
          </cell>
          <cell r="AE452" t="str">
            <v>3,1</v>
          </cell>
          <cell r="AF452" t="str">
            <v>3,3</v>
          </cell>
          <cell r="AG452" t="str">
            <v>4,46</v>
          </cell>
          <cell r="AH452" t="str">
            <v>4,46</v>
          </cell>
          <cell r="AI452" t="str">
            <v>-0,20</v>
          </cell>
          <cell r="AJ452" t="str">
            <v>-0,20</v>
          </cell>
          <cell r="AK452">
            <v>5082</v>
          </cell>
          <cell r="AL452">
            <v>5027</v>
          </cell>
          <cell r="AM452">
            <v>3209</v>
          </cell>
          <cell r="AN452">
            <v>3350</v>
          </cell>
          <cell r="AO452">
            <v>2782</v>
          </cell>
          <cell r="AP452" t="str">
            <v>12,92%</v>
          </cell>
          <cell r="AQ452" t="str">
            <v>12,92%</v>
          </cell>
          <cell r="BW452" t="str">
            <v>C.F.2</v>
          </cell>
        </row>
        <row r="453">
          <cell r="C453">
            <v>20</v>
          </cell>
          <cell r="F453" t="str">
            <v/>
          </cell>
          <cell r="G453" t="str">
            <v/>
          </cell>
          <cell r="N453" t="str">
            <v/>
          </cell>
        </row>
        <row r="454">
          <cell r="B454" t="str">
            <v>3705CCA27</v>
          </cell>
          <cell r="D454">
            <v>3432.9600000000005</v>
          </cell>
          <cell r="E454">
            <v>31451.688999999991</v>
          </cell>
          <cell r="F454" t="str">
            <v>-41471.18</v>
          </cell>
          <cell r="G454" t="str">
            <v>162749.47</v>
          </cell>
          <cell r="I454" t="str">
            <v>S</v>
          </cell>
          <cell r="J454" t="str">
            <v>3,4</v>
          </cell>
          <cell r="K454" t="str">
            <v>Funicular</v>
          </cell>
          <cell r="L454" t="str">
            <v>HEA 220</v>
          </cell>
          <cell r="M454" t="str">
            <v>M1</v>
          </cell>
          <cell r="N454" t="str">
            <v>Delta</v>
          </cell>
          <cell r="Q454">
            <v>4.34</v>
          </cell>
          <cell r="S454" t="str">
            <v>+20</v>
          </cell>
          <cell r="Z454" t="str">
            <v>3705CCA27</v>
          </cell>
          <cell r="AA454" t="str">
            <v>HEA220</v>
          </cell>
          <cell r="AB454" t="str">
            <v>3705CCA28</v>
          </cell>
          <cell r="AC454" t="str">
            <v>HEA220</v>
          </cell>
          <cell r="AD454" t="str">
            <v>3,4</v>
          </cell>
          <cell r="AE454" t="str">
            <v>3,1</v>
          </cell>
          <cell r="AF454" t="str">
            <v>3,4</v>
          </cell>
          <cell r="AG454" t="str">
            <v>4,34</v>
          </cell>
          <cell r="AH454" t="str">
            <v>4,34</v>
          </cell>
          <cell r="AI454" t="str">
            <v>0,20</v>
          </cell>
          <cell r="AJ454" t="str">
            <v>0,20</v>
          </cell>
          <cell r="AK454">
            <v>4962</v>
          </cell>
          <cell r="AL454">
            <v>5023</v>
          </cell>
          <cell r="AM454">
            <v>2895</v>
          </cell>
          <cell r="AN454">
            <v>3350</v>
          </cell>
          <cell r="AO454">
            <v>3324</v>
          </cell>
          <cell r="AP454" t="str">
            <v>14,25%</v>
          </cell>
          <cell r="AQ454" t="str">
            <v>14,25%</v>
          </cell>
          <cell r="BW454" t="str">
            <v>C.F.1</v>
          </cell>
        </row>
        <row r="455">
          <cell r="C455">
            <v>20</v>
          </cell>
          <cell r="F455" t="str">
            <v/>
          </cell>
          <cell r="G455" t="str">
            <v/>
          </cell>
          <cell r="N455" t="str">
            <v/>
          </cell>
          <cell r="X455" t="str">
            <v>1PEAD D110mm ou 2PEAD D63mm+ 1PEAD 32mm</v>
          </cell>
        </row>
        <row r="456">
          <cell r="B456" t="str">
            <v>3705CCA29</v>
          </cell>
          <cell r="D456">
            <v>3452.9600000000005</v>
          </cell>
          <cell r="E456">
            <v>31431.688999999991</v>
          </cell>
          <cell r="F456" t="str">
            <v>-41465.34</v>
          </cell>
          <cell r="G456" t="str">
            <v>162730.35</v>
          </cell>
          <cell r="I456" t="str">
            <v>S</v>
          </cell>
          <cell r="J456" t="str">
            <v>3,4</v>
          </cell>
          <cell r="K456" t="str">
            <v>Funicular</v>
          </cell>
          <cell r="L456" t="str">
            <v>HEA 220</v>
          </cell>
          <cell r="M456" t="str">
            <v>M1</v>
          </cell>
          <cell r="N456" t="str">
            <v>Delta</v>
          </cell>
          <cell r="Q456">
            <v>4.22</v>
          </cell>
          <cell r="S456">
            <v>-20</v>
          </cell>
          <cell r="X456" t="str">
            <v>FR</v>
          </cell>
          <cell r="Z456" t="str">
            <v>3705CCA29</v>
          </cell>
          <cell r="AA456" t="str">
            <v>HEA220</v>
          </cell>
          <cell r="AB456" t="str">
            <v>3705CCA30</v>
          </cell>
          <cell r="AC456" t="str">
            <v>HEA220</v>
          </cell>
          <cell r="AD456" t="str">
            <v>3,4</v>
          </cell>
          <cell r="AE456" t="str">
            <v>3,1</v>
          </cell>
          <cell r="AF456" t="str">
            <v>3,4</v>
          </cell>
          <cell r="AG456" t="str">
            <v>4,22</v>
          </cell>
          <cell r="AH456" t="str">
            <v>4,22</v>
          </cell>
          <cell r="AI456" t="str">
            <v>0,20</v>
          </cell>
          <cell r="AJ456" t="str">
            <v>-0,20</v>
          </cell>
          <cell r="AK456">
            <v>4903</v>
          </cell>
          <cell r="AL456">
            <v>4842</v>
          </cell>
          <cell r="AM456">
            <v>3289</v>
          </cell>
          <cell r="AN456">
            <v>3350</v>
          </cell>
          <cell r="AO456">
            <v>2796</v>
          </cell>
          <cell r="AP456" t="str">
            <v>14,25%</v>
          </cell>
          <cell r="AQ456" t="str">
            <v>14,25%</v>
          </cell>
          <cell r="AV456">
            <v>5203</v>
          </cell>
          <cell r="AW456">
            <v>5442</v>
          </cell>
          <cell r="BW456" t="str">
            <v>C.F.26</v>
          </cell>
        </row>
        <row r="457">
          <cell r="C457">
            <v>20</v>
          </cell>
          <cell r="F457" t="str">
            <v/>
          </cell>
          <cell r="G457" t="str">
            <v/>
          </cell>
          <cell r="N457" t="str">
            <v/>
          </cell>
          <cell r="X457" t="str">
            <v>1PEAD D110mm ou 2PEAD D63mm</v>
          </cell>
        </row>
        <row r="458">
          <cell r="B458" t="str">
            <v>3705CCA31</v>
          </cell>
          <cell r="D458">
            <v>3472.9600000000005</v>
          </cell>
          <cell r="E458">
            <v>31411.688999999991</v>
          </cell>
          <cell r="F458" t="str">
            <v>-41459.51</v>
          </cell>
          <cell r="G458" t="str">
            <v>162711.22</v>
          </cell>
          <cell r="I458" t="str">
            <v>S</v>
          </cell>
          <cell r="J458" t="str">
            <v>3,4</v>
          </cell>
          <cell r="K458" t="str">
            <v>Funicular</v>
          </cell>
          <cell r="L458" t="str">
            <v>HEA 220</v>
          </cell>
          <cell r="M458" t="str">
            <v>M1</v>
          </cell>
          <cell r="N458" t="str">
            <v>Delta</v>
          </cell>
          <cell r="Q458">
            <v>4.0999999999999996</v>
          </cell>
          <cell r="S458" t="str">
            <v>+20</v>
          </cell>
          <cell r="Z458" t="str">
            <v>3705CCA31</v>
          </cell>
          <cell r="AA458" t="str">
            <v>HEA220</v>
          </cell>
          <cell r="AB458" t="str">
            <v>3705CCA32</v>
          </cell>
          <cell r="AC458" t="str">
            <v>HEA220</v>
          </cell>
          <cell r="AD458" t="str">
            <v>3,4</v>
          </cell>
          <cell r="AE458" t="str">
            <v>3,1</v>
          </cell>
          <cell r="AF458" t="str">
            <v>3,4</v>
          </cell>
          <cell r="AG458" t="str">
            <v>4,10</v>
          </cell>
          <cell r="AH458" t="str">
            <v>4,10</v>
          </cell>
          <cell r="AI458" t="str">
            <v>0,20</v>
          </cell>
          <cell r="AJ458" t="str">
            <v>0,20</v>
          </cell>
          <cell r="AK458">
            <v>4722</v>
          </cell>
          <cell r="AL458">
            <v>4783</v>
          </cell>
          <cell r="AM458">
            <v>2895</v>
          </cell>
          <cell r="AN458">
            <v>3350</v>
          </cell>
          <cell r="AO458">
            <v>3324</v>
          </cell>
          <cell r="AP458" t="str">
            <v>14,25%</v>
          </cell>
          <cell r="AQ458" t="str">
            <v>14,25%</v>
          </cell>
          <cell r="BW458" t="str">
            <v>C.F.1</v>
          </cell>
        </row>
        <row r="459">
          <cell r="C459">
            <v>20</v>
          </cell>
          <cell r="F459" t="str">
            <v/>
          </cell>
          <cell r="G459" t="str">
            <v/>
          </cell>
          <cell r="N459" t="str">
            <v/>
          </cell>
        </row>
        <row r="460">
          <cell r="B460" t="str">
            <v>3705CCA33</v>
          </cell>
          <cell r="D460">
            <v>3492.9600000000005</v>
          </cell>
          <cell r="E460">
            <v>31391.688999999991</v>
          </cell>
          <cell r="F460" t="str">
            <v>-41453.67</v>
          </cell>
          <cell r="G460" t="str">
            <v>162692.09</v>
          </cell>
          <cell r="I460" t="str">
            <v>S</v>
          </cell>
          <cell r="J460" t="str">
            <v>3,4</v>
          </cell>
          <cell r="K460" t="str">
            <v>Funicular</v>
          </cell>
          <cell r="L460" t="str">
            <v>HEA 220</v>
          </cell>
          <cell r="M460" t="str">
            <v>M1</v>
          </cell>
          <cell r="N460" t="str">
            <v>Delta</v>
          </cell>
          <cell r="Q460">
            <v>3.98</v>
          </cell>
          <cell r="S460">
            <v>-20</v>
          </cell>
          <cell r="Z460" t="str">
            <v>3705CCA33</v>
          </cell>
          <cell r="AA460" t="str">
            <v>HEA220</v>
          </cell>
          <cell r="AB460" t="str">
            <v>3705CCA34</v>
          </cell>
          <cell r="AC460" t="str">
            <v>HEA220</v>
          </cell>
          <cell r="AD460" t="str">
            <v>3,4</v>
          </cell>
          <cell r="AE460" t="str">
            <v>3,1</v>
          </cell>
          <cell r="AF460" t="str">
            <v>3,4</v>
          </cell>
          <cell r="AG460" t="str">
            <v>3,98</v>
          </cell>
          <cell r="AH460" t="str">
            <v>3,98</v>
          </cell>
          <cell r="AI460" t="str">
            <v>-0,20</v>
          </cell>
          <cell r="AJ460" t="str">
            <v>-0,20</v>
          </cell>
          <cell r="AK460">
            <v>4663</v>
          </cell>
          <cell r="AL460">
            <v>4602</v>
          </cell>
          <cell r="AM460">
            <v>3324</v>
          </cell>
          <cell r="AN460">
            <v>3350</v>
          </cell>
          <cell r="AO460">
            <v>2895</v>
          </cell>
          <cell r="AP460" t="str">
            <v>14,25%</v>
          </cell>
          <cell r="AQ460" t="str">
            <v>14,25%</v>
          </cell>
          <cell r="BW460" t="str">
            <v>C.F.2</v>
          </cell>
        </row>
        <row r="461">
          <cell r="C461">
            <v>20</v>
          </cell>
          <cell r="F461" t="str">
            <v/>
          </cell>
          <cell r="G461" t="str">
            <v/>
          </cell>
          <cell r="N461" t="str">
            <v/>
          </cell>
        </row>
        <row r="462">
          <cell r="B462" t="str">
            <v>3705CCA35</v>
          </cell>
          <cell r="D462">
            <v>3512.9600000000005</v>
          </cell>
          <cell r="E462">
            <v>31371.688999999991</v>
          </cell>
          <cell r="F462" t="str">
            <v>-41447.84</v>
          </cell>
          <cell r="G462" t="str">
            <v>162672.96</v>
          </cell>
          <cell r="I462" t="str">
            <v>S</v>
          </cell>
          <cell r="J462" t="str">
            <v>3,4</v>
          </cell>
          <cell r="K462" t="str">
            <v>Funicular</v>
          </cell>
          <cell r="L462" t="str">
            <v>HEA 220</v>
          </cell>
          <cell r="M462" t="str">
            <v>M1</v>
          </cell>
          <cell r="N462" t="str">
            <v>Delta</v>
          </cell>
          <cell r="Q462">
            <v>3.86</v>
          </cell>
          <cell r="S462" t="str">
            <v>+20</v>
          </cell>
          <cell r="Z462" t="str">
            <v>3705CCA35</v>
          </cell>
          <cell r="AA462" t="str">
            <v>HEA220</v>
          </cell>
          <cell r="AB462" t="str">
            <v>3705CCA36</v>
          </cell>
          <cell r="AC462" t="str">
            <v>HEA220</v>
          </cell>
          <cell r="AD462" t="str">
            <v>3,4</v>
          </cell>
          <cell r="AE462" t="str">
            <v>3,1</v>
          </cell>
          <cell r="AF462" t="str">
            <v>3,4</v>
          </cell>
          <cell r="AG462" t="str">
            <v>3,86</v>
          </cell>
          <cell r="AH462" t="str">
            <v>3,86</v>
          </cell>
          <cell r="AI462" t="str">
            <v>0,20</v>
          </cell>
          <cell r="AJ462" t="str">
            <v>0,20</v>
          </cell>
          <cell r="AK462">
            <v>4482</v>
          </cell>
          <cell r="AL462">
            <v>4543</v>
          </cell>
          <cell r="AM462">
            <v>2895</v>
          </cell>
          <cell r="AN462">
            <v>3350</v>
          </cell>
          <cell r="AO462">
            <v>3324</v>
          </cell>
          <cell r="AP462" t="str">
            <v>14,25%</v>
          </cell>
          <cell r="AQ462" t="str">
            <v>14,25%</v>
          </cell>
          <cell r="BW462" t="str">
            <v>C.F.1</v>
          </cell>
        </row>
        <row r="463">
          <cell r="C463">
            <v>20</v>
          </cell>
          <cell r="F463" t="str">
            <v/>
          </cell>
          <cell r="G463" t="str">
            <v/>
          </cell>
          <cell r="N463" t="str">
            <v/>
          </cell>
        </row>
        <row r="464">
          <cell r="B464" t="str">
            <v>3705CCA37</v>
          </cell>
          <cell r="D464">
            <v>3532.9600000000005</v>
          </cell>
          <cell r="E464">
            <v>31351.688999999991</v>
          </cell>
          <cell r="F464" t="str">
            <v>-41442.01</v>
          </cell>
          <cell r="G464" t="str">
            <v>162653.83</v>
          </cell>
          <cell r="I464" t="str">
            <v>S</v>
          </cell>
          <cell r="J464" t="str">
            <v>3,4</v>
          </cell>
          <cell r="K464" t="str">
            <v>Funicular</v>
          </cell>
          <cell r="L464" t="str">
            <v>HEA 240</v>
          </cell>
          <cell r="M464" t="str">
            <v>M2</v>
          </cell>
          <cell r="N464" t="str">
            <v>Delta</v>
          </cell>
          <cell r="Q464">
            <v>3.8</v>
          </cell>
          <cell r="S464">
            <v>-20</v>
          </cell>
          <cell r="Z464" t="str">
            <v>3705CCA37</v>
          </cell>
          <cell r="AA464" t="str">
            <v>HEA240</v>
          </cell>
          <cell r="AB464" t="str">
            <v>3705CCA38</v>
          </cell>
          <cell r="AC464" t="str">
            <v>HEM 320</v>
          </cell>
          <cell r="AD464" t="str">
            <v>3,4</v>
          </cell>
          <cell r="AE464" t="str">
            <v>3,1</v>
          </cell>
          <cell r="AF464" t="str">
            <v>3,4</v>
          </cell>
          <cell r="AG464" t="str">
            <v>3,80</v>
          </cell>
          <cell r="AH464" t="str">
            <v>3,80</v>
          </cell>
          <cell r="AI464" t="str">
            <v>-0,20</v>
          </cell>
          <cell r="AJ464" t="str">
            <v>-0,20</v>
          </cell>
          <cell r="AK464">
            <v>4481</v>
          </cell>
          <cell r="AL464">
            <v>4412</v>
          </cell>
          <cell r="AM464">
            <v>3314</v>
          </cell>
          <cell r="AN464">
            <v>3350</v>
          </cell>
          <cell r="AO464">
            <v>2830</v>
          </cell>
          <cell r="AP464" t="str">
            <v>14,25%</v>
          </cell>
          <cell r="AQ464" t="str">
            <v>14,25%</v>
          </cell>
          <cell r="AV464" t="str">
            <v>-</v>
          </cell>
          <cell r="AW464" t="str">
            <v>4,08</v>
          </cell>
          <cell r="BW464" t="str">
            <v>C.F.7.A</v>
          </cell>
        </row>
        <row r="465">
          <cell r="C465">
            <v>20</v>
          </cell>
          <cell r="F465" t="str">
            <v/>
          </cell>
          <cell r="G465" t="str">
            <v/>
          </cell>
          <cell r="N465" t="str">
            <v/>
          </cell>
        </row>
        <row r="466">
          <cell r="B466" t="str">
            <v>3705CCA39</v>
          </cell>
          <cell r="D466">
            <v>3552.9600000000005</v>
          </cell>
          <cell r="E466">
            <v>31331.688999999991</v>
          </cell>
          <cell r="F466" t="str">
            <v>-41436.17</v>
          </cell>
          <cell r="G466" t="str">
            <v>162634.70</v>
          </cell>
          <cell r="I466" t="str">
            <v>S</v>
          </cell>
          <cell r="J466" t="str">
            <v>3,4</v>
          </cell>
          <cell r="K466" t="str">
            <v>Funicular</v>
          </cell>
          <cell r="L466" t="str">
            <v>HEA 240</v>
          </cell>
          <cell r="M466" t="str">
            <v>M2</v>
          </cell>
          <cell r="N466" t="str">
            <v>Delta</v>
          </cell>
          <cell r="Q466">
            <v>3.8</v>
          </cell>
          <cell r="S466" t="str">
            <v>+20</v>
          </cell>
          <cell r="Z466" t="str">
            <v>3705CCA39</v>
          </cell>
          <cell r="AA466" t="str">
            <v>HEA240</v>
          </cell>
          <cell r="AB466" t="str">
            <v>3705CCA40</v>
          </cell>
          <cell r="AC466" t="str">
            <v>HEA240</v>
          </cell>
          <cell r="AD466" t="str">
            <v>3,4</v>
          </cell>
          <cell r="AE466" t="str">
            <v>3,1</v>
          </cell>
          <cell r="AF466" t="str">
            <v>3,4</v>
          </cell>
          <cell r="AG466" t="str">
            <v>3,80</v>
          </cell>
          <cell r="AH466" t="str">
            <v>3,80</v>
          </cell>
          <cell r="AI466" t="str">
            <v>0,20</v>
          </cell>
          <cell r="AJ466" t="str">
            <v>0,20</v>
          </cell>
          <cell r="AK466">
            <v>4420</v>
          </cell>
          <cell r="AL466">
            <v>4481</v>
          </cell>
          <cell r="AM466">
            <v>2855</v>
          </cell>
          <cell r="AN466">
            <v>3350</v>
          </cell>
          <cell r="AO466">
            <v>3215</v>
          </cell>
          <cell r="AP466" t="str">
            <v>14,25%</v>
          </cell>
          <cell r="AQ466" t="str">
            <v>14,25%</v>
          </cell>
          <cell r="AS466" t="str">
            <v>3,92</v>
          </cell>
          <cell r="AU466" t="str">
            <v>0,00</v>
          </cell>
          <cell r="AV466" t="str">
            <v>6,27</v>
          </cell>
          <cell r="AW466" t="str">
            <v>6,10</v>
          </cell>
          <cell r="AX466">
            <v>4560</v>
          </cell>
          <cell r="AZ466">
            <v>4070</v>
          </cell>
          <cell r="BA466" t="str">
            <v>14,64%</v>
          </cell>
          <cell r="BB466" t="str">
            <v>15,00%</v>
          </cell>
          <cell r="BW466" t="str">
            <v>C.F.12</v>
          </cell>
        </row>
        <row r="467">
          <cell r="C467">
            <v>20</v>
          </cell>
          <cell r="F467" t="str">
            <v/>
          </cell>
          <cell r="G467" t="str">
            <v/>
          </cell>
          <cell r="N467" t="str">
            <v/>
          </cell>
        </row>
        <row r="468">
          <cell r="B468" t="str">
            <v>3705CCA41</v>
          </cell>
          <cell r="D468">
            <v>3572.9600000000005</v>
          </cell>
          <cell r="E468">
            <v>31311.688999999991</v>
          </cell>
          <cell r="F468" t="str">
            <v>-41430.34</v>
          </cell>
          <cell r="G468" t="str">
            <v>162615.57</v>
          </cell>
          <cell r="I468" t="str">
            <v>S</v>
          </cell>
          <cell r="J468" t="str">
            <v>3,4</v>
          </cell>
          <cell r="K468" t="str">
            <v>Funicular</v>
          </cell>
          <cell r="L468" t="str">
            <v>HEA 240</v>
          </cell>
          <cell r="M468" t="str">
            <v>M2</v>
          </cell>
          <cell r="N468" t="str">
            <v>Delta</v>
          </cell>
          <cell r="Q468">
            <v>3.8</v>
          </cell>
          <cell r="S468">
            <v>-20</v>
          </cell>
          <cell r="Z468" t="str">
            <v>3705CCA41</v>
          </cell>
          <cell r="AA468" t="str">
            <v>HEA240</v>
          </cell>
          <cell r="AB468" t="str">
            <v>3705CCA42</v>
          </cell>
          <cell r="AC468" t="str">
            <v>HEA240</v>
          </cell>
          <cell r="AD468" t="str">
            <v>3,4</v>
          </cell>
          <cell r="AE468" t="str">
            <v>3,1</v>
          </cell>
          <cell r="AF468" t="str">
            <v>3,4</v>
          </cell>
          <cell r="AG468" t="str">
            <v>3,80</v>
          </cell>
          <cell r="AH468" t="str">
            <v>3,80</v>
          </cell>
          <cell r="AI468" t="str">
            <v>-0,20</v>
          </cell>
          <cell r="AJ468" t="str">
            <v>-0,20</v>
          </cell>
          <cell r="AK468">
            <v>4529</v>
          </cell>
          <cell r="AL468">
            <v>4462</v>
          </cell>
          <cell r="AM468">
            <v>3286</v>
          </cell>
          <cell r="AN468">
            <v>3350</v>
          </cell>
          <cell r="AO468">
            <v>2798</v>
          </cell>
          <cell r="AP468" t="str">
            <v>15,58%</v>
          </cell>
          <cell r="AQ468" t="str">
            <v>15,58%</v>
          </cell>
          <cell r="AS468" t="str">
            <v>3,83</v>
          </cell>
          <cell r="AU468" t="str">
            <v>0,00</v>
          </cell>
          <cell r="AV468">
            <v>5287</v>
          </cell>
          <cell r="AW468">
            <v>4651</v>
          </cell>
          <cell r="AX468">
            <v>6369</v>
          </cell>
          <cell r="AZ468">
            <v>3126</v>
          </cell>
          <cell r="BA468" t="str">
            <v>20,00%</v>
          </cell>
          <cell r="BB468" t="str">
            <v>20,00%</v>
          </cell>
          <cell r="BW468" t="str">
            <v>C.F.8.A</v>
          </cell>
        </row>
        <row r="469">
          <cell r="C469">
            <v>24</v>
          </cell>
          <cell r="F469" t="str">
            <v/>
          </cell>
          <cell r="G469" t="str">
            <v/>
          </cell>
          <cell r="N469" t="str">
            <v/>
          </cell>
        </row>
        <row r="470">
          <cell r="B470" t="str">
            <v>3705CCA43</v>
          </cell>
          <cell r="D470">
            <v>3596.9600000000005</v>
          </cell>
          <cell r="E470">
            <v>31287.688999999991</v>
          </cell>
          <cell r="F470" t="str">
            <v>-41423.30</v>
          </cell>
          <cell r="G470" t="str">
            <v>162592.57</v>
          </cell>
          <cell r="I470" t="str">
            <v>S</v>
          </cell>
          <cell r="J470" t="str">
            <v>3,3</v>
          </cell>
          <cell r="K470" t="str">
            <v>Funicular</v>
          </cell>
          <cell r="L470" t="str">
            <v>HEA 240</v>
          </cell>
          <cell r="M470" t="str">
            <v>M2</v>
          </cell>
          <cell r="N470" t="str">
            <v>Delta</v>
          </cell>
          <cell r="Q470">
            <v>3.8</v>
          </cell>
          <cell r="S470">
            <v>-5</v>
          </cell>
          <cell r="Z470" t="str">
            <v>3705CCA43</v>
          </cell>
          <cell r="AA470" t="str">
            <v>HEA240</v>
          </cell>
          <cell r="AB470" t="str">
            <v>3705CCA44</v>
          </cell>
          <cell r="AC470" t="str">
            <v>HEA240</v>
          </cell>
          <cell r="AD470" t="str">
            <v>3,3</v>
          </cell>
          <cell r="AE470" t="str">
            <v>3,1</v>
          </cell>
          <cell r="AF470" t="str">
            <v>3,3</v>
          </cell>
          <cell r="AG470" t="str">
            <v>3,80</v>
          </cell>
          <cell r="AH470" t="str">
            <v>3,80</v>
          </cell>
          <cell r="AI470">
            <v>20</v>
          </cell>
          <cell r="AJ470">
            <v>0.2</v>
          </cell>
          <cell r="AK470">
            <v>4406</v>
          </cell>
          <cell r="AL470">
            <v>4467</v>
          </cell>
          <cell r="AM470">
            <v>2754</v>
          </cell>
          <cell r="AN470">
            <v>3350</v>
          </cell>
          <cell r="AO470">
            <v>3112</v>
          </cell>
          <cell r="AP470" t="str">
            <v>14,25%</v>
          </cell>
          <cell r="AQ470" t="str">
            <v>14,25%</v>
          </cell>
          <cell r="AS470" t="str">
            <v>3,80</v>
          </cell>
          <cell r="AU470" t="str">
            <v>0,10</v>
          </cell>
          <cell r="AV470" t="str">
            <v>4,21</v>
          </cell>
          <cell r="AW470">
            <v>4530</v>
          </cell>
          <cell r="AX470">
            <v>6097</v>
          </cell>
          <cell r="AZ470">
            <v>1684</v>
          </cell>
          <cell r="BA470" t="str">
            <v>15,00%</v>
          </cell>
          <cell r="BB470" t="str">
            <v>40,97%</v>
          </cell>
        </row>
        <row r="471">
          <cell r="C471">
            <v>8.0500000000000007</v>
          </cell>
          <cell r="F471" t="str">
            <v/>
          </cell>
          <cell r="G471" t="str">
            <v/>
          </cell>
          <cell r="N471" t="str">
            <v/>
          </cell>
        </row>
        <row r="472">
          <cell r="B472" t="str">
            <v>3705CCA45</v>
          </cell>
          <cell r="D472">
            <v>3605.0100000000007</v>
          </cell>
          <cell r="E472">
            <v>31279.638999999992</v>
          </cell>
          <cell r="F472" t="str">
            <v>-41420.98</v>
          </cell>
          <cell r="G472" t="str">
            <v>162584.90</v>
          </cell>
          <cell r="I472" t="str">
            <v>Aislad.</v>
          </cell>
          <cell r="J472" t="str">
            <v>3,3</v>
          </cell>
          <cell r="K472" t="str">
            <v>Funicular</v>
          </cell>
          <cell r="L472" t="str">
            <v>HEA 240</v>
          </cell>
          <cell r="M472" t="str">
            <v>M2</v>
          </cell>
          <cell r="V472" t="str">
            <v>Aislador 1HC</v>
          </cell>
          <cell r="Z472" t="str">
            <v>3705CCA45</v>
          </cell>
          <cell r="AA472" t="str">
            <v>HEA240</v>
          </cell>
          <cell r="AB472" t="str">
            <v>3705CCA46</v>
          </cell>
          <cell r="AC472" t="str">
            <v>HEA220</v>
          </cell>
          <cell r="AD472" t="str">
            <v>3,3</v>
          </cell>
          <cell r="AE472" t="str">
            <v>3,1</v>
          </cell>
          <cell r="AF472" t="str">
            <v>3,3</v>
          </cell>
          <cell r="AG472" t="str">
            <v>3,80</v>
          </cell>
          <cell r="AK472">
            <v>4400</v>
          </cell>
          <cell r="AL472">
            <v>4400</v>
          </cell>
          <cell r="BD472">
            <v>9490</v>
          </cell>
          <cell r="BW472" t="str">
            <v>C.F.23</v>
          </cell>
        </row>
        <row r="473">
          <cell r="C473">
            <v>8.0500000000000007</v>
          </cell>
          <cell r="F473" t="str">
            <v/>
          </cell>
          <cell r="G473" t="str">
            <v/>
          </cell>
          <cell r="N473" t="str">
            <v/>
          </cell>
        </row>
        <row r="474">
          <cell r="B474" t="str">
            <v>3705CCA47</v>
          </cell>
          <cell r="D474">
            <v>3613.0600000000009</v>
          </cell>
          <cell r="E474">
            <v>31271.588999999993</v>
          </cell>
          <cell r="F474" t="str">
            <v>-41418.63</v>
          </cell>
          <cell r="G474" t="str">
            <v>162577.20</v>
          </cell>
          <cell r="I474" t="str">
            <v>PA30</v>
          </cell>
          <cell r="J474" t="str">
            <v>3,4</v>
          </cell>
          <cell r="K474" t="str">
            <v>Funicular</v>
          </cell>
          <cell r="L474" t="str">
            <v>HEA 240</v>
          </cell>
          <cell r="M474" t="str">
            <v>M2</v>
          </cell>
          <cell r="N474" t="str">
            <v>Delta</v>
          </cell>
          <cell r="O474" t="str">
            <v>B. Fun.</v>
          </cell>
          <cell r="Q474">
            <v>3.8</v>
          </cell>
          <cell r="S474">
            <v>-20</v>
          </cell>
          <cell r="T474">
            <v>-10</v>
          </cell>
          <cell r="Z474" t="str">
            <v>3705CCA47</v>
          </cell>
          <cell r="AA474" t="str">
            <v>HEA240</v>
          </cell>
          <cell r="AB474" t="str">
            <v>3705CCA48</v>
          </cell>
          <cell r="AC474" t="str">
            <v>HEA220</v>
          </cell>
          <cell r="AD474" t="str">
            <v>3,4</v>
          </cell>
          <cell r="AE474" t="str">
            <v>3,1</v>
          </cell>
          <cell r="AF474" t="str">
            <v>3,4</v>
          </cell>
          <cell r="AG474" t="str">
            <v>3,80</v>
          </cell>
          <cell r="AH474" t="str">
            <v>3,40</v>
          </cell>
          <cell r="AI474" t="str">
            <v>-0,20</v>
          </cell>
          <cell r="AJ474" t="str">
            <v>-0,20</v>
          </cell>
          <cell r="AK474">
            <v>4433</v>
          </cell>
          <cell r="AL474">
            <v>4379</v>
          </cell>
          <cell r="AM474">
            <v>3272</v>
          </cell>
          <cell r="AN474">
            <v>3350</v>
          </cell>
          <cell r="AO474">
            <v>2785</v>
          </cell>
          <cell r="AP474" t="str">
            <v>12,88%</v>
          </cell>
          <cell r="AQ474" t="str">
            <v>12,88%</v>
          </cell>
          <cell r="AS474" t="str">
            <v>3,80</v>
          </cell>
          <cell r="AU474" t="str">
            <v>-0,10</v>
          </cell>
          <cell r="AV474" t="str">
            <v>5,49</v>
          </cell>
          <cell r="AW474" t="str">
            <v>4,16</v>
          </cell>
          <cell r="AX474">
            <v>1568</v>
          </cell>
          <cell r="AZ474">
            <v>5250</v>
          </cell>
          <cell r="BA474" t="str">
            <v>24,96%</v>
          </cell>
          <cell r="BB474" t="str">
            <v>15,00%</v>
          </cell>
          <cell r="BW474" t="str">
            <v>C.F.10</v>
          </cell>
        </row>
        <row r="475">
          <cell r="B475" t="str">
            <v>Inic. Soterramiento</v>
          </cell>
          <cell r="C475">
            <v>19.899999999999999</v>
          </cell>
          <cell r="N475" t="str">
            <v/>
          </cell>
        </row>
        <row r="476">
          <cell r="B476" t="str">
            <v>3705CCA49</v>
          </cell>
          <cell r="D476">
            <v>3632.9600000000009</v>
          </cell>
          <cell r="E476">
            <v>31251.688999999991</v>
          </cell>
          <cell r="F476" t="str">
            <v>-41412.82</v>
          </cell>
          <cell r="G476" t="str">
            <v>162558.15</v>
          </cell>
          <cell r="I476" t="str">
            <v>Elev.</v>
          </cell>
          <cell r="J476" t="str">
            <v>3,4</v>
          </cell>
          <cell r="K476" t="str">
            <v>Funicular</v>
          </cell>
          <cell r="L476" t="str">
            <v>HEA 240</v>
          </cell>
          <cell r="M476" t="str">
            <v>M2</v>
          </cell>
          <cell r="N476" t="str">
            <v>Delta</v>
          </cell>
          <cell r="O476" t="str">
            <v>B. Fun.</v>
          </cell>
          <cell r="Q476">
            <v>3.8</v>
          </cell>
          <cell r="S476">
            <v>0</v>
          </cell>
          <cell r="T476" t="str">
            <v>+20</v>
          </cell>
          <cell r="Z476" t="str">
            <v>3705CCA49</v>
          </cell>
          <cell r="AA476" t="str">
            <v>HEA240</v>
          </cell>
          <cell r="AB476" t="str">
            <v>3705CCA50</v>
          </cell>
          <cell r="AC476" t="str">
            <v>HEA220</v>
          </cell>
          <cell r="AD476" t="str">
            <v>3,4</v>
          </cell>
          <cell r="AE476" t="str">
            <v>3,1</v>
          </cell>
          <cell r="AF476" t="str">
            <v>3,4</v>
          </cell>
          <cell r="AG476" t="str">
            <v>3,80</v>
          </cell>
          <cell r="AH476" t="str">
            <v>3,80</v>
          </cell>
          <cell r="AI476" t="str">
            <v>0,00</v>
          </cell>
          <cell r="AJ476" t="str">
            <v>0,20</v>
          </cell>
          <cell r="AK476">
            <v>4448</v>
          </cell>
          <cell r="AL476">
            <v>4482</v>
          </cell>
          <cell r="AM476">
            <v>3057</v>
          </cell>
          <cell r="AN476">
            <v>3150</v>
          </cell>
          <cell r="AO476">
            <v>3224</v>
          </cell>
          <cell r="AP476" t="str">
            <v>14,22%</v>
          </cell>
          <cell r="AQ476" t="str">
            <v>14,22%</v>
          </cell>
          <cell r="AS476" t="str">
            <v>3,83</v>
          </cell>
          <cell r="AU476" t="str">
            <v>0,00</v>
          </cell>
          <cell r="AV476">
            <v>4395</v>
          </cell>
          <cell r="AW476">
            <v>4808</v>
          </cell>
          <cell r="AX476">
            <v>2976</v>
          </cell>
          <cell r="AZ476">
            <v>6421</v>
          </cell>
          <cell r="BA476" t="str">
            <v>20,00%</v>
          </cell>
          <cell r="BB476" t="str">
            <v>20,00%</v>
          </cell>
          <cell r="BW476" t="str">
            <v>C.F.8.B</v>
          </cell>
        </row>
        <row r="477">
          <cell r="C477">
            <v>20</v>
          </cell>
          <cell r="F477" t="str">
            <v/>
          </cell>
          <cell r="G477" t="str">
            <v/>
          </cell>
          <cell r="N477" t="str">
            <v/>
          </cell>
        </row>
        <row r="478">
          <cell r="B478" t="str">
            <v>3705CCA51</v>
          </cell>
          <cell r="D478">
            <v>3652.9600000000009</v>
          </cell>
          <cell r="E478">
            <v>31231.688999999991</v>
          </cell>
          <cell r="F478" t="str">
            <v>-41406.99</v>
          </cell>
          <cell r="G478" t="str">
            <v>162539.02</v>
          </cell>
          <cell r="I478" t="str">
            <v>Elev.</v>
          </cell>
          <cell r="J478" t="str">
            <v>3,4</v>
          </cell>
          <cell r="K478" t="str">
            <v>Funicular</v>
          </cell>
          <cell r="L478" t="str">
            <v>IPE 120</v>
          </cell>
          <cell r="M478" t="str">
            <v>Anc. Sot.</v>
          </cell>
          <cell r="N478" t="str">
            <v>Delta</v>
          </cell>
          <cell r="O478" t="str">
            <v>B. Fun.</v>
          </cell>
          <cell r="Q478">
            <v>3.8</v>
          </cell>
          <cell r="S478">
            <v>-20</v>
          </cell>
          <cell r="T478">
            <v>0</v>
          </cell>
          <cell r="Z478" t="str">
            <v>3705CCA51</v>
          </cell>
          <cell r="AA478" t="str">
            <v>IPE120</v>
          </cell>
          <cell r="AB478" t="str">
            <v>3705CCA52</v>
          </cell>
          <cell r="AC478" t="str">
            <v>IPE120</v>
          </cell>
          <cell r="AD478" t="str">
            <v>3,34</v>
          </cell>
          <cell r="AE478" t="str">
            <v>3,1</v>
          </cell>
          <cell r="AF478" t="str">
            <v>3,34</v>
          </cell>
          <cell r="AG478" t="str">
            <v>3,80</v>
          </cell>
          <cell r="AH478" t="str">
            <v>3,80</v>
          </cell>
          <cell r="AI478" t="str">
            <v>-0,20</v>
          </cell>
          <cell r="AJ478" t="str">
            <v>-0,20</v>
          </cell>
          <cell r="AK478">
            <v>4550</v>
          </cell>
          <cell r="AL478">
            <v>4481</v>
          </cell>
          <cell r="AM478">
            <v>3344</v>
          </cell>
          <cell r="AN478">
            <v>3350</v>
          </cell>
          <cell r="AO478">
            <v>2858</v>
          </cell>
          <cell r="AP478" t="str">
            <v>15,91%</v>
          </cell>
          <cell r="AQ478" t="str">
            <v>15,91%</v>
          </cell>
          <cell r="AS478" t="str">
            <v>3,86</v>
          </cell>
          <cell r="AU478" t="str">
            <v>0,00</v>
          </cell>
          <cell r="AV478" t="str">
            <v>4,46</v>
          </cell>
          <cell r="AW478" t="str">
            <v>4,86</v>
          </cell>
          <cell r="AX478">
            <v>6355</v>
          </cell>
          <cell r="AZ478">
            <v>2288</v>
          </cell>
          <cell r="BA478" t="str">
            <v>15,00%</v>
          </cell>
          <cell r="BB478" t="str">
            <v>24,02%</v>
          </cell>
          <cell r="BW478" t="str">
            <v>C.F.13</v>
          </cell>
        </row>
        <row r="479">
          <cell r="B479" t="str">
            <v>Fin. Soterramiento / Inic. Est./Anden Rotunda (03+666)</v>
          </cell>
          <cell r="C479">
            <v>25</v>
          </cell>
          <cell r="N479" t="str">
            <v/>
          </cell>
        </row>
        <row r="480">
          <cell r="B480" t="str">
            <v>3706CCA01</v>
          </cell>
          <cell r="D480">
            <v>3677.9600000000009</v>
          </cell>
          <cell r="E480">
            <v>31206.688999999991</v>
          </cell>
          <cell r="F480" t="str">
            <v>-41399.22</v>
          </cell>
          <cell r="G480" t="str">
            <v>162515.19</v>
          </cell>
          <cell r="I480" t="str">
            <v>A/S</v>
          </cell>
          <cell r="J480" t="str">
            <v>4,0</v>
          </cell>
          <cell r="K480" t="str">
            <v>Funicular</v>
          </cell>
          <cell r="L480" t="str">
            <v>Marquise</v>
          </cell>
          <cell r="M480" t="str">
            <v>-</v>
          </cell>
          <cell r="N480" t="str">
            <v>Delta</v>
          </cell>
          <cell r="Q480">
            <v>3.8</v>
          </cell>
          <cell r="S480" t="str">
            <v>+20</v>
          </cell>
          <cell r="V480" t="str">
            <v>Ancoraem 1HC</v>
          </cell>
          <cell r="Z480" t="str">
            <v>3706CCA01</v>
          </cell>
          <cell r="AA480" t="str">
            <v>HEB240</v>
          </cell>
          <cell r="AB480" t="str">
            <v>3706CCA02</v>
          </cell>
          <cell r="AC480" t="str">
            <v>HEB240</v>
          </cell>
          <cell r="AD480" t="str">
            <v>4,0</v>
          </cell>
          <cell r="AE480" t="str">
            <v>3,1</v>
          </cell>
          <cell r="AF480" t="str">
            <v>4,0</v>
          </cell>
          <cell r="AG480" t="str">
            <v>3,80</v>
          </cell>
          <cell r="AH480" t="str">
            <v>3,80</v>
          </cell>
          <cell r="AI480" t="str">
            <v>0,20</v>
          </cell>
          <cell r="AJ480" t="str">
            <v>0,20</v>
          </cell>
          <cell r="AK480">
            <v>4535</v>
          </cell>
          <cell r="AL480">
            <v>4599</v>
          </cell>
          <cell r="AM480">
            <v>3460</v>
          </cell>
          <cell r="AN480">
            <v>3350</v>
          </cell>
          <cell r="AO480">
            <v>3831</v>
          </cell>
          <cell r="AP480" t="str">
            <v>15,00%</v>
          </cell>
          <cell r="AQ480" t="str">
            <v>15,00%</v>
          </cell>
          <cell r="AV480" t="str">
            <v>3,86</v>
          </cell>
          <cell r="AW480" t="str">
            <v>-</v>
          </cell>
          <cell r="BW480" t="str">
            <v>C.F.6</v>
          </cell>
        </row>
        <row r="481">
          <cell r="C481">
            <v>17.25</v>
          </cell>
          <cell r="F481" t="str">
            <v/>
          </cell>
          <cell r="G481" t="str">
            <v/>
          </cell>
          <cell r="N481" t="str">
            <v/>
          </cell>
        </row>
        <row r="482">
          <cell r="B482" t="str">
            <v>3706CCA03</v>
          </cell>
          <cell r="D482">
            <v>3695.2100000000009</v>
          </cell>
          <cell r="E482">
            <v>31189.438999999991</v>
          </cell>
          <cell r="F482" t="str">
            <v>-41394.19</v>
          </cell>
          <cell r="G482" t="str">
            <v>162498.69</v>
          </cell>
          <cell r="I482" t="str">
            <v>S</v>
          </cell>
          <cell r="J482" t="str">
            <v>4,0</v>
          </cell>
          <cell r="K482" t="str">
            <v>Funicular</v>
          </cell>
          <cell r="L482" t="str">
            <v>Marquise</v>
          </cell>
          <cell r="M482" t="str">
            <v>-</v>
          </cell>
          <cell r="N482" t="str">
            <v>Delta</v>
          </cell>
          <cell r="Q482">
            <v>3.8</v>
          </cell>
          <cell r="S482">
            <v>-20</v>
          </cell>
          <cell r="Z482" t="str">
            <v>3706CCA03</v>
          </cell>
          <cell r="AA482" t="str">
            <v>HEB240</v>
          </cell>
          <cell r="AB482" t="str">
            <v>3706CCA04</v>
          </cell>
          <cell r="AC482" t="str">
            <v>HEB240</v>
          </cell>
          <cell r="AD482" t="str">
            <v>4,0</v>
          </cell>
          <cell r="AE482" t="str">
            <v>3,1</v>
          </cell>
          <cell r="AF482" t="str">
            <v>4,0</v>
          </cell>
          <cell r="AG482" t="str">
            <v>3,80</v>
          </cell>
          <cell r="AH482" t="str">
            <v>3,80</v>
          </cell>
          <cell r="AI482" t="str">
            <v>-0,20</v>
          </cell>
          <cell r="AJ482" t="str">
            <v>-0,20</v>
          </cell>
          <cell r="AK482">
            <v>4492</v>
          </cell>
          <cell r="AL482">
            <v>4439</v>
          </cell>
          <cell r="AM482">
            <v>3901</v>
          </cell>
          <cell r="AN482">
            <v>3350</v>
          </cell>
          <cell r="AO482">
            <v>3474</v>
          </cell>
          <cell r="AP482" t="str">
            <v>12,41%</v>
          </cell>
          <cell r="AQ482" t="str">
            <v>12,41%</v>
          </cell>
          <cell r="BW482" t="str">
            <v>C.F.2</v>
          </cell>
        </row>
        <row r="483">
          <cell r="C483">
            <v>17.25</v>
          </cell>
          <cell r="F483" t="str">
            <v/>
          </cell>
          <cell r="G483" t="str">
            <v/>
          </cell>
          <cell r="N483" t="str">
            <v/>
          </cell>
        </row>
        <row r="484">
          <cell r="B484" t="str">
            <v>3706CCA05</v>
          </cell>
          <cell r="D484">
            <v>3712.4600000000009</v>
          </cell>
          <cell r="E484">
            <v>31172.188999999991</v>
          </cell>
          <cell r="F484" t="str">
            <v>-41389.16</v>
          </cell>
          <cell r="G484" t="str">
            <v>162482.19</v>
          </cell>
          <cell r="J484" t="str">
            <v>4,0</v>
          </cell>
          <cell r="K484" t="str">
            <v>Funicular</v>
          </cell>
          <cell r="L484" t="str">
            <v>Marquise</v>
          </cell>
          <cell r="M484" t="str">
            <v>-</v>
          </cell>
          <cell r="N484" t="str">
            <v>Delta</v>
          </cell>
          <cell r="Q484">
            <v>3.8</v>
          </cell>
          <cell r="S484" t="str">
            <v>+20</v>
          </cell>
          <cell r="Z484" t="str">
            <v>3706CCA05</v>
          </cell>
          <cell r="AA484" t="str">
            <v>HEB240</v>
          </cell>
          <cell r="AB484" t="str">
            <v>3706CCA06</v>
          </cell>
          <cell r="AC484" t="str">
            <v>HEB240</v>
          </cell>
          <cell r="AD484" t="str">
            <v>4,0</v>
          </cell>
          <cell r="AE484" t="str">
            <v>3,1</v>
          </cell>
          <cell r="AF484" t="str">
            <v>4,0</v>
          </cell>
          <cell r="AG484" t="str">
            <v>3,80</v>
          </cell>
          <cell r="AH484" t="str">
            <v>3,80</v>
          </cell>
          <cell r="AI484" t="str">
            <v>0,20</v>
          </cell>
          <cell r="AJ484" t="str">
            <v>0,20</v>
          </cell>
          <cell r="AK484">
            <v>4439</v>
          </cell>
          <cell r="AL484">
            <v>4492</v>
          </cell>
          <cell r="AM484">
            <v>3474</v>
          </cell>
          <cell r="AN484">
            <v>3350</v>
          </cell>
          <cell r="AO484">
            <v>3901</v>
          </cell>
          <cell r="AP484" t="str">
            <v>12,41%</v>
          </cell>
          <cell r="AQ484" t="str">
            <v>12,41%</v>
          </cell>
          <cell r="BW484" t="str">
            <v>C.F.1</v>
          </cell>
        </row>
        <row r="485">
          <cell r="C485">
            <v>17.25</v>
          </cell>
          <cell r="F485" t="str">
            <v/>
          </cell>
          <cell r="G485" t="str">
            <v/>
          </cell>
          <cell r="N485" t="str">
            <v/>
          </cell>
        </row>
        <row r="486">
          <cell r="B486" t="str">
            <v>3706CCA07</v>
          </cell>
          <cell r="D486">
            <v>3729.7100000000009</v>
          </cell>
          <cell r="E486">
            <v>31154.938999999991</v>
          </cell>
          <cell r="F486" t="str">
            <v>-41384.13</v>
          </cell>
          <cell r="G486" t="str">
            <v>162465.69</v>
          </cell>
          <cell r="I486" t="str">
            <v>S</v>
          </cell>
          <cell r="J486" t="str">
            <v>4,0</v>
          </cell>
          <cell r="K486" t="str">
            <v>Funicular</v>
          </cell>
          <cell r="L486" t="str">
            <v>Marquise</v>
          </cell>
          <cell r="M486" t="str">
            <v>-</v>
          </cell>
          <cell r="N486" t="str">
            <v>Delta</v>
          </cell>
          <cell r="Q486">
            <v>3.8</v>
          </cell>
          <cell r="S486">
            <v>-20</v>
          </cell>
          <cell r="Z486" t="str">
            <v>3706CCA07</v>
          </cell>
          <cell r="AA486" t="str">
            <v>HEB240</v>
          </cell>
          <cell r="AB486" t="str">
            <v>3706CCA08</v>
          </cell>
          <cell r="AC486" t="str">
            <v>HEB240</v>
          </cell>
          <cell r="AD486" t="str">
            <v>4,0</v>
          </cell>
          <cell r="AE486" t="str">
            <v>3,1</v>
          </cell>
          <cell r="AF486" t="str">
            <v>4,0</v>
          </cell>
          <cell r="AG486" t="str">
            <v>3,80</v>
          </cell>
          <cell r="AH486" t="str">
            <v>3,80</v>
          </cell>
          <cell r="AI486" t="str">
            <v>-0,20</v>
          </cell>
          <cell r="AJ486" t="str">
            <v>-0,20</v>
          </cell>
          <cell r="AK486">
            <v>4594</v>
          </cell>
          <cell r="AL486">
            <v>4530</v>
          </cell>
          <cell r="AM486">
            <v>3929</v>
          </cell>
          <cell r="AN486">
            <v>3350</v>
          </cell>
          <cell r="AO486">
            <v>3499</v>
          </cell>
          <cell r="AP486" t="str">
            <v>14,86%</v>
          </cell>
          <cell r="AQ486" t="str">
            <v>14,86%</v>
          </cell>
          <cell r="BW486" t="str">
            <v>C.F.2</v>
          </cell>
        </row>
        <row r="487">
          <cell r="B487" t="str">
            <v>Fin. Est./Anden Rotunda (03+736)</v>
          </cell>
          <cell r="C487">
            <v>24.6</v>
          </cell>
          <cell r="N487" t="str">
            <v/>
          </cell>
          <cell r="X487" t="str">
            <v>3PEAD D63mm ou 1PEAD D125mm + D40mm</v>
          </cell>
        </row>
        <row r="488">
          <cell r="B488" t="str">
            <v>3707CCA01</v>
          </cell>
          <cell r="D488">
            <v>3754.3100000000009</v>
          </cell>
          <cell r="E488">
            <v>31130.338999999993</v>
          </cell>
          <cell r="F488" t="str">
            <v>-41377.45</v>
          </cell>
          <cell r="G488" t="str">
            <v>162442.00</v>
          </cell>
          <cell r="I488" t="str">
            <v>S</v>
          </cell>
          <cell r="J488" t="str">
            <v>3,3</v>
          </cell>
          <cell r="K488" t="str">
            <v>Funicular</v>
          </cell>
          <cell r="L488" t="str">
            <v>HEA 240</v>
          </cell>
          <cell r="M488" t="str">
            <v>M2</v>
          </cell>
          <cell r="N488" t="str">
            <v>Delta</v>
          </cell>
          <cell r="Q488">
            <v>3.8</v>
          </cell>
          <cell r="S488">
            <v>-20</v>
          </cell>
          <cell r="V488" t="str">
            <v>Caix. Secc. e Con.</v>
          </cell>
          <cell r="W488" t="str">
            <v>Caix. Imped.</v>
          </cell>
          <cell r="X488" t="str">
            <v>FA</v>
          </cell>
          <cell r="Z488" t="str">
            <v>3707CCA01</v>
          </cell>
          <cell r="AA488" t="str">
            <v>HEA 240</v>
          </cell>
          <cell r="AB488" t="str">
            <v>3707CCA02</v>
          </cell>
          <cell r="AC488" t="str">
            <v>HEA 240</v>
          </cell>
          <cell r="AD488" t="str">
            <v>3,3</v>
          </cell>
          <cell r="AE488" t="str">
            <v>3,1</v>
          </cell>
          <cell r="AF488" t="str">
            <v>3,3</v>
          </cell>
          <cell r="AG488" t="str">
            <v>3,80</v>
          </cell>
          <cell r="AH488" t="str">
            <v>3,80</v>
          </cell>
          <cell r="AI488" t="str">
            <v>-0,20</v>
          </cell>
          <cell r="AJ488" t="str">
            <v>-0,20</v>
          </cell>
          <cell r="AK488">
            <v>4499</v>
          </cell>
          <cell r="AL488">
            <v>4434</v>
          </cell>
          <cell r="AM488">
            <v>3183</v>
          </cell>
          <cell r="AN488">
            <v>3350</v>
          </cell>
          <cell r="AO488">
            <v>2692</v>
          </cell>
          <cell r="AP488" t="str">
            <v>15,18%</v>
          </cell>
          <cell r="AQ488" t="str">
            <v>15,18%</v>
          </cell>
          <cell r="BW488" t="str">
            <v>C.F.22</v>
          </cell>
        </row>
        <row r="489">
          <cell r="C489">
            <v>18.2</v>
          </cell>
          <cell r="F489" t="str">
            <v/>
          </cell>
          <cell r="G489" t="str">
            <v/>
          </cell>
          <cell r="N489" t="str">
            <v/>
          </cell>
          <cell r="V489" t="str">
            <v>Aislador 2HC</v>
          </cell>
          <cell r="X489" t="str">
            <v xml:space="preserve">3PEAD D63mm ou 1PEAD D125mm </v>
          </cell>
        </row>
        <row r="490">
          <cell r="B490" t="str">
            <v>3707CCA03</v>
          </cell>
          <cell r="D490">
            <v>3772.5100000000007</v>
          </cell>
          <cell r="E490">
            <v>31112.138999999992</v>
          </cell>
          <cell r="F490" t="str">
            <v>-41371.90</v>
          </cell>
          <cell r="G490" t="str">
            <v>162424.68</v>
          </cell>
          <cell r="H490" t="str">
            <v>Clo</v>
          </cell>
          <cell r="I490" t="str">
            <v>S</v>
          </cell>
          <cell r="J490" t="str">
            <v>3,4</v>
          </cell>
          <cell r="K490" t="str">
            <v>Funicular</v>
          </cell>
          <cell r="L490" t="str">
            <v>HEA 240</v>
          </cell>
          <cell r="M490" t="str">
            <v>M2</v>
          </cell>
          <cell r="N490" t="str">
            <v>B. Fun.</v>
          </cell>
          <cell r="Q490">
            <v>3.8</v>
          </cell>
          <cell r="S490">
            <v>-20</v>
          </cell>
          <cell r="Z490" t="str">
            <v>3707CCA03</v>
          </cell>
          <cell r="AA490" t="str">
            <v>HEA240</v>
          </cell>
          <cell r="AB490" t="str">
            <v>3707CCA04</v>
          </cell>
          <cell r="AC490" t="str">
            <v>HEA240</v>
          </cell>
          <cell r="AD490" t="str">
            <v>3,4</v>
          </cell>
          <cell r="AE490" t="str">
            <v>3,1</v>
          </cell>
          <cell r="AF490" t="str">
            <v>3,4</v>
          </cell>
          <cell r="AG490" t="str">
            <v>3,80</v>
          </cell>
          <cell r="AH490" t="str">
            <v>3,80</v>
          </cell>
          <cell r="AI490" t="str">
            <v>-0,20</v>
          </cell>
          <cell r="AJ490" t="str">
            <v>-0,20</v>
          </cell>
          <cell r="AK490">
            <v>4576</v>
          </cell>
          <cell r="AL490">
            <v>4209</v>
          </cell>
          <cell r="AM490">
            <v>3439</v>
          </cell>
          <cell r="AN490">
            <v>2859</v>
          </cell>
          <cell r="AO490">
            <v>1442</v>
          </cell>
          <cell r="AP490" t="str">
            <v>20,00%</v>
          </cell>
          <cell r="AQ490" t="str">
            <v>15,38%</v>
          </cell>
          <cell r="BW490" t="str">
            <v>C.F.5.A</v>
          </cell>
        </row>
        <row r="491">
          <cell r="B491" t="str">
            <v>Inic. Soterramiento (03+785)</v>
          </cell>
          <cell r="C491">
            <v>19.600000000000001</v>
          </cell>
          <cell r="N491" t="str">
            <v/>
          </cell>
        </row>
        <row r="492">
          <cell r="B492" t="str">
            <v>3707CCA05</v>
          </cell>
          <cell r="D492">
            <v>3792.1100000000006</v>
          </cell>
          <cell r="E492">
            <v>31092.538999999993</v>
          </cell>
          <cell r="F492" t="str">
            <v>-41365.96</v>
          </cell>
          <cell r="G492" t="str">
            <v>162406.36</v>
          </cell>
          <cell r="H492">
            <v>135</v>
          </cell>
          <cell r="I492" t="str">
            <v>S</v>
          </cell>
          <cell r="J492" t="str">
            <v>2,5</v>
          </cell>
          <cell r="K492" t="str">
            <v>Funicular</v>
          </cell>
          <cell r="L492" t="str">
            <v>IPE 120</v>
          </cell>
          <cell r="M492" t="str">
            <v>Anc. Sot.</v>
          </cell>
          <cell r="N492" t="str">
            <v>B. Fun.</v>
          </cell>
          <cell r="Q492">
            <v>3.8</v>
          </cell>
          <cell r="S492">
            <v>-20</v>
          </cell>
          <cell r="Z492" t="str">
            <v>3707CCA05</v>
          </cell>
          <cell r="AA492" t="str">
            <v>IPE120</v>
          </cell>
          <cell r="AB492" t="str">
            <v>3707CCA06</v>
          </cell>
          <cell r="AC492" t="str">
            <v>IPE120</v>
          </cell>
          <cell r="AD492" t="str">
            <v>2,5</v>
          </cell>
          <cell r="AE492" t="str">
            <v>3,1</v>
          </cell>
          <cell r="AF492" t="str">
            <v>2,5</v>
          </cell>
          <cell r="AG492" t="str">
            <v>3,80</v>
          </cell>
          <cell r="AH492" t="str">
            <v>3,80</v>
          </cell>
          <cell r="AI492" t="str">
            <v>-0,20</v>
          </cell>
          <cell r="AJ492" t="str">
            <v>-0,20</v>
          </cell>
          <cell r="AK492">
            <v>4407</v>
          </cell>
          <cell r="AL492">
            <v>4045</v>
          </cell>
          <cell r="AM492">
            <v>2561</v>
          </cell>
          <cell r="AN492">
            <v>2859</v>
          </cell>
          <cell r="AO492" t="str">
            <v>0,445</v>
          </cell>
          <cell r="AP492" t="str">
            <v>20,00%</v>
          </cell>
          <cell r="AQ492" t="str">
            <v>12,34%</v>
          </cell>
          <cell r="BW492" t="str">
            <v>C.F.5.A</v>
          </cell>
        </row>
        <row r="493">
          <cell r="C493">
            <v>19.600000000000001</v>
          </cell>
          <cell r="F493" t="str">
            <v/>
          </cell>
          <cell r="G493" t="str">
            <v/>
          </cell>
          <cell r="N493" t="str">
            <v/>
          </cell>
        </row>
        <row r="494">
          <cell r="B494" t="str">
            <v>3707CCA07</v>
          </cell>
          <cell r="D494">
            <v>3811.7100000000005</v>
          </cell>
          <cell r="E494">
            <v>31072.938999999995</v>
          </cell>
          <cell r="F494" t="str">
            <v>-41356.76</v>
          </cell>
          <cell r="G494" t="str">
            <v>162389.53</v>
          </cell>
          <cell r="H494">
            <v>135</v>
          </cell>
          <cell r="I494" t="str">
            <v>S</v>
          </cell>
          <cell r="J494" t="str">
            <v>2,5</v>
          </cell>
          <cell r="K494" t="str">
            <v>Funicular</v>
          </cell>
          <cell r="L494" t="str">
            <v>IPE 120</v>
          </cell>
          <cell r="M494" t="str">
            <v>Anc. Sot.</v>
          </cell>
          <cell r="N494" t="str">
            <v>B. Fun.</v>
          </cell>
          <cell r="Q494">
            <v>4</v>
          </cell>
          <cell r="S494">
            <v>-20</v>
          </cell>
          <cell r="Z494" t="str">
            <v>3707CCA07</v>
          </cell>
          <cell r="AA494" t="str">
            <v>IPE120</v>
          </cell>
          <cell r="AB494" t="str">
            <v>3707CCA08</v>
          </cell>
          <cell r="AC494" t="str">
            <v>IPE120</v>
          </cell>
          <cell r="AD494" t="str">
            <v>2,5</v>
          </cell>
          <cell r="AE494" t="str">
            <v>3,1</v>
          </cell>
          <cell r="AF494" t="str">
            <v>2,5</v>
          </cell>
          <cell r="AG494" t="str">
            <v>4,00</v>
          </cell>
          <cell r="AH494" t="str">
            <v>4,00</v>
          </cell>
          <cell r="AI494" t="str">
            <v>-0,20</v>
          </cell>
          <cell r="AJ494" t="str">
            <v>-0,20</v>
          </cell>
          <cell r="AK494">
            <v>4732</v>
          </cell>
          <cell r="AL494">
            <v>4230</v>
          </cell>
          <cell r="AM494">
            <v>2615</v>
          </cell>
          <cell r="AN494">
            <v>2859</v>
          </cell>
          <cell r="AO494" t="str">
            <v>0,444</v>
          </cell>
          <cell r="AP494" t="str">
            <v>25,00%</v>
          </cell>
          <cell r="AQ494" t="str">
            <v>11,02%</v>
          </cell>
          <cell r="BW494" t="str">
            <v>C.F.5.A</v>
          </cell>
        </row>
        <row r="495">
          <cell r="C495">
            <v>19.600000000000001</v>
          </cell>
          <cell r="F495" t="str">
            <v/>
          </cell>
          <cell r="G495" t="str">
            <v/>
          </cell>
          <cell r="N495" t="str">
            <v/>
          </cell>
        </row>
        <row r="496">
          <cell r="B496" t="str">
            <v>3707CCA09</v>
          </cell>
          <cell r="D496">
            <v>3831.3100000000004</v>
          </cell>
          <cell r="E496">
            <v>31053.338999999996</v>
          </cell>
          <cell r="F496" t="str">
            <v>-41345.17</v>
          </cell>
          <cell r="G496" t="str">
            <v>162374.24</v>
          </cell>
          <cell r="H496">
            <v>135</v>
          </cell>
          <cell r="I496" t="str">
            <v>S</v>
          </cell>
          <cell r="J496" t="str">
            <v>2,5</v>
          </cell>
          <cell r="K496" t="str">
            <v>Funicular</v>
          </cell>
          <cell r="L496" t="str">
            <v>IPE 120</v>
          </cell>
          <cell r="M496" t="str">
            <v>Anc. Sot.</v>
          </cell>
          <cell r="N496" t="str">
            <v>B. Fun.</v>
          </cell>
          <cell r="Q496">
            <v>4.4000000000000004</v>
          </cell>
          <cell r="S496">
            <v>-20</v>
          </cell>
          <cell r="Z496" t="str">
            <v>3707CCA09</v>
          </cell>
          <cell r="AA496" t="str">
            <v>IPE120</v>
          </cell>
          <cell r="AB496" t="str">
            <v>3707CCA10</v>
          </cell>
          <cell r="AC496" t="str">
            <v>IPE120</v>
          </cell>
          <cell r="AD496" t="str">
            <v>2,5</v>
          </cell>
          <cell r="AE496" t="str">
            <v>3,1</v>
          </cell>
          <cell r="AF496" t="str">
            <v>2,5</v>
          </cell>
          <cell r="AG496" t="str">
            <v>4,40</v>
          </cell>
          <cell r="AH496" t="str">
            <v>4,40</v>
          </cell>
          <cell r="AI496" t="str">
            <v>-0,20</v>
          </cell>
          <cell r="AJ496" t="str">
            <v>-0,20</v>
          </cell>
          <cell r="AK496">
            <v>5132</v>
          </cell>
          <cell r="AL496">
            <v>4630</v>
          </cell>
          <cell r="AM496">
            <v>2615</v>
          </cell>
          <cell r="AN496">
            <v>2859</v>
          </cell>
          <cell r="AO496" t="str">
            <v>0,444</v>
          </cell>
          <cell r="AP496" t="str">
            <v>25,00%</v>
          </cell>
          <cell r="AQ496" t="str">
            <v>11,02%</v>
          </cell>
          <cell r="BW496" t="str">
            <v>C.F.5.A</v>
          </cell>
        </row>
        <row r="497">
          <cell r="C497">
            <v>19.600000000000001</v>
          </cell>
          <cell r="F497" t="str">
            <v/>
          </cell>
          <cell r="G497" t="str">
            <v/>
          </cell>
          <cell r="N497" t="str">
            <v/>
          </cell>
        </row>
        <row r="498">
          <cell r="B498" t="str">
            <v>3707CCA11</v>
          </cell>
          <cell r="D498">
            <v>3850.9100000000003</v>
          </cell>
          <cell r="E498">
            <v>31033.738999999998</v>
          </cell>
          <cell r="F498" t="str">
            <v>-41331.47</v>
          </cell>
          <cell r="G498" t="str">
            <v>162360.82</v>
          </cell>
          <cell r="H498">
            <v>135</v>
          </cell>
          <cell r="I498" t="str">
            <v>S</v>
          </cell>
          <cell r="J498" t="str">
            <v>2,55</v>
          </cell>
          <cell r="K498" t="str">
            <v>Funicular</v>
          </cell>
          <cell r="L498" t="str">
            <v>HEA 240</v>
          </cell>
          <cell r="M498" t="str">
            <v>M2</v>
          </cell>
          <cell r="N498" t="str">
            <v>B. Fun.</v>
          </cell>
          <cell r="Q498">
            <v>4.8600000000000003</v>
          </cell>
          <cell r="S498">
            <v>-20</v>
          </cell>
          <cell r="Z498" t="str">
            <v>3707CCA11</v>
          </cell>
          <cell r="AA498" t="str">
            <v>HEA240</v>
          </cell>
          <cell r="AB498" t="str">
            <v>3707CCA12</v>
          </cell>
          <cell r="AC498" t="str">
            <v>HEA240</v>
          </cell>
          <cell r="AD498">
            <v>2550</v>
          </cell>
          <cell r="AE498" t="str">
            <v>3,1</v>
          </cell>
          <cell r="AF498">
            <v>2550</v>
          </cell>
          <cell r="AG498" t="str">
            <v>4,86</v>
          </cell>
          <cell r="AH498" t="str">
            <v>4,86</v>
          </cell>
          <cell r="AI498" t="str">
            <v>-0,20</v>
          </cell>
          <cell r="AJ498" t="str">
            <v>-0,20</v>
          </cell>
          <cell r="AK498">
            <v>5591</v>
          </cell>
          <cell r="AL498">
            <v>5090</v>
          </cell>
          <cell r="AM498">
            <v>2610</v>
          </cell>
          <cell r="AN498">
            <v>2859</v>
          </cell>
          <cell r="AO498" t="str">
            <v>0,439</v>
          </cell>
          <cell r="AP498" t="str">
            <v>25,00%</v>
          </cell>
          <cell r="AQ498" t="str">
            <v>11,06%</v>
          </cell>
          <cell r="BW498" t="str">
            <v>C.F.5.A</v>
          </cell>
        </row>
        <row r="499">
          <cell r="B499" t="str">
            <v>Fin. Soterramiento (03+865)</v>
          </cell>
          <cell r="C499">
            <v>17.100000000000001</v>
          </cell>
          <cell r="N499" t="str">
            <v/>
          </cell>
        </row>
        <row r="500">
          <cell r="B500" t="str">
            <v>3707CCA13</v>
          </cell>
          <cell r="D500">
            <v>3868.01</v>
          </cell>
          <cell r="E500">
            <v>31016.638999999999</v>
          </cell>
          <cell r="F500" t="str">
            <v>-41317.94</v>
          </cell>
          <cell r="G500" t="str">
            <v>162351.21</v>
          </cell>
          <cell r="H500">
            <v>135</v>
          </cell>
          <cell r="I500" t="str">
            <v>S</v>
          </cell>
          <cell r="J500" t="str">
            <v>2,8</v>
          </cell>
          <cell r="K500" t="str">
            <v>Funicular</v>
          </cell>
          <cell r="L500" t="str">
            <v>HEA 240</v>
          </cell>
          <cell r="M500" t="str">
            <v>M2</v>
          </cell>
          <cell r="N500" t="str">
            <v>B. Fun.</v>
          </cell>
          <cell r="Q500">
            <v>5.25</v>
          </cell>
          <cell r="S500">
            <v>-20</v>
          </cell>
          <cell r="Z500" t="str">
            <v>3707CCA13</v>
          </cell>
          <cell r="AA500" t="str">
            <v>HEA240</v>
          </cell>
          <cell r="AB500" t="str">
            <v>3707CCA14</v>
          </cell>
          <cell r="AC500" t="str">
            <v>HEA240</v>
          </cell>
          <cell r="AD500" t="str">
            <v>2,8</v>
          </cell>
          <cell r="AE500" t="str">
            <v>3,1</v>
          </cell>
          <cell r="AF500" t="str">
            <v>2,8</v>
          </cell>
          <cell r="AG500" t="str">
            <v>5,25</v>
          </cell>
          <cell r="AH500" t="str">
            <v>5,24</v>
          </cell>
          <cell r="AI500" t="str">
            <v>-0,20</v>
          </cell>
          <cell r="AJ500" t="str">
            <v>-0,20</v>
          </cell>
          <cell r="AK500">
            <v>6043</v>
          </cell>
          <cell r="AL500">
            <v>5499</v>
          </cell>
          <cell r="AM500">
            <v>2876</v>
          </cell>
          <cell r="AN500">
            <v>2859</v>
          </cell>
          <cell r="AO500" t="str">
            <v>0,691</v>
          </cell>
          <cell r="AP500" t="str">
            <v>25,00%</v>
          </cell>
          <cell r="AQ500" t="str">
            <v>11,15%</v>
          </cell>
          <cell r="BW500" t="str">
            <v>C.F.5.A</v>
          </cell>
        </row>
        <row r="501">
          <cell r="C501">
            <v>13.8</v>
          </cell>
          <cell r="F501" t="str">
            <v/>
          </cell>
          <cell r="G501" t="str">
            <v/>
          </cell>
          <cell r="N501" t="str">
            <v/>
          </cell>
        </row>
        <row r="502">
          <cell r="B502" t="str">
            <v>3707CCA15</v>
          </cell>
          <cell r="D502">
            <v>3881.8100000000004</v>
          </cell>
          <cell r="E502">
            <v>31002.839</v>
          </cell>
          <cell r="F502" t="str">
            <v>-41306.93</v>
          </cell>
          <cell r="G502" t="str">
            <v>162344.66</v>
          </cell>
          <cell r="H502">
            <v>135</v>
          </cell>
          <cell r="I502" t="str">
            <v>S</v>
          </cell>
          <cell r="J502" t="str">
            <v>3,0</v>
          </cell>
          <cell r="K502" t="str">
            <v>Funicular</v>
          </cell>
          <cell r="L502" t="str">
            <v>HEA 240</v>
          </cell>
          <cell r="M502" t="str">
            <v>M2</v>
          </cell>
          <cell r="N502" t="str">
            <v>B. Fun.</v>
          </cell>
          <cell r="Q502">
            <v>5.4</v>
          </cell>
          <cell r="S502">
            <v>-20</v>
          </cell>
          <cell r="Z502" t="str">
            <v>3707CCA15</v>
          </cell>
          <cell r="AA502" t="str">
            <v>HEA240</v>
          </cell>
          <cell r="AB502" t="str">
            <v>3707CCA16</v>
          </cell>
          <cell r="AC502" t="str">
            <v>HEA240</v>
          </cell>
          <cell r="AD502" t="str">
            <v>3,0</v>
          </cell>
          <cell r="AE502" t="str">
            <v>3,1</v>
          </cell>
          <cell r="AF502" t="str">
            <v>2,93</v>
          </cell>
          <cell r="AG502" t="str">
            <v>5,40</v>
          </cell>
          <cell r="AH502" t="str">
            <v>5,40</v>
          </cell>
          <cell r="AI502" t="str">
            <v>-0,20</v>
          </cell>
          <cell r="AJ502" t="str">
            <v>70,20</v>
          </cell>
          <cell r="AK502">
            <v>6243</v>
          </cell>
          <cell r="AL502">
            <v>5675</v>
          </cell>
          <cell r="AM502">
            <v>3088</v>
          </cell>
          <cell r="AN502">
            <v>2859</v>
          </cell>
          <cell r="AO502" t="str">
            <v>0,822</v>
          </cell>
          <cell r="AP502" t="str">
            <v>25,00%</v>
          </cell>
          <cell r="AQ502" t="str">
            <v>11,23%</v>
          </cell>
          <cell r="BW502" t="str">
            <v>C.F.5.A</v>
          </cell>
        </row>
        <row r="503">
          <cell r="B503" t="str">
            <v>Cruce Vial</v>
          </cell>
          <cell r="C503">
            <v>20.2</v>
          </cell>
          <cell r="N503" t="str">
            <v/>
          </cell>
          <cell r="X503" t="str">
            <v>1PEAD D110mm ou 2PEAD D63mm+ 1PEAD 32mm</v>
          </cell>
        </row>
        <row r="504">
          <cell r="B504" t="str">
            <v>3707CCA17</v>
          </cell>
          <cell r="D504">
            <v>3902.01</v>
          </cell>
          <cell r="E504">
            <v>30982.638999999999</v>
          </cell>
          <cell r="F504" t="str">
            <v>-41287,84</v>
          </cell>
          <cell r="G504" t="str">
            <v>162336,77</v>
          </cell>
          <cell r="H504">
            <v>135</v>
          </cell>
          <cell r="I504" t="str">
            <v>S</v>
          </cell>
          <cell r="J504" t="str">
            <v>2,8</v>
          </cell>
          <cell r="K504" t="str">
            <v>Funicular</v>
          </cell>
          <cell r="L504" t="str">
            <v>HEA 240</v>
          </cell>
          <cell r="M504" t="str">
            <v>M2</v>
          </cell>
          <cell r="N504" t="str">
            <v>B. Fun.</v>
          </cell>
          <cell r="Q504">
            <v>5.4</v>
          </cell>
          <cell r="S504">
            <v>-20</v>
          </cell>
          <cell r="X504" t="str">
            <v>FR</v>
          </cell>
          <cell r="Z504" t="str">
            <v>3707CCA17</v>
          </cell>
          <cell r="AA504" t="str">
            <v>HEA240</v>
          </cell>
          <cell r="AB504" t="str">
            <v>3707CCA18</v>
          </cell>
          <cell r="AC504" t="str">
            <v>HEA240</v>
          </cell>
          <cell r="AD504">
            <v>2685</v>
          </cell>
          <cell r="AE504" t="str">
            <v>3,1</v>
          </cell>
          <cell r="AF504">
            <v>2685</v>
          </cell>
          <cell r="AG504" t="str">
            <v>5,40</v>
          </cell>
          <cell r="AH504" t="str">
            <v>5,40</v>
          </cell>
          <cell r="AI504" t="str">
            <v>-0,20</v>
          </cell>
          <cell r="AJ504" t="str">
            <v>-0,20</v>
          </cell>
          <cell r="AK504">
            <v>6193</v>
          </cell>
          <cell r="AL504">
            <v>5654</v>
          </cell>
          <cell r="AM504">
            <v>2793</v>
          </cell>
          <cell r="AN504">
            <v>2859</v>
          </cell>
          <cell r="AO504" t="str">
            <v>0,745</v>
          </cell>
          <cell r="AP504" t="str">
            <v>25,00%</v>
          </cell>
          <cell r="AQ504" t="str">
            <v>10,81%</v>
          </cell>
          <cell r="AV504">
            <v>6493</v>
          </cell>
          <cell r="AW504">
            <v>5954</v>
          </cell>
          <cell r="BW504" t="str">
            <v>C.F.27</v>
          </cell>
        </row>
        <row r="505">
          <cell r="C505">
            <v>19.8</v>
          </cell>
          <cell r="F505" t="str">
            <v/>
          </cell>
          <cell r="G505" t="str">
            <v/>
          </cell>
          <cell r="N505" t="str">
            <v/>
          </cell>
          <cell r="X505" t="str">
            <v>1PEAD D110mm ou 2PEAD D63mm</v>
          </cell>
        </row>
        <row r="506">
          <cell r="B506" t="str">
            <v>3707CCA19</v>
          </cell>
          <cell r="D506">
            <v>3921.8100000000004</v>
          </cell>
          <cell r="E506">
            <v>30962.839</v>
          </cell>
          <cell r="F506" t="str">
            <v>-41269,10</v>
          </cell>
          <cell r="G506" t="str">
            <v>162331,97</v>
          </cell>
          <cell r="H506" t="str">
            <v>Clo</v>
          </cell>
          <cell r="I506" t="str">
            <v>S</v>
          </cell>
          <cell r="J506" t="str">
            <v>2,7</v>
          </cell>
          <cell r="K506" t="str">
            <v>Funicular</v>
          </cell>
          <cell r="L506" t="str">
            <v>HEA 240</v>
          </cell>
          <cell r="M506" t="str">
            <v>M2</v>
          </cell>
          <cell r="N506" t="str">
            <v>B. Fun.</v>
          </cell>
          <cell r="Q506">
            <v>5.2</v>
          </cell>
          <cell r="S506">
            <v>-20</v>
          </cell>
          <cell r="Z506" t="str">
            <v>3707CCA19</v>
          </cell>
          <cell r="AA506" t="str">
            <v>HEA240</v>
          </cell>
          <cell r="AB506" t="str">
            <v>3707CCA20</v>
          </cell>
          <cell r="AC506" t="str">
            <v>HEA240</v>
          </cell>
          <cell r="AD506" t="str">
            <v>2,65</v>
          </cell>
          <cell r="AE506" t="str">
            <v>3,1</v>
          </cell>
          <cell r="AF506" t="str">
            <v>2,7</v>
          </cell>
          <cell r="AG506" t="str">
            <v>5,20</v>
          </cell>
          <cell r="AH506" t="str">
            <v>5,20</v>
          </cell>
          <cell r="AI506" t="str">
            <v>-0,20</v>
          </cell>
          <cell r="AJ506" t="str">
            <v>-0,20</v>
          </cell>
          <cell r="AK506">
            <v>5826</v>
          </cell>
          <cell r="AL506">
            <v>5461</v>
          </cell>
          <cell r="AM506">
            <v>2659</v>
          </cell>
          <cell r="AN506">
            <v>2859</v>
          </cell>
          <cell r="AO506" t="str">
            <v>0,591</v>
          </cell>
          <cell r="AP506" t="str">
            <v>20,00%</v>
          </cell>
          <cell r="AQ506" t="str">
            <v>12,18%</v>
          </cell>
          <cell r="BW506" t="str">
            <v>C.F.5.A</v>
          </cell>
        </row>
        <row r="507">
          <cell r="C507">
            <v>24.9</v>
          </cell>
          <cell r="F507" t="str">
            <v/>
          </cell>
          <cell r="G507" t="str">
            <v/>
          </cell>
          <cell r="N507" t="str">
            <v/>
          </cell>
        </row>
        <row r="508">
          <cell r="B508" t="str">
            <v>3707CCA21</v>
          </cell>
          <cell r="D508">
            <v>3946.7100000000005</v>
          </cell>
          <cell r="E508">
            <v>30937.938999999998</v>
          </cell>
          <cell r="F508" t="str">
            <v>-41244,21</v>
          </cell>
          <cell r="G508" t="str">
            <v>162329.18</v>
          </cell>
          <cell r="H508" t="str">
            <v>Clo</v>
          </cell>
          <cell r="I508" t="str">
            <v>S</v>
          </cell>
          <cell r="J508" t="str">
            <v>2,7</v>
          </cell>
          <cell r="K508" t="str">
            <v>Funicular</v>
          </cell>
          <cell r="L508" t="str">
            <v>HEA 240</v>
          </cell>
          <cell r="M508" t="str">
            <v>M2</v>
          </cell>
          <cell r="N508" t="str">
            <v>B. Fun.</v>
          </cell>
          <cell r="Q508">
            <v>4.71</v>
          </cell>
          <cell r="S508">
            <v>-20</v>
          </cell>
          <cell r="Z508" t="str">
            <v>3707CCA21</v>
          </cell>
          <cell r="AA508" t="str">
            <v>HEA240</v>
          </cell>
          <cell r="AB508" t="str">
            <v>3707CCA22</v>
          </cell>
          <cell r="AC508" t="str">
            <v>HEA240</v>
          </cell>
          <cell r="AD508" t="str">
            <v>2,7</v>
          </cell>
          <cell r="AE508" t="str">
            <v>3,1</v>
          </cell>
          <cell r="AF508" t="str">
            <v>2,7</v>
          </cell>
          <cell r="AG508" t="str">
            <v>4,71</v>
          </cell>
          <cell r="AH508" t="str">
            <v>4,71</v>
          </cell>
          <cell r="AI508" t="str">
            <v>-0,20</v>
          </cell>
          <cell r="AJ508" t="str">
            <v>-0,20</v>
          </cell>
          <cell r="AK508">
            <v>5346</v>
          </cell>
          <cell r="AL508">
            <v>5012</v>
          </cell>
          <cell r="AM508">
            <v>2711</v>
          </cell>
          <cell r="AN508">
            <v>2859</v>
          </cell>
          <cell r="AO508" t="str">
            <v>0,594</v>
          </cell>
          <cell r="AP508" t="str">
            <v>20,00%</v>
          </cell>
          <cell r="AQ508" t="str">
            <v>15,42%</v>
          </cell>
          <cell r="BW508" t="str">
            <v>C.F.5.A</v>
          </cell>
        </row>
        <row r="509">
          <cell r="B509" t="str">
            <v>Inic. Viaduto B (03+963)</v>
          </cell>
          <cell r="C509">
            <v>25</v>
          </cell>
          <cell r="N509" t="str">
            <v/>
          </cell>
        </row>
        <row r="510">
          <cell r="B510" t="str">
            <v>3707CCA23</v>
          </cell>
          <cell r="D510">
            <v>3971.7</v>
          </cell>
          <cell r="E510">
            <v>30912.938999999998</v>
          </cell>
          <cell r="F510" t="str">
            <v>-41219.67</v>
          </cell>
          <cell r="G510" t="str">
            <v>162327.43</v>
          </cell>
          <cell r="I510" t="str">
            <v>S</v>
          </cell>
          <cell r="J510" t="str">
            <v>2,65</v>
          </cell>
          <cell r="K510" t="str">
            <v>Funicular</v>
          </cell>
          <cell r="L510" t="str">
            <v>HEA 300</v>
          </cell>
          <cell r="M510" t="str">
            <v>Anc. Ponte</v>
          </cell>
          <cell r="N510" t="str">
            <v>Delta</v>
          </cell>
          <cell r="Q510">
            <v>4.1100000000000003</v>
          </cell>
          <cell r="S510" t="str">
            <v>+20</v>
          </cell>
          <cell r="Z510" t="str">
            <v>3707CCA23</v>
          </cell>
          <cell r="AA510" t="str">
            <v>HEA300</v>
          </cell>
          <cell r="AB510" t="str">
            <v>3707CCA24</v>
          </cell>
          <cell r="AC510" t="str">
            <v>HEA300</v>
          </cell>
          <cell r="AD510" t="str">
            <v>2,6</v>
          </cell>
          <cell r="AE510" t="str">
            <v>3,1</v>
          </cell>
          <cell r="AF510" t="str">
            <v>2,6</v>
          </cell>
          <cell r="AG510" t="str">
            <v>4,11</v>
          </cell>
          <cell r="AH510" t="str">
            <v>4,11</v>
          </cell>
          <cell r="AI510" t="str">
            <v>0,20</v>
          </cell>
          <cell r="AJ510" t="str">
            <v>0,20</v>
          </cell>
          <cell r="AK510">
            <v>4684</v>
          </cell>
          <cell r="AL510">
            <v>4760</v>
          </cell>
          <cell r="AM510">
            <v>2061</v>
          </cell>
          <cell r="AN510">
            <v>3350</v>
          </cell>
          <cell r="AO510">
            <v>2495</v>
          </cell>
          <cell r="AP510" t="str">
            <v>17,55%</v>
          </cell>
          <cell r="AQ510" t="str">
            <v>17,55%</v>
          </cell>
          <cell r="BW510" t="str">
            <v>C.F.1</v>
          </cell>
        </row>
        <row r="511">
          <cell r="C511">
            <v>25</v>
          </cell>
          <cell r="F511" t="str">
            <v/>
          </cell>
          <cell r="G511" t="str">
            <v/>
          </cell>
          <cell r="N511" t="str">
            <v/>
          </cell>
        </row>
        <row r="512">
          <cell r="B512" t="str">
            <v>3707CCA25</v>
          </cell>
          <cell r="D512">
            <v>3996.71</v>
          </cell>
          <cell r="E512">
            <v>30887.938999999998</v>
          </cell>
          <cell r="F512" t="str">
            <v>-41199.72</v>
          </cell>
          <cell r="G512" t="str">
            <v>162325,70</v>
          </cell>
          <cell r="I512" t="str">
            <v>S</v>
          </cell>
          <cell r="J512" t="str">
            <v>2,65</v>
          </cell>
          <cell r="K512" t="str">
            <v>Funicular</v>
          </cell>
          <cell r="L512" t="str">
            <v>HEA 300</v>
          </cell>
          <cell r="M512" t="str">
            <v>Anc. Ponte</v>
          </cell>
          <cell r="N512" t="str">
            <v>Delta</v>
          </cell>
          <cell r="Q512">
            <v>3.8</v>
          </cell>
          <cell r="S512">
            <v>-20</v>
          </cell>
          <cell r="Z512" t="str">
            <v>3707CCA25</v>
          </cell>
          <cell r="AA512" t="str">
            <v>HEA300</v>
          </cell>
          <cell r="AB512" t="str">
            <v>3707CCA26</v>
          </cell>
          <cell r="AC512" t="str">
            <v>HEA300</v>
          </cell>
          <cell r="AD512" t="str">
            <v>2,6</v>
          </cell>
          <cell r="AE512" t="str">
            <v>3,1</v>
          </cell>
          <cell r="AF512" t="str">
            <v>2,6</v>
          </cell>
          <cell r="AG512" t="str">
            <v>3,80</v>
          </cell>
          <cell r="AH512" t="str">
            <v>3,80</v>
          </cell>
          <cell r="AI512" t="str">
            <v>-0,20</v>
          </cell>
          <cell r="AJ512" t="str">
            <v>-0,20</v>
          </cell>
          <cell r="AK512">
            <v>4450</v>
          </cell>
          <cell r="AL512">
            <v>4374</v>
          </cell>
          <cell r="AM512">
            <v>2495</v>
          </cell>
          <cell r="AN512">
            <v>3350</v>
          </cell>
          <cell r="AO512">
            <v>2061</v>
          </cell>
          <cell r="AP512" t="str">
            <v>17,55%</v>
          </cell>
          <cell r="AQ512" t="str">
            <v>17,55%</v>
          </cell>
          <cell r="BW512" t="str">
            <v>C.F.2</v>
          </cell>
        </row>
        <row r="513">
          <cell r="C513">
            <v>25</v>
          </cell>
          <cell r="F513" t="str">
            <v/>
          </cell>
          <cell r="G513" t="str">
            <v/>
          </cell>
          <cell r="N513" t="str">
            <v/>
          </cell>
        </row>
        <row r="514">
          <cell r="B514" t="str">
            <v>3707CCA27</v>
          </cell>
          <cell r="D514">
            <v>4021.71</v>
          </cell>
          <cell r="E514">
            <v>30862.938999999998</v>
          </cell>
          <cell r="F514" t="str">
            <v>-41169.78</v>
          </cell>
          <cell r="G514" t="str">
            <v>162323.96</v>
          </cell>
          <cell r="I514" t="str">
            <v>S</v>
          </cell>
          <cell r="J514" t="str">
            <v>2,65</v>
          </cell>
          <cell r="K514" t="str">
            <v>Funicular</v>
          </cell>
          <cell r="L514" t="str">
            <v>HEA 300</v>
          </cell>
          <cell r="M514" t="str">
            <v>Anc. Ponte</v>
          </cell>
          <cell r="N514" t="str">
            <v>Delta</v>
          </cell>
          <cell r="Q514">
            <v>3.8</v>
          </cell>
          <cell r="S514" t="str">
            <v>+20</v>
          </cell>
          <cell r="Z514" t="str">
            <v>3707CCA27</v>
          </cell>
          <cell r="AA514" t="str">
            <v>HEA300</v>
          </cell>
          <cell r="AB514" t="str">
            <v>3707CCA28</v>
          </cell>
          <cell r="AC514" t="str">
            <v>HEA300</v>
          </cell>
          <cell r="AD514" t="str">
            <v>2,6</v>
          </cell>
          <cell r="AE514" t="str">
            <v>3,1</v>
          </cell>
          <cell r="AF514" t="str">
            <v>2,6</v>
          </cell>
          <cell r="AG514" t="str">
            <v>3,80</v>
          </cell>
          <cell r="AH514" t="str">
            <v>3,80</v>
          </cell>
          <cell r="AI514" t="str">
            <v>0,20</v>
          </cell>
          <cell r="AJ514" t="str">
            <v>0,20</v>
          </cell>
          <cell r="AK514">
            <v>4337</v>
          </cell>
          <cell r="AL514">
            <v>4405</v>
          </cell>
          <cell r="AM514">
            <v>2048</v>
          </cell>
          <cell r="AN514">
            <v>3350</v>
          </cell>
          <cell r="AO514">
            <v>2480</v>
          </cell>
          <cell r="AP514" t="str">
            <v>15,91%</v>
          </cell>
          <cell r="AQ514" t="str">
            <v>15,91%</v>
          </cell>
          <cell r="BW514" t="str">
            <v>C.F.1</v>
          </cell>
        </row>
        <row r="515">
          <cell r="C515">
            <v>20</v>
          </cell>
          <cell r="F515" t="str">
            <v/>
          </cell>
          <cell r="G515" t="str">
            <v/>
          </cell>
          <cell r="N515" t="str">
            <v/>
          </cell>
          <cell r="X515" t="str">
            <v>1PEAD D110mm ou 2PEAD D63mm+ 1PEAD 32mm</v>
          </cell>
        </row>
        <row r="516">
          <cell r="B516" t="str">
            <v>3707CCA29</v>
          </cell>
          <cell r="D516">
            <v>4041.67</v>
          </cell>
          <cell r="E516">
            <v>30842.938999999998</v>
          </cell>
          <cell r="F516" t="str">
            <v>-41149.91</v>
          </cell>
          <cell r="G516" t="str">
            <v>162322.57</v>
          </cell>
          <cell r="I516" t="str">
            <v>S</v>
          </cell>
          <cell r="J516" t="str">
            <v>2,65</v>
          </cell>
          <cell r="K516" t="str">
            <v>Funicular</v>
          </cell>
          <cell r="L516" t="str">
            <v>HEA 300</v>
          </cell>
          <cell r="M516" t="str">
            <v>Anc. Ponte</v>
          </cell>
          <cell r="N516" t="str">
            <v>Delta</v>
          </cell>
          <cell r="Q516">
            <v>3.8</v>
          </cell>
          <cell r="S516">
            <v>-20</v>
          </cell>
          <cell r="X516" t="str">
            <v>FR</v>
          </cell>
          <cell r="Z516" t="str">
            <v>3707CCA29</v>
          </cell>
          <cell r="AA516" t="str">
            <v>HEA300</v>
          </cell>
          <cell r="AB516" t="str">
            <v>3707CCA30</v>
          </cell>
          <cell r="AC516" t="str">
            <v>HEA300</v>
          </cell>
          <cell r="AD516" t="str">
            <v>2,6</v>
          </cell>
          <cell r="AE516" t="str">
            <v>3,1</v>
          </cell>
          <cell r="AF516" t="str">
            <v>2,6</v>
          </cell>
          <cell r="AG516" t="str">
            <v>3,80</v>
          </cell>
          <cell r="AH516" t="str">
            <v>3,80</v>
          </cell>
          <cell r="AI516" t="str">
            <v>0,20</v>
          </cell>
          <cell r="AJ516" t="str">
            <v>-0,20</v>
          </cell>
          <cell r="AK516">
            <v>4316</v>
          </cell>
          <cell r="AL516">
            <v>4263</v>
          </cell>
          <cell r="AM516">
            <v>2434</v>
          </cell>
          <cell r="AN516">
            <v>3350</v>
          </cell>
          <cell r="AO516">
            <v>1929</v>
          </cell>
          <cell r="AP516" t="str">
            <v>12,58%</v>
          </cell>
          <cell r="AQ516" t="str">
            <v>12,58%</v>
          </cell>
          <cell r="AV516">
            <v>4346</v>
          </cell>
          <cell r="AW516">
            <v>4293</v>
          </cell>
          <cell r="BW516" t="str">
            <v>C.F.26</v>
          </cell>
        </row>
        <row r="517">
          <cell r="C517">
            <v>15</v>
          </cell>
          <cell r="X517" t="str">
            <v>1PEAD D110mm ou 2PEAD D63mm</v>
          </cell>
        </row>
        <row r="518">
          <cell r="B518" t="str">
            <v>3707CCA31</v>
          </cell>
          <cell r="D518">
            <v>4056.6</v>
          </cell>
          <cell r="E518">
            <v>30827.938999999998</v>
          </cell>
          <cell r="F518" t="str">
            <v>-41134.96</v>
          </cell>
          <cell r="G518" t="str">
            <v>162321.50</v>
          </cell>
          <cell r="I518" t="str">
            <v>S</v>
          </cell>
          <cell r="J518" t="str">
            <v>2,65</v>
          </cell>
          <cell r="K518" t="str">
            <v>Funicular</v>
          </cell>
          <cell r="L518" t="str">
            <v>HEA 300</v>
          </cell>
          <cell r="M518" t="str">
            <v>Anc. Ponte</v>
          </cell>
          <cell r="N518" t="str">
            <v>Delta</v>
          </cell>
          <cell r="Q518">
            <v>3.8</v>
          </cell>
          <cell r="S518" t="str">
            <v>+20</v>
          </cell>
          <cell r="Z518" t="str">
            <v>3707CCA31</v>
          </cell>
          <cell r="AA518" t="str">
            <v>HEA300</v>
          </cell>
          <cell r="AB518" t="str">
            <v>3707CCA32</v>
          </cell>
          <cell r="AC518" t="str">
            <v>HEA300</v>
          </cell>
          <cell r="AD518" t="str">
            <v>2,6</v>
          </cell>
          <cell r="AE518" t="str">
            <v>3,1</v>
          </cell>
          <cell r="AF518" t="str">
            <v>2,6</v>
          </cell>
          <cell r="AG518" t="str">
            <v>3,80</v>
          </cell>
          <cell r="AH518" t="str">
            <v>3,80</v>
          </cell>
          <cell r="AI518" t="str">
            <v>0,20</v>
          </cell>
          <cell r="AJ518" t="str">
            <v>0,20</v>
          </cell>
          <cell r="AK518">
            <v>4218</v>
          </cell>
          <cell r="AL518">
            <v>4263</v>
          </cell>
          <cell r="AM518">
            <v>2017</v>
          </cell>
          <cell r="AN518">
            <v>3350</v>
          </cell>
          <cell r="AO518">
            <v>2442</v>
          </cell>
          <cell r="AP518" t="str">
            <v>10,53%</v>
          </cell>
          <cell r="AQ518" t="str">
            <v>10,53%</v>
          </cell>
          <cell r="BW518" t="str">
            <v>C.F.1</v>
          </cell>
        </row>
        <row r="519">
          <cell r="C519">
            <v>13.9</v>
          </cell>
        </row>
        <row r="520">
          <cell r="B520" t="str">
            <v>3707CCA33</v>
          </cell>
          <cell r="D520">
            <v>4070.5</v>
          </cell>
          <cell r="E520">
            <v>30814.038999999997</v>
          </cell>
          <cell r="F520" t="str">
            <v>-41120.99</v>
          </cell>
          <cell r="G520" t="str">
            <v>162320.52</v>
          </cell>
          <cell r="I520" t="str">
            <v>S</v>
          </cell>
          <cell r="K520" t="str">
            <v>Funicular</v>
          </cell>
          <cell r="L520" t="str">
            <v>HEA 300</v>
          </cell>
          <cell r="M520" t="str">
            <v>Anc. Ponte</v>
          </cell>
          <cell r="N520" t="str">
            <v>Delta</v>
          </cell>
          <cell r="Q520">
            <v>3.8</v>
          </cell>
          <cell r="S520" t="str">
            <v>+10</v>
          </cell>
          <cell r="Z520" t="str">
            <v>3707CCA33</v>
          </cell>
          <cell r="AA520" t="str">
            <v>HEA300</v>
          </cell>
          <cell r="AB520" t="str">
            <v>3707CCA34</v>
          </cell>
          <cell r="AC520" t="str">
            <v>HEA300</v>
          </cell>
          <cell r="AD520" t="str">
            <v>2,6</v>
          </cell>
          <cell r="AE520" t="str">
            <v>3,1</v>
          </cell>
          <cell r="AF520" t="str">
            <v>2,6</v>
          </cell>
          <cell r="AG520" t="str">
            <v>3,80</v>
          </cell>
          <cell r="AH520" t="str">
            <v>3,80</v>
          </cell>
          <cell r="AI520" t="str">
            <v>0,10</v>
          </cell>
          <cell r="AJ520" t="str">
            <v>0,10</v>
          </cell>
          <cell r="AK520">
            <v>4194</v>
          </cell>
          <cell r="AL520">
            <v>4214</v>
          </cell>
          <cell r="AM520">
            <v>2111</v>
          </cell>
          <cell r="AN520">
            <v>3350</v>
          </cell>
          <cell r="AO520">
            <v>2333</v>
          </cell>
          <cell r="AP520" t="str">
            <v>8,97%</v>
          </cell>
          <cell r="AQ520" t="str">
            <v>8,97%</v>
          </cell>
          <cell r="BW520" t="str">
            <v>C.F.1</v>
          </cell>
        </row>
        <row r="521">
          <cell r="B521" t="str">
            <v xml:space="preserve">Fin.Viaduto B ( 
Inic. Soterramento 04+064) </v>
          </cell>
          <cell r="C521">
            <v>10.4</v>
          </cell>
          <cell r="N521" t="str">
            <v/>
          </cell>
          <cell r="U521" t="str">
            <v>Transição Catenaria</v>
          </cell>
          <cell r="V521" t="str">
            <v>Disp. Transic.</v>
          </cell>
        </row>
        <row r="522">
          <cell r="B522" t="str">
            <v>3707CCA35</v>
          </cell>
          <cell r="D522">
            <v>4080.9</v>
          </cell>
          <cell r="E522">
            <v>30803.638999999996</v>
          </cell>
          <cell r="F522" t="str">
            <v>-40995.62</v>
          </cell>
          <cell r="G522" t="str">
            <v>162277.84</v>
          </cell>
          <cell r="I522" t="str">
            <v>S</v>
          </cell>
          <cell r="K522" t="str">
            <v>Rígida</v>
          </cell>
          <cell r="L522" t="str">
            <v>Parafil</v>
          </cell>
          <cell r="Q522">
            <v>3.8</v>
          </cell>
          <cell r="S522" t="str">
            <v>+12</v>
          </cell>
        </row>
        <row r="523">
          <cell r="C523">
            <v>10</v>
          </cell>
          <cell r="F523" t="str">
            <v/>
          </cell>
          <cell r="G523" t="str">
            <v/>
          </cell>
        </row>
        <row r="524">
          <cell r="B524" t="str">
            <v>3707CCA37</v>
          </cell>
          <cell r="D524">
            <v>4090.9</v>
          </cell>
          <cell r="E524">
            <v>30793.638999999996</v>
          </cell>
          <cell r="F524" t="str">
            <v>-41100.88</v>
          </cell>
          <cell r="G524" t="str">
            <v>162316.50</v>
          </cell>
          <cell r="I524" t="str">
            <v>S</v>
          </cell>
          <cell r="K524" t="str">
            <v>Rígida</v>
          </cell>
          <cell r="L524" t="str">
            <v>Parafil</v>
          </cell>
          <cell r="Q524">
            <v>3.8</v>
          </cell>
          <cell r="S524" t="str">
            <v>+4</v>
          </cell>
        </row>
        <row r="525">
          <cell r="C525">
            <v>12</v>
          </cell>
          <cell r="F525" t="str">
            <v/>
          </cell>
          <cell r="G525" t="str">
            <v/>
          </cell>
        </row>
        <row r="526">
          <cell r="B526" t="str">
            <v>3707CCA39</v>
          </cell>
          <cell r="D526">
            <v>4102.8999999999996</v>
          </cell>
          <cell r="E526">
            <v>30781.638999999996</v>
          </cell>
          <cell r="F526" t="str">
            <v>-41088.90</v>
          </cell>
          <cell r="G526" t="str">
            <v>162315.67</v>
          </cell>
          <cell r="I526" t="str">
            <v>S</v>
          </cell>
          <cell r="K526" t="str">
            <v>Rígida</v>
          </cell>
          <cell r="L526" t="str">
            <v>Parafil</v>
          </cell>
          <cell r="Q526">
            <v>3.8</v>
          </cell>
          <cell r="S526">
            <v>-4</v>
          </cell>
        </row>
        <row r="527">
          <cell r="C527">
            <v>12</v>
          </cell>
          <cell r="F527" t="str">
            <v/>
          </cell>
          <cell r="G527" t="str">
            <v/>
          </cell>
        </row>
        <row r="528">
          <cell r="B528" t="str">
            <v>3707CCA41</v>
          </cell>
          <cell r="D528">
            <v>4114.8999999999996</v>
          </cell>
          <cell r="E528">
            <v>30769.638999999996</v>
          </cell>
          <cell r="F528" t="str">
            <v>-41076.97</v>
          </cell>
          <cell r="G528" t="str">
            <v>162314.82</v>
          </cell>
          <cell r="I528" t="str">
            <v>S</v>
          </cell>
          <cell r="K528" t="str">
            <v>Rígida</v>
          </cell>
          <cell r="L528" t="str">
            <v>Parafil</v>
          </cell>
          <cell r="Q528">
            <v>3.8</v>
          </cell>
          <cell r="S528">
            <v>-12</v>
          </cell>
        </row>
        <row r="529">
          <cell r="C529">
            <v>12</v>
          </cell>
          <cell r="F529" t="str">
            <v/>
          </cell>
          <cell r="G529" t="str">
            <v/>
          </cell>
        </row>
        <row r="530">
          <cell r="B530" t="str">
            <v>3707CCA43</v>
          </cell>
          <cell r="D530">
            <v>4126.8999999999996</v>
          </cell>
          <cell r="E530">
            <v>30757.638999999996</v>
          </cell>
          <cell r="F530" t="str">
            <v>-41064.96</v>
          </cell>
          <cell r="G530" t="str">
            <v>162314.00</v>
          </cell>
          <cell r="I530" t="str">
            <v>S</v>
          </cell>
          <cell r="K530" t="str">
            <v>Rígida</v>
          </cell>
          <cell r="L530" t="str">
            <v>Parafil</v>
          </cell>
          <cell r="Q530">
            <v>3.8</v>
          </cell>
          <cell r="S530">
            <v>-20</v>
          </cell>
        </row>
        <row r="531">
          <cell r="C531">
            <v>12</v>
          </cell>
          <cell r="F531" t="str">
            <v/>
          </cell>
          <cell r="G531" t="str">
            <v/>
          </cell>
        </row>
        <row r="532">
          <cell r="B532" t="str">
            <v>3707CCA45</v>
          </cell>
          <cell r="D532">
            <v>4138.8999999999996</v>
          </cell>
          <cell r="E532">
            <v>30745.638999999996</v>
          </cell>
          <cell r="F532" t="str">
            <v>-41052.99</v>
          </cell>
          <cell r="G532" t="str">
            <v>162313.18</v>
          </cell>
          <cell r="I532" t="str">
            <v>S</v>
          </cell>
          <cell r="K532" t="str">
            <v>Rígida</v>
          </cell>
          <cell r="L532" t="str">
            <v>Parafil</v>
          </cell>
          <cell r="Q532">
            <v>3.8</v>
          </cell>
          <cell r="S532">
            <v>-12</v>
          </cell>
        </row>
        <row r="533">
          <cell r="C533">
            <v>12</v>
          </cell>
          <cell r="F533" t="str">
            <v/>
          </cell>
          <cell r="G533" t="str">
            <v/>
          </cell>
        </row>
        <row r="534">
          <cell r="B534" t="str">
            <v>3707CCA47</v>
          </cell>
          <cell r="D534">
            <v>4150.8999999999996</v>
          </cell>
          <cell r="E534">
            <v>30733.638999999996</v>
          </cell>
          <cell r="F534" t="str">
            <v>-41041.02</v>
          </cell>
          <cell r="G534" t="str">
            <v>162312.33</v>
          </cell>
          <cell r="I534" t="str">
            <v>S</v>
          </cell>
          <cell r="K534" t="str">
            <v>Rígida</v>
          </cell>
          <cell r="L534" t="str">
            <v>Parafil</v>
          </cell>
          <cell r="Q534">
            <v>3.8</v>
          </cell>
          <cell r="S534">
            <v>-4</v>
          </cell>
        </row>
        <row r="535">
          <cell r="C535">
            <v>12</v>
          </cell>
          <cell r="F535" t="str">
            <v/>
          </cell>
          <cell r="G535" t="str">
            <v/>
          </cell>
        </row>
        <row r="536">
          <cell r="B536" t="str">
            <v>3707CCA49</v>
          </cell>
          <cell r="D536">
            <v>4162.8999999999996</v>
          </cell>
          <cell r="E536">
            <v>30721.638999999996</v>
          </cell>
          <cell r="F536" t="str">
            <v>-41029.04</v>
          </cell>
          <cell r="G536" t="str">
            <v>162311.50</v>
          </cell>
          <cell r="I536" t="str">
            <v>S</v>
          </cell>
          <cell r="K536" t="str">
            <v>Rígida</v>
          </cell>
          <cell r="L536" t="str">
            <v>C859-A</v>
          </cell>
          <cell r="Q536">
            <v>3.8</v>
          </cell>
          <cell r="S536" t="str">
            <v>+4</v>
          </cell>
        </row>
        <row r="537">
          <cell r="C537">
            <v>12</v>
          </cell>
          <cell r="F537" t="str">
            <v/>
          </cell>
          <cell r="G537" t="str">
            <v/>
          </cell>
        </row>
        <row r="538">
          <cell r="B538" t="str">
            <v>3707CCA51</v>
          </cell>
          <cell r="D538">
            <v>4174.8999999999996</v>
          </cell>
          <cell r="E538">
            <v>30709.638999999996</v>
          </cell>
          <cell r="F538" t="str">
            <v>-41017.08</v>
          </cell>
          <cell r="G538" t="str">
            <v>162311.50</v>
          </cell>
          <cell r="I538" t="str">
            <v>SE</v>
          </cell>
          <cell r="K538" t="str">
            <v>Rígida</v>
          </cell>
          <cell r="L538" t="str">
            <v>C860-A</v>
          </cell>
          <cell r="Q538">
            <v>3.8</v>
          </cell>
          <cell r="S538">
            <v>-12</v>
          </cell>
          <cell r="T538" t="str">
            <v>+12</v>
          </cell>
          <cell r="U538" t="str">
            <v>Cantón 110,6 m</v>
          </cell>
        </row>
        <row r="539">
          <cell r="B539" t="str">
            <v>Inic. Estação Devesas (04+174)</v>
          </cell>
          <cell r="C539">
            <v>6.2000000000007276</v>
          </cell>
          <cell r="U539" t="str">
            <v>Seccionamento</v>
          </cell>
        </row>
        <row r="540">
          <cell r="B540" t="str">
            <v>3708CCA01</v>
          </cell>
          <cell r="D540">
            <v>4181.1000000000004</v>
          </cell>
          <cell r="E540">
            <v>30709.638999999996</v>
          </cell>
          <cell r="F540" t="str">
            <v>-41010.89</v>
          </cell>
          <cell r="G540" t="str">
            <v>162310.24</v>
          </cell>
          <cell r="I540" t="str">
            <v>SE</v>
          </cell>
          <cell r="K540" t="str">
            <v>Rígida</v>
          </cell>
          <cell r="L540" t="str">
            <v>C860-A</v>
          </cell>
          <cell r="Q540">
            <v>3.8</v>
          </cell>
          <cell r="S540">
            <v>-4</v>
          </cell>
          <cell r="T540" t="str">
            <v>+20</v>
          </cell>
          <cell r="U540" t="str">
            <v>Cantón 394,6 m</v>
          </cell>
        </row>
        <row r="541">
          <cell r="C541">
            <v>10.199999999999999</v>
          </cell>
          <cell r="F541" t="str">
            <v/>
          </cell>
          <cell r="G541" t="str">
            <v/>
          </cell>
        </row>
        <row r="542">
          <cell r="B542" t="str">
            <v>3708CCA03</v>
          </cell>
          <cell r="D542">
            <v>4191.3100000000004</v>
          </cell>
          <cell r="E542">
            <v>30709.638999999996</v>
          </cell>
          <cell r="F542" t="str">
            <v>-41000.64</v>
          </cell>
          <cell r="G542" t="str">
            <v>162309.54</v>
          </cell>
          <cell r="I542" t="str">
            <v>S</v>
          </cell>
          <cell r="K542" t="str">
            <v>Rígida</v>
          </cell>
          <cell r="L542" t="str">
            <v>Parafil</v>
          </cell>
          <cell r="Q542">
            <v>3.8</v>
          </cell>
          <cell r="S542" t="str">
            <v>+4</v>
          </cell>
        </row>
        <row r="543">
          <cell r="C543">
            <v>12</v>
          </cell>
          <cell r="F543" t="str">
            <v/>
          </cell>
          <cell r="G543" t="str">
            <v/>
          </cell>
        </row>
        <row r="544">
          <cell r="B544" t="str">
            <v>3708CCA05</v>
          </cell>
          <cell r="D544">
            <v>4203.3100000000004</v>
          </cell>
          <cell r="E544">
            <v>30709.638999999996</v>
          </cell>
          <cell r="F544" t="str">
            <v>-40988.67</v>
          </cell>
          <cell r="G544" t="str">
            <v>162308.71</v>
          </cell>
          <cell r="I544" t="str">
            <v>S</v>
          </cell>
          <cell r="K544" t="str">
            <v>Rígida</v>
          </cell>
          <cell r="L544" t="str">
            <v>Parafil</v>
          </cell>
          <cell r="Q544">
            <v>3.8</v>
          </cell>
          <cell r="S544" t="str">
            <v>+12</v>
          </cell>
        </row>
        <row r="545">
          <cell r="C545">
            <v>12</v>
          </cell>
          <cell r="F545" t="str">
            <v/>
          </cell>
          <cell r="G545" t="str">
            <v/>
          </cell>
        </row>
        <row r="546">
          <cell r="B546" t="str">
            <v>3708CCA07</v>
          </cell>
          <cell r="D546">
            <v>4215.3100000000004</v>
          </cell>
          <cell r="E546">
            <v>30709.638999999996</v>
          </cell>
          <cell r="F546" t="str">
            <v>-40976.69</v>
          </cell>
          <cell r="G546" t="str">
            <v>162307.88</v>
          </cell>
          <cell r="I546" t="str">
            <v>S</v>
          </cell>
          <cell r="K546" t="str">
            <v>Rígida</v>
          </cell>
          <cell r="L546" t="str">
            <v>C859-A</v>
          </cell>
          <cell r="Q546">
            <v>3.8</v>
          </cell>
          <cell r="S546" t="str">
            <v>+20</v>
          </cell>
        </row>
        <row r="547">
          <cell r="C547">
            <v>12</v>
          </cell>
          <cell r="F547" t="str">
            <v/>
          </cell>
          <cell r="G547" t="str">
            <v/>
          </cell>
        </row>
        <row r="548">
          <cell r="B548" t="str">
            <v>3708CCA09</v>
          </cell>
          <cell r="D548">
            <v>4227.3100000000004</v>
          </cell>
          <cell r="E548">
            <v>30709.638999999996</v>
          </cell>
          <cell r="F548" t="str">
            <v>-40964.72</v>
          </cell>
          <cell r="G548" t="str">
            <v>162307.05</v>
          </cell>
          <cell r="I548" t="str">
            <v>S</v>
          </cell>
          <cell r="K548" t="str">
            <v>Rígida</v>
          </cell>
          <cell r="L548" t="str">
            <v>Parafil</v>
          </cell>
          <cell r="Q548">
            <v>3.8</v>
          </cell>
          <cell r="S548" t="str">
            <v>+12</v>
          </cell>
        </row>
        <row r="549">
          <cell r="C549">
            <v>12</v>
          </cell>
          <cell r="F549" t="str">
            <v/>
          </cell>
          <cell r="G549" t="str">
            <v/>
          </cell>
        </row>
        <row r="550">
          <cell r="B550" t="str">
            <v>3708CCA11</v>
          </cell>
          <cell r="D550">
            <v>4239.3100000000004</v>
          </cell>
          <cell r="E550">
            <v>30709.638999999996</v>
          </cell>
          <cell r="F550" t="str">
            <v>-40952.74</v>
          </cell>
          <cell r="G550" t="str">
            <v>162306.20</v>
          </cell>
          <cell r="I550" t="str">
            <v>S</v>
          </cell>
          <cell r="K550" t="str">
            <v>Rígida</v>
          </cell>
          <cell r="L550" t="str">
            <v>Parafil</v>
          </cell>
          <cell r="Q550">
            <v>3.8</v>
          </cell>
          <cell r="S550" t="str">
            <v>+4</v>
          </cell>
        </row>
        <row r="551">
          <cell r="C551">
            <v>12</v>
          </cell>
          <cell r="F551" t="str">
            <v/>
          </cell>
          <cell r="G551" t="str">
            <v/>
          </cell>
        </row>
        <row r="552">
          <cell r="B552" t="str">
            <v>3708CCA13</v>
          </cell>
          <cell r="D552">
            <v>4251.3100000000004</v>
          </cell>
          <cell r="E552">
            <v>30709.638999999996</v>
          </cell>
          <cell r="F552" t="str">
            <v>-40940.77</v>
          </cell>
          <cell r="G552" t="str">
            <v>162305.37</v>
          </cell>
          <cell r="I552" t="str">
            <v>S</v>
          </cell>
          <cell r="K552" t="str">
            <v>Rígida</v>
          </cell>
          <cell r="L552" t="str">
            <v>C859-A</v>
          </cell>
          <cell r="Q552">
            <v>3.8</v>
          </cell>
          <cell r="S552">
            <v>-4</v>
          </cell>
        </row>
        <row r="553">
          <cell r="B553" t="str">
            <v>Fin. Estação Devesas (04+263)</v>
          </cell>
          <cell r="C553">
            <v>12</v>
          </cell>
        </row>
        <row r="554">
          <cell r="B554" t="str">
            <v>3709CCA01</v>
          </cell>
          <cell r="D554">
            <v>4263.3100000000004</v>
          </cell>
          <cell r="E554">
            <v>30709.638999999996</v>
          </cell>
          <cell r="F554" t="str">
            <v>-40928.79</v>
          </cell>
          <cell r="G554" t="str">
            <v>162304.54</v>
          </cell>
          <cell r="I554" t="str">
            <v>S</v>
          </cell>
          <cell r="K554" t="str">
            <v>Rígida</v>
          </cell>
          <cell r="L554" t="str">
            <v>C859-A</v>
          </cell>
          <cell r="Q554">
            <v>3.8</v>
          </cell>
          <cell r="S554">
            <v>-12</v>
          </cell>
        </row>
        <row r="555">
          <cell r="C555">
            <v>12</v>
          </cell>
          <cell r="F555" t="str">
            <v/>
          </cell>
          <cell r="G555" t="str">
            <v/>
          </cell>
        </row>
        <row r="556">
          <cell r="B556" t="str">
            <v>3709CCA03</v>
          </cell>
          <cell r="D556">
            <v>4275.4100000000008</v>
          </cell>
          <cell r="E556">
            <v>30709.638999999996</v>
          </cell>
          <cell r="F556" t="str">
            <v>-40916.81</v>
          </cell>
          <cell r="G556" t="str">
            <v>162303.71</v>
          </cell>
          <cell r="I556" t="str">
            <v>S</v>
          </cell>
          <cell r="K556" t="str">
            <v>Rígida</v>
          </cell>
          <cell r="L556" t="str">
            <v>C859-A</v>
          </cell>
          <cell r="Q556">
            <v>3.8</v>
          </cell>
          <cell r="S556">
            <v>-20</v>
          </cell>
        </row>
        <row r="557">
          <cell r="C557">
            <v>12</v>
          </cell>
          <cell r="F557" t="str">
            <v/>
          </cell>
          <cell r="G557" t="str">
            <v/>
          </cell>
        </row>
        <row r="558">
          <cell r="B558" t="str">
            <v>3709CCA05</v>
          </cell>
          <cell r="D558">
            <v>4287.4100000000008</v>
          </cell>
          <cell r="E558">
            <v>30709.638999999996</v>
          </cell>
          <cell r="F558" t="str">
            <v>-40904.84</v>
          </cell>
          <cell r="G558" t="str">
            <v>162302.87</v>
          </cell>
          <cell r="H558" t="str">
            <v>Clo</v>
          </cell>
          <cell r="I558" t="str">
            <v>S</v>
          </cell>
          <cell r="K558" t="str">
            <v>Rígida</v>
          </cell>
          <cell r="L558" t="str">
            <v>C859-A</v>
          </cell>
          <cell r="Q558">
            <v>3.8</v>
          </cell>
          <cell r="S558">
            <v>-12</v>
          </cell>
        </row>
        <row r="559">
          <cell r="C559">
            <v>12</v>
          </cell>
          <cell r="F559" t="str">
            <v/>
          </cell>
          <cell r="G559" t="str">
            <v/>
          </cell>
        </row>
        <row r="560">
          <cell r="B560" t="str">
            <v>3709CCA07</v>
          </cell>
          <cell r="D560">
            <v>4299.4100000000008</v>
          </cell>
          <cell r="E560">
            <v>30709.638999999996</v>
          </cell>
          <cell r="F560" t="str">
            <v>-40892.86</v>
          </cell>
          <cell r="G560" t="str">
            <v>162302.03</v>
          </cell>
          <cell r="H560" t="str">
            <v>Clo</v>
          </cell>
          <cell r="I560" t="str">
            <v>S</v>
          </cell>
          <cell r="K560" t="str">
            <v>Rígida</v>
          </cell>
          <cell r="L560" t="str">
            <v>C859-A</v>
          </cell>
          <cell r="Q560">
            <v>3.8</v>
          </cell>
          <cell r="S560">
            <v>-4</v>
          </cell>
        </row>
        <row r="561">
          <cell r="C561">
            <v>12</v>
          </cell>
          <cell r="F561" t="str">
            <v/>
          </cell>
          <cell r="G561" t="str">
            <v/>
          </cell>
        </row>
        <row r="562">
          <cell r="B562" t="str">
            <v>3709CCA09</v>
          </cell>
          <cell r="D562">
            <v>4311.4100000000008</v>
          </cell>
          <cell r="E562">
            <v>30709.638999999996</v>
          </cell>
          <cell r="F562" t="str">
            <v>-40880.91</v>
          </cell>
          <cell r="G562" t="str">
            <v>162301.00</v>
          </cell>
          <cell r="H562" t="str">
            <v>Clo</v>
          </cell>
          <cell r="I562" t="str">
            <v>S</v>
          </cell>
          <cell r="K562" t="str">
            <v>Rígida</v>
          </cell>
          <cell r="L562" t="str">
            <v>C859-A</v>
          </cell>
          <cell r="Q562">
            <v>3.8</v>
          </cell>
          <cell r="S562" t="str">
            <v>+4</v>
          </cell>
        </row>
        <row r="563">
          <cell r="C563">
            <v>12</v>
          </cell>
          <cell r="F563" t="str">
            <v/>
          </cell>
          <cell r="G563" t="str">
            <v/>
          </cell>
        </row>
        <row r="564">
          <cell r="B564" t="str">
            <v>3709CCA11</v>
          </cell>
          <cell r="D564">
            <v>4323.4100000000008</v>
          </cell>
          <cell r="E564">
            <v>30709.638999999996</v>
          </cell>
          <cell r="F564" t="str">
            <v>-40869.04</v>
          </cell>
          <cell r="G564" t="str">
            <v>162299.42</v>
          </cell>
          <cell r="H564">
            <v>-150</v>
          </cell>
          <cell r="I564" t="str">
            <v>S</v>
          </cell>
          <cell r="K564" t="str">
            <v>Rígida</v>
          </cell>
          <cell r="L564" t="str">
            <v>C859-A</v>
          </cell>
          <cell r="Q564">
            <v>3.8</v>
          </cell>
          <cell r="S564" t="str">
            <v>+12</v>
          </cell>
        </row>
        <row r="565">
          <cell r="C565">
            <v>12</v>
          </cell>
          <cell r="F565" t="str">
            <v/>
          </cell>
          <cell r="G565" t="str">
            <v/>
          </cell>
        </row>
        <row r="566">
          <cell r="B566" t="str">
            <v>3709CCA13</v>
          </cell>
          <cell r="D566">
            <v>4335.4100000000008</v>
          </cell>
          <cell r="E566">
            <v>30709.638999999996</v>
          </cell>
          <cell r="F566" t="str">
            <v>-40857.30</v>
          </cell>
          <cell r="G566" t="str">
            <v>162296.95</v>
          </cell>
          <cell r="H566">
            <v>-150</v>
          </cell>
          <cell r="I566" t="str">
            <v>S</v>
          </cell>
          <cell r="K566" t="str">
            <v>Rígida</v>
          </cell>
          <cell r="L566" t="str">
            <v>C859-A</v>
          </cell>
          <cell r="Q566">
            <v>3.8</v>
          </cell>
          <cell r="S566" t="str">
            <v>+20</v>
          </cell>
        </row>
        <row r="567">
          <cell r="C567">
            <v>12</v>
          </cell>
          <cell r="F567" t="str">
            <v/>
          </cell>
          <cell r="G567" t="str">
            <v/>
          </cell>
        </row>
        <row r="568">
          <cell r="B568" t="str">
            <v>3709CCA15</v>
          </cell>
          <cell r="D568">
            <v>4347.4100000000008</v>
          </cell>
          <cell r="E568">
            <v>30709.638999999996</v>
          </cell>
          <cell r="F568" t="str">
            <v>-40845.79</v>
          </cell>
          <cell r="G568" t="str">
            <v>162293.56</v>
          </cell>
          <cell r="H568">
            <v>-150</v>
          </cell>
          <cell r="I568" t="str">
            <v>S</v>
          </cell>
          <cell r="K568" t="str">
            <v>Rígida</v>
          </cell>
          <cell r="L568" t="str">
            <v>C859-A</v>
          </cell>
          <cell r="Q568">
            <v>3.8</v>
          </cell>
          <cell r="S568" t="str">
            <v>+12</v>
          </cell>
        </row>
        <row r="569">
          <cell r="C569">
            <v>12</v>
          </cell>
          <cell r="F569" t="str">
            <v/>
          </cell>
          <cell r="G569" t="str">
            <v/>
          </cell>
        </row>
        <row r="570">
          <cell r="B570" t="str">
            <v>3709CCA17</v>
          </cell>
          <cell r="D570">
            <v>4359.4100000000008</v>
          </cell>
          <cell r="E570">
            <v>30709.638999999996</v>
          </cell>
          <cell r="F570" t="str">
            <v>-40834.58</v>
          </cell>
          <cell r="G570" t="str">
            <v>162289.27</v>
          </cell>
          <cell r="H570">
            <v>-150</v>
          </cell>
          <cell r="I570" t="str">
            <v>PF</v>
          </cell>
          <cell r="K570" t="str">
            <v>Rígida</v>
          </cell>
          <cell r="L570" t="str">
            <v>C863-A</v>
          </cell>
          <cell r="Q570">
            <v>3.8</v>
          </cell>
          <cell r="S570" t="str">
            <v>+4</v>
          </cell>
        </row>
        <row r="571">
          <cell r="C571">
            <v>12</v>
          </cell>
          <cell r="F571" t="str">
            <v/>
          </cell>
          <cell r="G571" t="str">
            <v/>
          </cell>
        </row>
        <row r="572">
          <cell r="B572" t="str">
            <v>3709CCA19</v>
          </cell>
          <cell r="D572">
            <v>4371.4100000000008</v>
          </cell>
          <cell r="E572">
            <v>30709.638999999996</v>
          </cell>
          <cell r="F572" t="str">
            <v>-40823.75</v>
          </cell>
          <cell r="G572" t="str">
            <v>162284.11</v>
          </cell>
          <cell r="H572">
            <v>-150</v>
          </cell>
          <cell r="I572" t="str">
            <v>S</v>
          </cell>
          <cell r="K572" t="str">
            <v>Rígida</v>
          </cell>
          <cell r="L572" t="str">
            <v>C859-A</v>
          </cell>
          <cell r="Q572">
            <v>3.8</v>
          </cell>
          <cell r="S572">
            <v>-4</v>
          </cell>
        </row>
        <row r="573">
          <cell r="C573">
            <v>12</v>
          </cell>
          <cell r="F573" t="str">
            <v/>
          </cell>
          <cell r="G573" t="str">
            <v/>
          </cell>
        </row>
        <row r="574">
          <cell r="B574" t="str">
            <v>3709CCA21</v>
          </cell>
          <cell r="D574">
            <v>4383.4100000000008</v>
          </cell>
          <cell r="E574">
            <v>30709.638999999996</v>
          </cell>
          <cell r="F574" t="str">
            <v>-40813.36</v>
          </cell>
          <cell r="G574" t="str">
            <v>162278.11</v>
          </cell>
          <cell r="H574">
            <v>-150</v>
          </cell>
          <cell r="I574" t="str">
            <v>S</v>
          </cell>
          <cell r="K574" t="str">
            <v>Rígida</v>
          </cell>
          <cell r="L574" t="str">
            <v>C859-A</v>
          </cell>
          <cell r="Q574">
            <v>3.8</v>
          </cell>
          <cell r="S574">
            <v>-12</v>
          </cell>
        </row>
        <row r="575">
          <cell r="C575">
            <v>12</v>
          </cell>
          <cell r="F575" t="str">
            <v/>
          </cell>
          <cell r="G575" t="str">
            <v/>
          </cell>
        </row>
        <row r="576">
          <cell r="B576" t="str">
            <v>3709CCA23</v>
          </cell>
          <cell r="D576">
            <v>4395.4100000000008</v>
          </cell>
          <cell r="E576">
            <v>30709.638999999996</v>
          </cell>
          <cell r="F576" t="str">
            <v>-40803.47</v>
          </cell>
          <cell r="G576" t="str">
            <v>162271.30</v>
          </cell>
          <cell r="H576">
            <v>-150</v>
          </cell>
          <cell r="I576" t="str">
            <v>S</v>
          </cell>
          <cell r="K576" t="str">
            <v>Rígida</v>
          </cell>
          <cell r="L576" t="str">
            <v>C859-A</v>
          </cell>
          <cell r="Q576">
            <v>3.8</v>
          </cell>
          <cell r="S576">
            <v>-20</v>
          </cell>
        </row>
        <row r="577">
          <cell r="C577">
            <v>12</v>
          </cell>
          <cell r="F577" t="str">
            <v/>
          </cell>
          <cell r="G577" t="str">
            <v/>
          </cell>
        </row>
        <row r="578">
          <cell r="B578" t="str">
            <v>3709CCA25</v>
          </cell>
          <cell r="D578">
            <v>4407.4100000000008</v>
          </cell>
          <cell r="E578">
            <v>30709.638999999996</v>
          </cell>
          <cell r="F578" t="str">
            <v>-40794.16</v>
          </cell>
          <cell r="G578" t="str">
            <v>162263.73</v>
          </cell>
          <cell r="H578">
            <v>-150</v>
          </cell>
          <cell r="I578" t="str">
            <v>S</v>
          </cell>
          <cell r="K578" t="str">
            <v>Rígida</v>
          </cell>
          <cell r="L578" t="str">
            <v>C859-A</v>
          </cell>
          <cell r="Q578">
            <v>3.8</v>
          </cell>
          <cell r="S578">
            <v>-12</v>
          </cell>
        </row>
        <row r="579">
          <cell r="C579">
            <v>12</v>
          </cell>
          <cell r="F579" t="str">
            <v/>
          </cell>
          <cell r="G579" t="str">
            <v/>
          </cell>
        </row>
        <row r="580">
          <cell r="B580" t="str">
            <v>3709CCA27</v>
          </cell>
          <cell r="D580">
            <v>4419.4100000000008</v>
          </cell>
          <cell r="E580">
            <v>30709.638999999996</v>
          </cell>
          <cell r="F580" t="str">
            <v>-40785.47</v>
          </cell>
          <cell r="G580" t="str">
            <v>162255.45</v>
          </cell>
          <cell r="H580">
            <v>-150</v>
          </cell>
          <cell r="I580" t="str">
            <v>S</v>
          </cell>
          <cell r="K580" t="str">
            <v>Rígida</v>
          </cell>
          <cell r="L580" t="str">
            <v>C859-A</v>
          </cell>
          <cell r="Q580">
            <v>3.8</v>
          </cell>
          <cell r="S580">
            <v>-4</v>
          </cell>
        </row>
        <row r="581">
          <cell r="C581">
            <v>12</v>
          </cell>
          <cell r="F581" t="str">
            <v/>
          </cell>
          <cell r="G581" t="str">
            <v/>
          </cell>
        </row>
        <row r="582">
          <cell r="B582" t="str">
            <v>3709CCA29</v>
          </cell>
          <cell r="D582">
            <v>4431.4100000000008</v>
          </cell>
          <cell r="E582">
            <v>30709.638999999996</v>
          </cell>
          <cell r="F582" t="str">
            <v>-40777.47</v>
          </cell>
          <cell r="G582" t="str">
            <v>162246.51</v>
          </cell>
          <cell r="H582" t="str">
            <v>Clo</v>
          </cell>
          <cell r="I582" t="str">
            <v>S</v>
          </cell>
          <cell r="K582" t="str">
            <v>Rígida</v>
          </cell>
          <cell r="L582" t="str">
            <v>C859-A</v>
          </cell>
          <cell r="Q582">
            <v>3.8</v>
          </cell>
          <cell r="S582" t="str">
            <v>+4</v>
          </cell>
        </row>
        <row r="583">
          <cell r="C583">
            <v>12</v>
          </cell>
          <cell r="F583" t="str">
            <v/>
          </cell>
          <cell r="G583" t="str">
            <v/>
          </cell>
        </row>
        <row r="584">
          <cell r="B584" t="str">
            <v>3709CCA31</v>
          </cell>
          <cell r="D584">
            <v>4443.4100000000008</v>
          </cell>
          <cell r="E584">
            <v>30709.638999999996</v>
          </cell>
          <cell r="F584" t="str">
            <v>-40770.20</v>
          </cell>
          <cell r="G584" t="str">
            <v>162236.97</v>
          </cell>
          <cell r="H584" t="str">
            <v>Clo</v>
          </cell>
          <cell r="I584" t="str">
            <v>S</v>
          </cell>
          <cell r="K584" t="str">
            <v>Rígida</v>
          </cell>
          <cell r="L584" t="str">
            <v>C859-A</v>
          </cell>
          <cell r="Q584">
            <v>3.8</v>
          </cell>
          <cell r="S584" t="str">
            <v>+12</v>
          </cell>
        </row>
        <row r="585">
          <cell r="C585">
            <v>12</v>
          </cell>
          <cell r="F585" t="str">
            <v/>
          </cell>
          <cell r="G585" t="str">
            <v/>
          </cell>
        </row>
        <row r="586">
          <cell r="B586" t="str">
            <v>3709CCA33</v>
          </cell>
          <cell r="D586">
            <v>4455.4100000000008</v>
          </cell>
          <cell r="E586">
            <v>30709.638999999996</v>
          </cell>
          <cell r="F586" t="str">
            <v>-40763.68</v>
          </cell>
          <cell r="G586" t="str">
            <v>162226.84</v>
          </cell>
          <cell r="H586" t="str">
            <v>Clo</v>
          </cell>
          <cell r="I586" t="str">
            <v>S</v>
          </cell>
          <cell r="K586" t="str">
            <v>Rígida</v>
          </cell>
          <cell r="L586" t="str">
            <v>C859-A</v>
          </cell>
          <cell r="Q586">
            <v>3.8</v>
          </cell>
          <cell r="S586" t="str">
            <v>+20</v>
          </cell>
        </row>
        <row r="587">
          <cell r="C587">
            <v>12</v>
          </cell>
          <cell r="F587" t="str">
            <v/>
          </cell>
          <cell r="G587" t="str">
            <v/>
          </cell>
        </row>
        <row r="588">
          <cell r="B588" t="str">
            <v>3709CCA35</v>
          </cell>
          <cell r="D588">
            <v>4467.4100000000008</v>
          </cell>
          <cell r="E588">
            <v>30709.638999999996</v>
          </cell>
          <cell r="F588" t="str">
            <v>-40757.75</v>
          </cell>
          <cell r="G588" t="str">
            <v>162216.41</v>
          </cell>
          <cell r="I588" t="str">
            <v>S</v>
          </cell>
          <cell r="K588" t="str">
            <v>Rígida</v>
          </cell>
          <cell r="L588" t="str">
            <v>C859-A</v>
          </cell>
          <cell r="Q588">
            <v>3.8</v>
          </cell>
          <cell r="S588" t="str">
            <v>+12</v>
          </cell>
        </row>
        <row r="589">
          <cell r="C589">
            <v>12</v>
          </cell>
          <cell r="F589" t="str">
            <v/>
          </cell>
          <cell r="G589" t="str">
            <v/>
          </cell>
        </row>
        <row r="590">
          <cell r="B590" t="str">
            <v>3709CCA37</v>
          </cell>
          <cell r="D590">
            <v>4479.4100000000008</v>
          </cell>
          <cell r="E590">
            <v>30709.638999999996</v>
          </cell>
          <cell r="F590" t="str">
            <v>-40752.08</v>
          </cell>
          <cell r="G590" t="str">
            <v>162205.85</v>
          </cell>
          <cell r="I590" t="str">
            <v>S</v>
          </cell>
          <cell r="K590" t="str">
            <v>Rígida</v>
          </cell>
          <cell r="L590" t="str">
            <v>C859-A</v>
          </cell>
          <cell r="Q590">
            <v>3.8</v>
          </cell>
          <cell r="S590" t="str">
            <v>+4</v>
          </cell>
        </row>
        <row r="591">
          <cell r="C591">
            <v>12</v>
          </cell>
          <cell r="F591" t="str">
            <v/>
          </cell>
          <cell r="G591" t="str">
            <v/>
          </cell>
        </row>
        <row r="592">
          <cell r="B592" t="str">
            <v>3709CCA39</v>
          </cell>
          <cell r="D592">
            <v>4491.4100000000008</v>
          </cell>
          <cell r="E592">
            <v>30709.638999999996</v>
          </cell>
          <cell r="F592" t="str">
            <v>-40746.43</v>
          </cell>
          <cell r="G592" t="str">
            <v>162195.26</v>
          </cell>
          <cell r="I592" t="str">
            <v>S</v>
          </cell>
          <cell r="K592" t="str">
            <v>Rígida</v>
          </cell>
          <cell r="L592" t="str">
            <v>C859-A</v>
          </cell>
          <cell r="Q592">
            <v>3.8</v>
          </cell>
          <cell r="S592">
            <v>-4</v>
          </cell>
        </row>
        <row r="593">
          <cell r="C593">
            <v>12</v>
          </cell>
          <cell r="F593" t="str">
            <v/>
          </cell>
          <cell r="G593" t="str">
            <v/>
          </cell>
        </row>
        <row r="594">
          <cell r="B594" t="str">
            <v>3709CCA41</v>
          </cell>
          <cell r="D594">
            <v>4503.4100000000008</v>
          </cell>
          <cell r="E594">
            <v>30709.638999999996</v>
          </cell>
          <cell r="F594" t="str">
            <v>-40740.78</v>
          </cell>
          <cell r="G594" t="str">
            <v>162184.67</v>
          </cell>
          <cell r="I594" t="str">
            <v>S</v>
          </cell>
          <cell r="K594" t="str">
            <v>Rígida</v>
          </cell>
          <cell r="L594" t="str">
            <v>C859-A</v>
          </cell>
          <cell r="Q594">
            <v>3.8</v>
          </cell>
          <cell r="S594">
            <v>-12</v>
          </cell>
        </row>
        <row r="595">
          <cell r="C595">
            <v>12</v>
          </cell>
          <cell r="F595" t="str">
            <v/>
          </cell>
          <cell r="G595" t="str">
            <v/>
          </cell>
        </row>
        <row r="596">
          <cell r="B596" t="str">
            <v>3709CCA43</v>
          </cell>
          <cell r="D596">
            <v>4515.4100000000008</v>
          </cell>
          <cell r="E596">
            <v>30709.638999999996</v>
          </cell>
          <cell r="F596" t="str">
            <v>-40735.13</v>
          </cell>
          <cell r="G596" t="str">
            <v>162174.08</v>
          </cell>
          <cell r="I596" t="str">
            <v>S</v>
          </cell>
          <cell r="K596" t="str">
            <v>Rígida</v>
          </cell>
          <cell r="L596" t="str">
            <v>C859-A</v>
          </cell>
          <cell r="Q596">
            <v>3.8</v>
          </cell>
          <cell r="S596">
            <v>-20</v>
          </cell>
        </row>
        <row r="597">
          <cell r="C597">
            <v>12</v>
          </cell>
          <cell r="F597" t="str">
            <v/>
          </cell>
          <cell r="G597" t="str">
            <v/>
          </cell>
        </row>
        <row r="598">
          <cell r="B598" t="str">
            <v>3709CCA45</v>
          </cell>
          <cell r="D598">
            <v>4527.4100000000008</v>
          </cell>
          <cell r="E598">
            <v>30709.638999999996</v>
          </cell>
          <cell r="F598" t="str">
            <v>-40729.48</v>
          </cell>
          <cell r="G598" t="str">
            <v>162163.50</v>
          </cell>
          <cell r="I598" t="str">
            <v>S</v>
          </cell>
          <cell r="K598" t="str">
            <v>Rígida</v>
          </cell>
          <cell r="L598" t="str">
            <v>C859-A</v>
          </cell>
          <cell r="Q598">
            <v>3.8</v>
          </cell>
          <cell r="S598">
            <v>-12</v>
          </cell>
        </row>
        <row r="599">
          <cell r="C599">
            <v>12</v>
          </cell>
          <cell r="F599" t="str">
            <v/>
          </cell>
          <cell r="G599" t="str">
            <v/>
          </cell>
        </row>
        <row r="600">
          <cell r="B600" t="str">
            <v>3709CCA47</v>
          </cell>
          <cell r="D600">
            <v>4539.4100000000008</v>
          </cell>
          <cell r="E600">
            <v>30709.638999999996</v>
          </cell>
          <cell r="F600" t="str">
            <v>-40723.83</v>
          </cell>
          <cell r="G600" t="str">
            <v>162152.91</v>
          </cell>
          <cell r="I600" t="str">
            <v>S</v>
          </cell>
          <cell r="K600" t="str">
            <v>Rígida</v>
          </cell>
          <cell r="L600" t="str">
            <v>C859-A</v>
          </cell>
          <cell r="Q600">
            <v>3.8</v>
          </cell>
          <cell r="S600">
            <v>-4</v>
          </cell>
        </row>
        <row r="601">
          <cell r="C601">
            <v>12</v>
          </cell>
          <cell r="F601" t="str">
            <v/>
          </cell>
          <cell r="G601" t="str">
            <v/>
          </cell>
        </row>
        <row r="602">
          <cell r="B602" t="str">
            <v>3709CCA49</v>
          </cell>
          <cell r="D602">
            <v>4551.4100000000008</v>
          </cell>
          <cell r="E602">
            <v>30709.638999999996</v>
          </cell>
          <cell r="F602" t="str">
            <v>-40718.18</v>
          </cell>
          <cell r="G602" t="str">
            <v>162142.32</v>
          </cell>
          <cell r="I602" t="str">
            <v>S</v>
          </cell>
          <cell r="K602" t="str">
            <v>Rígida</v>
          </cell>
          <cell r="L602" t="str">
            <v>C859-A</v>
          </cell>
          <cell r="Q602">
            <v>3.8</v>
          </cell>
          <cell r="S602" t="str">
            <v>+4</v>
          </cell>
        </row>
        <row r="603">
          <cell r="C603">
            <v>12</v>
          </cell>
        </row>
        <row r="604">
          <cell r="B604" t="str">
            <v>3709CCA51</v>
          </cell>
          <cell r="D604">
            <v>4563.4100000000008</v>
          </cell>
          <cell r="E604">
            <v>30697.638999999996</v>
          </cell>
          <cell r="F604" t="str">
            <v>-40712.70</v>
          </cell>
          <cell r="G604" t="str">
            <v>162131.92</v>
          </cell>
          <cell r="I604" t="str">
            <v>SE</v>
          </cell>
          <cell r="K604" t="str">
            <v>Rígida</v>
          </cell>
          <cell r="L604" t="str">
            <v>C860-A</v>
          </cell>
          <cell r="Q604">
            <v>3.8</v>
          </cell>
          <cell r="S604">
            <v>-20</v>
          </cell>
          <cell r="T604" t="str">
            <v>+12</v>
          </cell>
          <cell r="U604" t="str">
            <v>Cantón 394,6 m</v>
          </cell>
        </row>
        <row r="605">
          <cell r="C605">
            <v>6.2</v>
          </cell>
          <cell r="F605" t="str">
            <v/>
          </cell>
          <cell r="G605" t="str">
            <v/>
          </cell>
          <cell r="U605" t="str">
            <v>Seccionamento</v>
          </cell>
        </row>
        <row r="606">
          <cell r="B606" t="str">
            <v>3709CCA53</v>
          </cell>
          <cell r="D606">
            <v>4569.6100000000006</v>
          </cell>
          <cell r="E606">
            <v>30691.438999999995</v>
          </cell>
          <cell r="F606" t="str">
            <v>-40709.76</v>
          </cell>
          <cell r="G606" t="str">
            <v>162126.45</v>
          </cell>
          <cell r="I606" t="str">
            <v>SE</v>
          </cell>
          <cell r="K606" t="str">
            <v>Rígida</v>
          </cell>
          <cell r="L606" t="str">
            <v>C860-A</v>
          </cell>
          <cell r="Q606">
            <v>3.8</v>
          </cell>
          <cell r="S606">
            <v>-12</v>
          </cell>
          <cell r="T606" t="str">
            <v>+20</v>
          </cell>
          <cell r="U606" t="str">
            <v>Cantón 396,4 m</v>
          </cell>
        </row>
        <row r="607">
          <cell r="C607">
            <v>12</v>
          </cell>
          <cell r="F607" t="str">
            <v/>
          </cell>
          <cell r="G607" t="str">
            <v/>
          </cell>
        </row>
        <row r="608">
          <cell r="B608" t="str">
            <v>3709CCA55</v>
          </cell>
          <cell r="D608">
            <v>4581.6100000000006</v>
          </cell>
          <cell r="E608">
            <v>30679.438999999995</v>
          </cell>
          <cell r="F608" t="str">
            <v>-40703.96</v>
          </cell>
          <cell r="G608" t="str">
            <v>162115.64</v>
          </cell>
          <cell r="I608" t="str">
            <v>S</v>
          </cell>
          <cell r="K608" t="str">
            <v>Rígida</v>
          </cell>
          <cell r="L608" t="str">
            <v>C859-A</v>
          </cell>
          <cell r="Q608">
            <v>3.8</v>
          </cell>
          <cell r="S608">
            <v>-4</v>
          </cell>
        </row>
        <row r="609">
          <cell r="C609">
            <v>12</v>
          </cell>
          <cell r="F609" t="str">
            <v/>
          </cell>
          <cell r="G609" t="str">
            <v/>
          </cell>
        </row>
        <row r="610">
          <cell r="B610" t="str">
            <v>3709CCA57</v>
          </cell>
          <cell r="D610">
            <v>4593.6100000000006</v>
          </cell>
          <cell r="E610">
            <v>30667.438999999995</v>
          </cell>
          <cell r="F610" t="str">
            <v>-40698.29</v>
          </cell>
          <cell r="G610" t="str">
            <v>162105.06</v>
          </cell>
          <cell r="I610" t="str">
            <v>S</v>
          </cell>
          <cell r="K610" t="str">
            <v>Rígida</v>
          </cell>
          <cell r="L610" t="str">
            <v>C859-A</v>
          </cell>
          <cell r="Q610">
            <v>3.8</v>
          </cell>
          <cell r="S610" t="str">
            <v>+4</v>
          </cell>
        </row>
        <row r="611">
          <cell r="C611">
            <v>12</v>
          </cell>
          <cell r="F611" t="str">
            <v/>
          </cell>
          <cell r="G611" t="str">
            <v/>
          </cell>
        </row>
        <row r="612">
          <cell r="B612" t="str">
            <v>3709CCA59</v>
          </cell>
          <cell r="D612">
            <v>4605.6100000000006</v>
          </cell>
          <cell r="E612">
            <v>30655.438999999995</v>
          </cell>
          <cell r="F612" t="str">
            <v>-40692.66</v>
          </cell>
          <cell r="G612" t="str">
            <v>162094.48</v>
          </cell>
          <cell r="I612" t="str">
            <v>S</v>
          </cell>
          <cell r="K612" t="str">
            <v>Rígida</v>
          </cell>
          <cell r="L612" t="str">
            <v>C859-A</v>
          </cell>
          <cell r="Q612">
            <v>3.8</v>
          </cell>
          <cell r="S612" t="str">
            <v>+12</v>
          </cell>
        </row>
        <row r="613">
          <cell r="C613">
            <v>12</v>
          </cell>
          <cell r="F613" t="str">
            <v/>
          </cell>
          <cell r="G613" t="str">
            <v/>
          </cell>
        </row>
        <row r="614">
          <cell r="B614" t="str">
            <v>3709CCA61</v>
          </cell>
          <cell r="D614">
            <v>4617.6100000000006</v>
          </cell>
          <cell r="E614">
            <v>30643.438999999995</v>
          </cell>
          <cell r="F614" t="str">
            <v>-40687.01</v>
          </cell>
          <cell r="G614" t="str">
            <v>162083.89</v>
          </cell>
          <cell r="I614" t="str">
            <v>S</v>
          </cell>
          <cell r="K614" t="str">
            <v>Rígida</v>
          </cell>
          <cell r="L614" t="str">
            <v>C859-A</v>
          </cell>
          <cell r="Q614">
            <v>3.8</v>
          </cell>
          <cell r="S614" t="str">
            <v>+20</v>
          </cell>
        </row>
        <row r="615">
          <cell r="C615">
            <v>12</v>
          </cell>
          <cell r="F615" t="str">
            <v/>
          </cell>
          <cell r="G615" t="str">
            <v/>
          </cell>
        </row>
        <row r="616">
          <cell r="B616" t="str">
            <v>3709CCA63</v>
          </cell>
          <cell r="D616">
            <v>4629.6100000000006</v>
          </cell>
          <cell r="E616">
            <v>30631.438999999995</v>
          </cell>
          <cell r="F616" t="str">
            <v>-40681.37</v>
          </cell>
          <cell r="G616" t="str">
            <v>162073.30</v>
          </cell>
          <cell r="I616" t="str">
            <v>S</v>
          </cell>
          <cell r="K616" t="str">
            <v>Rígida</v>
          </cell>
          <cell r="L616" t="str">
            <v>C859-A</v>
          </cell>
          <cell r="Q616">
            <v>3.8</v>
          </cell>
          <cell r="S616" t="str">
            <v>+12</v>
          </cell>
        </row>
        <row r="617">
          <cell r="C617">
            <v>12</v>
          </cell>
          <cell r="F617" t="str">
            <v/>
          </cell>
          <cell r="G617" t="str">
            <v/>
          </cell>
        </row>
        <row r="618">
          <cell r="B618" t="str">
            <v>3709CCA65</v>
          </cell>
          <cell r="D618">
            <v>4641.6100000000006</v>
          </cell>
          <cell r="E618">
            <v>30619.438999999995</v>
          </cell>
          <cell r="F618" t="str">
            <v>-40675.72</v>
          </cell>
          <cell r="G618" t="str">
            <v>162062.72</v>
          </cell>
          <cell r="I618" t="str">
            <v>S</v>
          </cell>
          <cell r="K618" t="str">
            <v>Rígida</v>
          </cell>
          <cell r="L618" t="str">
            <v>C859-A</v>
          </cell>
          <cell r="Q618">
            <v>3.8</v>
          </cell>
          <cell r="S618" t="str">
            <v>+4</v>
          </cell>
        </row>
        <row r="619">
          <cell r="C619">
            <v>12</v>
          </cell>
          <cell r="F619" t="str">
            <v/>
          </cell>
          <cell r="G619" t="str">
            <v/>
          </cell>
        </row>
        <row r="620">
          <cell r="B620" t="str">
            <v>3709CCA67</v>
          </cell>
          <cell r="D620">
            <v>4653.6100000000006</v>
          </cell>
          <cell r="E620">
            <v>30607.438999999995</v>
          </cell>
          <cell r="F620" t="str">
            <v>-40670.07</v>
          </cell>
          <cell r="G620" t="str">
            <v>162052.13</v>
          </cell>
          <cell r="I620" t="str">
            <v>S</v>
          </cell>
          <cell r="K620" t="str">
            <v>Rígida</v>
          </cell>
          <cell r="L620" t="str">
            <v>C859-A</v>
          </cell>
          <cell r="Q620">
            <v>3.8</v>
          </cell>
          <cell r="S620">
            <v>-4</v>
          </cell>
        </row>
        <row r="621">
          <cell r="C621">
            <v>12</v>
          </cell>
          <cell r="F621" t="str">
            <v/>
          </cell>
          <cell r="G621" t="str">
            <v/>
          </cell>
        </row>
        <row r="622">
          <cell r="B622" t="str">
            <v>3709CCA69</v>
          </cell>
          <cell r="D622">
            <v>4665.6100000000006</v>
          </cell>
          <cell r="E622">
            <v>30595.438999999995</v>
          </cell>
          <cell r="F622" t="str">
            <v>-40664.42</v>
          </cell>
          <cell r="G622" t="str">
            <v>162041.54</v>
          </cell>
          <cell r="I622" t="str">
            <v>S</v>
          </cell>
          <cell r="K622" t="str">
            <v>Rígida</v>
          </cell>
          <cell r="L622" t="str">
            <v>C859-A</v>
          </cell>
          <cell r="Q622">
            <v>3.8</v>
          </cell>
          <cell r="S622">
            <v>-12</v>
          </cell>
        </row>
        <row r="623">
          <cell r="C623">
            <v>12</v>
          </cell>
          <cell r="F623" t="str">
            <v/>
          </cell>
          <cell r="G623" t="str">
            <v/>
          </cell>
        </row>
        <row r="624">
          <cell r="B624" t="str">
            <v>3709CCA71</v>
          </cell>
          <cell r="D624">
            <v>4677.6100000000006</v>
          </cell>
          <cell r="E624">
            <v>30583.438999999995</v>
          </cell>
          <cell r="F624" t="str">
            <v>-40658.77</v>
          </cell>
          <cell r="G624" t="str">
            <v>162030.96</v>
          </cell>
          <cell r="I624" t="str">
            <v>S</v>
          </cell>
          <cell r="K624" t="str">
            <v>Rígida</v>
          </cell>
          <cell r="L624" t="str">
            <v>C859-A</v>
          </cell>
          <cell r="Q624">
            <v>3.8</v>
          </cell>
          <cell r="S624">
            <v>-20</v>
          </cell>
        </row>
        <row r="625">
          <cell r="C625">
            <v>12</v>
          </cell>
          <cell r="F625" t="str">
            <v/>
          </cell>
          <cell r="G625" t="str">
            <v/>
          </cell>
        </row>
        <row r="626">
          <cell r="B626" t="str">
            <v>3709CCA73</v>
          </cell>
          <cell r="D626">
            <v>4689.6100000000006</v>
          </cell>
          <cell r="E626">
            <v>30571.438999999995</v>
          </cell>
          <cell r="F626" t="str">
            <v>-40653.12</v>
          </cell>
          <cell r="G626" t="str">
            <v>162020.37</v>
          </cell>
          <cell r="I626" t="str">
            <v>S</v>
          </cell>
          <cell r="K626" t="str">
            <v>Rígida</v>
          </cell>
          <cell r="L626" t="str">
            <v>C859-A</v>
          </cell>
          <cell r="Q626">
            <v>3.8</v>
          </cell>
          <cell r="S626">
            <v>-12</v>
          </cell>
        </row>
        <row r="627">
          <cell r="C627">
            <v>12</v>
          </cell>
          <cell r="F627" t="str">
            <v/>
          </cell>
          <cell r="G627" t="str">
            <v/>
          </cell>
        </row>
        <row r="628">
          <cell r="B628" t="str">
            <v>3709CCA75</v>
          </cell>
          <cell r="D628">
            <v>4701.6100000000006</v>
          </cell>
          <cell r="E628">
            <v>30559.438999999995</v>
          </cell>
          <cell r="F628" t="str">
            <v>-40647.47</v>
          </cell>
          <cell r="G628" t="str">
            <v>162009.78</v>
          </cell>
          <cell r="I628" t="str">
            <v>S</v>
          </cell>
          <cell r="K628" t="str">
            <v>Rígida</v>
          </cell>
          <cell r="L628" t="str">
            <v>C859-A</v>
          </cell>
          <cell r="Q628">
            <v>3.8</v>
          </cell>
          <cell r="S628">
            <v>-4</v>
          </cell>
        </row>
        <row r="629">
          <cell r="C629">
            <v>12</v>
          </cell>
          <cell r="F629" t="str">
            <v/>
          </cell>
          <cell r="G629" t="str">
            <v/>
          </cell>
        </row>
        <row r="630">
          <cell r="B630" t="str">
            <v>3709CCA77</v>
          </cell>
          <cell r="D630">
            <v>4713.6100000000006</v>
          </cell>
          <cell r="E630">
            <v>30547.438999999995</v>
          </cell>
          <cell r="F630" t="str">
            <v>-40641.82</v>
          </cell>
          <cell r="G630" t="str">
            <v>161999.20</v>
          </cell>
          <cell r="I630" t="str">
            <v>S</v>
          </cell>
          <cell r="K630" t="str">
            <v>Rígida</v>
          </cell>
          <cell r="L630" t="str">
            <v>C859-A</v>
          </cell>
          <cell r="Q630">
            <v>3.8</v>
          </cell>
          <cell r="S630" t="str">
            <v>+4</v>
          </cell>
        </row>
        <row r="631">
          <cell r="C631">
            <v>12</v>
          </cell>
          <cell r="F631" t="str">
            <v/>
          </cell>
          <cell r="G631" t="str">
            <v/>
          </cell>
        </row>
        <row r="632">
          <cell r="B632" t="str">
            <v>3709CCA79</v>
          </cell>
          <cell r="D632">
            <v>4725.6100000000006</v>
          </cell>
          <cell r="E632">
            <v>30535.438999999995</v>
          </cell>
          <cell r="F632" t="str">
            <v>-40636.17</v>
          </cell>
          <cell r="G632" t="str">
            <v>161988.61</v>
          </cell>
          <cell r="I632" t="str">
            <v>S</v>
          </cell>
          <cell r="K632" t="str">
            <v>Rígida</v>
          </cell>
          <cell r="L632" t="str">
            <v>C859-A</v>
          </cell>
          <cell r="Q632">
            <v>3.8</v>
          </cell>
          <cell r="S632" t="str">
            <v>+12</v>
          </cell>
        </row>
        <row r="633">
          <cell r="C633">
            <v>12</v>
          </cell>
          <cell r="F633" t="str">
            <v/>
          </cell>
          <cell r="G633" t="str">
            <v/>
          </cell>
        </row>
        <row r="634">
          <cell r="B634" t="str">
            <v>3709CCA81</v>
          </cell>
          <cell r="D634">
            <v>4737.6100000000006</v>
          </cell>
          <cell r="E634">
            <v>30523.438999999995</v>
          </cell>
          <cell r="F634" t="str">
            <v>-40630.52</v>
          </cell>
          <cell r="G634" t="str">
            <v>161978.02</v>
          </cell>
          <cell r="I634" t="str">
            <v>S</v>
          </cell>
          <cell r="K634" t="str">
            <v>Rígida</v>
          </cell>
          <cell r="L634" t="str">
            <v>C859-A</v>
          </cell>
          <cell r="Q634">
            <v>3.8</v>
          </cell>
          <cell r="S634" t="str">
            <v>+20</v>
          </cell>
        </row>
        <row r="635">
          <cell r="C635">
            <v>12</v>
          </cell>
          <cell r="F635" t="str">
            <v/>
          </cell>
          <cell r="G635" t="str">
            <v/>
          </cell>
        </row>
        <row r="636">
          <cell r="B636" t="str">
            <v>3709CCA83</v>
          </cell>
          <cell r="D636">
            <v>4749.6100000000006</v>
          </cell>
          <cell r="E636">
            <v>30511.438999999995</v>
          </cell>
          <cell r="F636" t="str">
            <v>-40624.87</v>
          </cell>
          <cell r="G636" t="str">
            <v>161967.44</v>
          </cell>
          <cell r="I636" t="str">
            <v>S</v>
          </cell>
          <cell r="K636" t="str">
            <v>Rígida</v>
          </cell>
          <cell r="L636" t="str">
            <v>C859-A</v>
          </cell>
          <cell r="Q636">
            <v>3.8</v>
          </cell>
          <cell r="S636" t="str">
            <v>+12</v>
          </cell>
        </row>
        <row r="637">
          <cell r="C637">
            <v>12</v>
          </cell>
          <cell r="F637" t="str">
            <v/>
          </cell>
          <cell r="G637" t="str">
            <v/>
          </cell>
        </row>
        <row r="638">
          <cell r="B638" t="str">
            <v>3709CCA85</v>
          </cell>
          <cell r="D638">
            <v>4761.6100000000006</v>
          </cell>
          <cell r="E638">
            <v>30499.438999999995</v>
          </cell>
          <cell r="F638" t="str">
            <v>-40619.22</v>
          </cell>
          <cell r="G638" t="str">
            <v>161956.85</v>
          </cell>
          <cell r="I638" t="str">
            <v>PF</v>
          </cell>
          <cell r="K638" t="str">
            <v>Rígida</v>
          </cell>
          <cell r="L638" t="str">
            <v>C863-A</v>
          </cell>
          <cell r="Q638">
            <v>3.8</v>
          </cell>
          <cell r="S638" t="str">
            <v>+4</v>
          </cell>
        </row>
        <row r="639">
          <cell r="C639">
            <v>12</v>
          </cell>
          <cell r="F639" t="str">
            <v/>
          </cell>
          <cell r="G639" t="str">
            <v/>
          </cell>
        </row>
        <row r="640">
          <cell r="B640" t="str">
            <v>3709CCA87</v>
          </cell>
          <cell r="D640">
            <v>4773.6100000000006</v>
          </cell>
          <cell r="E640">
            <v>30487.438999999995</v>
          </cell>
          <cell r="F640" t="str">
            <v>-40613.57</v>
          </cell>
          <cell r="G640" t="str">
            <v>161946.26</v>
          </cell>
          <cell r="I640" t="str">
            <v>S</v>
          </cell>
          <cell r="K640" t="str">
            <v>Rígida</v>
          </cell>
          <cell r="L640" t="str">
            <v>C859-A</v>
          </cell>
          <cell r="Q640">
            <v>3.8</v>
          </cell>
          <cell r="S640">
            <v>-4</v>
          </cell>
        </row>
        <row r="641">
          <cell r="C641">
            <v>12</v>
          </cell>
          <cell r="F641" t="str">
            <v/>
          </cell>
          <cell r="G641" t="str">
            <v/>
          </cell>
        </row>
        <row r="642">
          <cell r="B642" t="str">
            <v>3709CCA89</v>
          </cell>
          <cell r="D642">
            <v>4785.6100000000006</v>
          </cell>
          <cell r="E642">
            <v>30475.438999999995</v>
          </cell>
          <cell r="F642" t="str">
            <v>-40607.92</v>
          </cell>
          <cell r="G642" t="str">
            <v>161935.68</v>
          </cell>
          <cell r="I642" t="str">
            <v>S</v>
          </cell>
          <cell r="K642" t="str">
            <v>Rígida</v>
          </cell>
          <cell r="L642" t="str">
            <v>C859-A</v>
          </cell>
          <cell r="Q642">
            <v>3.8</v>
          </cell>
          <cell r="S642">
            <v>-12</v>
          </cell>
        </row>
        <row r="643">
          <cell r="C643">
            <v>12</v>
          </cell>
          <cell r="F643" t="str">
            <v/>
          </cell>
          <cell r="G643" t="str">
            <v/>
          </cell>
        </row>
        <row r="644">
          <cell r="B644" t="str">
            <v>3709CCA91</v>
          </cell>
          <cell r="D644">
            <v>4797.6100000000006</v>
          </cell>
          <cell r="E644">
            <v>30463.438999999995</v>
          </cell>
          <cell r="F644" t="str">
            <v>-40602.27</v>
          </cell>
          <cell r="G644" t="str">
            <v>161925.09</v>
          </cell>
          <cell r="I644" t="str">
            <v>S</v>
          </cell>
          <cell r="K644" t="str">
            <v>Rígida</v>
          </cell>
          <cell r="L644" t="str">
            <v>C859-A</v>
          </cell>
          <cell r="Q644">
            <v>3.8</v>
          </cell>
          <cell r="S644">
            <v>-20</v>
          </cell>
        </row>
        <row r="645">
          <cell r="C645">
            <v>12</v>
          </cell>
          <cell r="F645" t="str">
            <v/>
          </cell>
          <cell r="G645" t="str">
            <v/>
          </cell>
        </row>
        <row r="646">
          <cell r="B646" t="str">
            <v>3709CCA93</v>
          </cell>
          <cell r="D646">
            <v>4809.6100000000006</v>
          </cell>
          <cell r="E646">
            <v>30451.438999999995</v>
          </cell>
          <cell r="F646" t="str">
            <v>-40596.62</v>
          </cell>
          <cell r="G646" t="str">
            <v>161914.50</v>
          </cell>
          <cell r="I646" t="str">
            <v>S</v>
          </cell>
          <cell r="K646" t="str">
            <v>Rígida</v>
          </cell>
          <cell r="L646" t="str">
            <v>C859-A</v>
          </cell>
          <cell r="Q646">
            <v>3.8</v>
          </cell>
          <cell r="S646">
            <v>-12</v>
          </cell>
        </row>
        <row r="647">
          <cell r="C647">
            <v>12</v>
          </cell>
          <cell r="F647" t="str">
            <v/>
          </cell>
          <cell r="G647" t="str">
            <v/>
          </cell>
        </row>
        <row r="648">
          <cell r="B648" t="str">
            <v>3709CCA95</v>
          </cell>
          <cell r="D648">
            <v>4821.6100000000006</v>
          </cell>
          <cell r="E648">
            <v>30439.438999999995</v>
          </cell>
          <cell r="F648" t="str">
            <v>-40590.97</v>
          </cell>
          <cell r="G648" t="str">
            <v>161903.92</v>
          </cell>
          <cell r="I648" t="str">
            <v>S</v>
          </cell>
          <cell r="K648" t="str">
            <v>Rígida</v>
          </cell>
          <cell r="L648" t="str">
            <v>C859-A</v>
          </cell>
          <cell r="Q648">
            <v>3.8</v>
          </cell>
          <cell r="S648">
            <v>-4</v>
          </cell>
        </row>
        <row r="649">
          <cell r="C649">
            <v>12</v>
          </cell>
          <cell r="F649" t="str">
            <v/>
          </cell>
          <cell r="G649" t="str">
            <v/>
          </cell>
        </row>
        <row r="650">
          <cell r="B650" t="str">
            <v>3709CCA97</v>
          </cell>
          <cell r="D650">
            <v>4833.6100000000006</v>
          </cell>
          <cell r="E650">
            <v>30427.438999999995</v>
          </cell>
          <cell r="F650" t="str">
            <v>-40585.32</v>
          </cell>
          <cell r="G650" t="str">
            <v>161893.33</v>
          </cell>
          <cell r="I650" t="str">
            <v>S</v>
          </cell>
          <cell r="K650" t="str">
            <v>Rígida</v>
          </cell>
          <cell r="L650" t="str">
            <v>C859-A</v>
          </cell>
          <cell r="Q650">
            <v>3.8</v>
          </cell>
          <cell r="S650" t="str">
            <v>+4</v>
          </cell>
        </row>
        <row r="651">
          <cell r="C651">
            <v>12</v>
          </cell>
          <cell r="F651" t="str">
            <v/>
          </cell>
          <cell r="G651" t="str">
            <v/>
          </cell>
        </row>
        <row r="652">
          <cell r="B652" t="str">
            <v>3709CCA99</v>
          </cell>
          <cell r="D652">
            <v>4845.6100000000006</v>
          </cell>
          <cell r="E652">
            <v>30415.438999999995</v>
          </cell>
          <cell r="F652" t="str">
            <v>-40579.67</v>
          </cell>
          <cell r="G652" t="str">
            <v>161882.74</v>
          </cell>
          <cell r="I652" t="str">
            <v>S</v>
          </cell>
          <cell r="K652" t="str">
            <v>Rígida</v>
          </cell>
          <cell r="L652" t="str">
            <v>C859-A</v>
          </cell>
          <cell r="Q652">
            <v>3.8</v>
          </cell>
          <cell r="S652" t="str">
            <v>+12</v>
          </cell>
        </row>
        <row r="653">
          <cell r="C653">
            <v>12</v>
          </cell>
          <cell r="F653" t="str">
            <v/>
          </cell>
          <cell r="G653" t="str">
            <v/>
          </cell>
        </row>
        <row r="654">
          <cell r="B654" t="str">
            <v>3709CCA101</v>
          </cell>
          <cell r="D654">
            <v>4857.6100000000006</v>
          </cell>
          <cell r="E654">
            <v>30403.438999999995</v>
          </cell>
          <cell r="F654" t="str">
            <v>-40574.02</v>
          </cell>
          <cell r="G654" t="str">
            <v>161872.16</v>
          </cell>
          <cell r="I654" t="str">
            <v>S</v>
          </cell>
          <cell r="K654" t="str">
            <v>Rígida</v>
          </cell>
          <cell r="L654" t="str">
            <v>C859-A</v>
          </cell>
          <cell r="Q654">
            <v>3.8</v>
          </cell>
          <cell r="S654" t="str">
            <v>+20</v>
          </cell>
        </row>
        <row r="655">
          <cell r="C655">
            <v>12</v>
          </cell>
          <cell r="F655" t="str">
            <v/>
          </cell>
          <cell r="G655" t="str">
            <v/>
          </cell>
        </row>
        <row r="656">
          <cell r="B656" t="str">
            <v>3709CCA103</v>
          </cell>
          <cell r="D656">
            <v>4869.6100000000006</v>
          </cell>
          <cell r="E656">
            <v>30391.438999999995</v>
          </cell>
          <cell r="F656" t="str">
            <v>-40568.37</v>
          </cell>
          <cell r="G656" t="str">
            <v>161861.57</v>
          </cell>
          <cell r="I656" t="str">
            <v>S</v>
          </cell>
          <cell r="K656" t="str">
            <v>Rígida</v>
          </cell>
          <cell r="L656" t="str">
            <v>C859-A</v>
          </cell>
          <cell r="Q656">
            <v>3.8</v>
          </cell>
          <cell r="S656" t="str">
            <v>+12</v>
          </cell>
        </row>
        <row r="657">
          <cell r="C657">
            <v>12</v>
          </cell>
          <cell r="F657" t="str">
            <v/>
          </cell>
          <cell r="G657" t="str">
            <v/>
          </cell>
        </row>
        <row r="658">
          <cell r="B658" t="str">
            <v>3709CCA105</v>
          </cell>
          <cell r="D658">
            <v>4881.6100000000006</v>
          </cell>
          <cell r="E658">
            <v>30379.438999999995</v>
          </cell>
          <cell r="F658" t="str">
            <v>-40562.72</v>
          </cell>
          <cell r="G658" t="str">
            <v>161850.98</v>
          </cell>
          <cell r="I658" t="str">
            <v>S</v>
          </cell>
          <cell r="K658" t="str">
            <v>Rígida</v>
          </cell>
          <cell r="L658" t="str">
            <v>C859-A</v>
          </cell>
          <cell r="Q658">
            <v>3.8</v>
          </cell>
          <cell r="S658" t="str">
            <v>+4</v>
          </cell>
        </row>
        <row r="659">
          <cell r="C659">
            <v>12</v>
          </cell>
          <cell r="F659" t="str">
            <v/>
          </cell>
          <cell r="G659" t="str">
            <v/>
          </cell>
        </row>
        <row r="660">
          <cell r="B660" t="str">
            <v>3709CCA107</v>
          </cell>
          <cell r="D660">
            <v>4893.6100000000006</v>
          </cell>
          <cell r="E660">
            <v>30367.438999999995</v>
          </cell>
          <cell r="F660" t="str">
            <v>-40557.07</v>
          </cell>
          <cell r="G660" t="str">
            <v>161840.40</v>
          </cell>
          <cell r="I660" t="str">
            <v>S</v>
          </cell>
          <cell r="K660" t="str">
            <v>Rígida</v>
          </cell>
          <cell r="L660" t="str">
            <v>C859-A</v>
          </cell>
          <cell r="Q660">
            <v>3.8</v>
          </cell>
          <cell r="S660">
            <v>-4</v>
          </cell>
        </row>
        <row r="661">
          <cell r="C661">
            <v>12</v>
          </cell>
          <cell r="F661" t="str">
            <v/>
          </cell>
          <cell r="G661" t="str">
            <v/>
          </cell>
        </row>
        <row r="662">
          <cell r="B662" t="str">
            <v>3709CCA109</v>
          </cell>
          <cell r="D662">
            <v>4905.6100000000006</v>
          </cell>
          <cell r="E662">
            <v>30355.438999999995</v>
          </cell>
          <cell r="F662" t="str">
            <v>-40551.42</v>
          </cell>
          <cell r="G662" t="str">
            <v>161829.81</v>
          </cell>
          <cell r="I662" t="str">
            <v>S</v>
          </cell>
          <cell r="K662" t="str">
            <v>Rígida</v>
          </cell>
          <cell r="L662" t="str">
            <v>C859-A</v>
          </cell>
          <cell r="Q662">
            <v>3.8</v>
          </cell>
          <cell r="S662">
            <v>-12</v>
          </cell>
        </row>
        <row r="663">
          <cell r="C663">
            <v>12</v>
          </cell>
          <cell r="F663" t="str">
            <v/>
          </cell>
          <cell r="G663" t="str">
            <v/>
          </cell>
        </row>
        <row r="664">
          <cell r="B664" t="str">
            <v>3709CCA111</v>
          </cell>
          <cell r="D664">
            <v>4917.6100000000006</v>
          </cell>
          <cell r="E664">
            <v>30343.438999999995</v>
          </cell>
          <cell r="F664" t="str">
            <v>-40545.77</v>
          </cell>
          <cell r="G664" t="str">
            <v>161819.22</v>
          </cell>
          <cell r="I664" t="str">
            <v>S</v>
          </cell>
          <cell r="K664" t="str">
            <v>Rígida</v>
          </cell>
          <cell r="L664" t="str">
            <v>C859-A</v>
          </cell>
          <cell r="Q664">
            <v>3.8</v>
          </cell>
          <cell r="S664">
            <v>-20</v>
          </cell>
        </row>
        <row r="665">
          <cell r="C665">
            <v>12</v>
          </cell>
          <cell r="F665" t="str">
            <v/>
          </cell>
          <cell r="G665" t="str">
            <v/>
          </cell>
        </row>
        <row r="666">
          <cell r="B666" t="str">
            <v>3709CCA113</v>
          </cell>
          <cell r="D666">
            <v>4929.6100000000006</v>
          </cell>
          <cell r="E666">
            <v>30331.438999999995</v>
          </cell>
          <cell r="F666" t="str">
            <v>-40540.12</v>
          </cell>
          <cell r="G666" t="str">
            <v>161808.64</v>
          </cell>
          <cell r="I666" t="str">
            <v>S</v>
          </cell>
          <cell r="K666" t="str">
            <v>Rígida</v>
          </cell>
          <cell r="L666" t="str">
            <v>C859-A</v>
          </cell>
          <cell r="Q666">
            <v>3.8</v>
          </cell>
          <cell r="S666">
            <v>-12</v>
          </cell>
        </row>
        <row r="667">
          <cell r="C667">
            <v>12</v>
          </cell>
          <cell r="F667" t="str">
            <v/>
          </cell>
          <cell r="G667" t="str">
            <v/>
          </cell>
        </row>
        <row r="668">
          <cell r="B668" t="str">
            <v>3709CCA115</v>
          </cell>
          <cell r="D668">
            <v>4941.6100000000006</v>
          </cell>
          <cell r="E668">
            <v>30319.438999999995</v>
          </cell>
          <cell r="F668" t="str">
            <v>-40534.47</v>
          </cell>
          <cell r="G668" t="str">
            <v>161798.05</v>
          </cell>
          <cell r="I668" t="str">
            <v>S</v>
          </cell>
          <cell r="K668" t="str">
            <v>Rígida</v>
          </cell>
          <cell r="L668" t="str">
            <v>C859-A</v>
          </cell>
          <cell r="Q668">
            <v>3.8</v>
          </cell>
          <cell r="S668">
            <v>-4</v>
          </cell>
        </row>
        <row r="669">
          <cell r="C669">
            <v>12</v>
          </cell>
          <cell r="F669" t="str">
            <v/>
          </cell>
          <cell r="G669" t="str">
            <v/>
          </cell>
        </row>
        <row r="670">
          <cell r="B670" t="str">
            <v>3709CCA117</v>
          </cell>
          <cell r="D670">
            <v>4953.6100000000006</v>
          </cell>
          <cell r="E670">
            <v>30307.438999999995</v>
          </cell>
          <cell r="F670" t="str">
            <v>-40528.89</v>
          </cell>
          <cell r="G670" t="str">
            <v>161787.70</v>
          </cell>
          <cell r="I670" t="str">
            <v>SE</v>
          </cell>
          <cell r="K670" t="str">
            <v>Rígida</v>
          </cell>
          <cell r="L670" t="str">
            <v>C860-A</v>
          </cell>
          <cell r="Q670">
            <v>3.8</v>
          </cell>
          <cell r="S670">
            <v>-20</v>
          </cell>
          <cell r="T670" t="str">
            <v>+4</v>
          </cell>
          <cell r="U670" t="str">
            <v>Cantón 396,4 m</v>
          </cell>
        </row>
        <row r="671">
          <cell r="C671">
            <v>6.2</v>
          </cell>
          <cell r="F671" t="str">
            <v/>
          </cell>
          <cell r="G671" t="str">
            <v/>
          </cell>
          <cell r="U671" t="str">
            <v>Seccionamento</v>
          </cell>
        </row>
        <row r="672">
          <cell r="B672" t="str">
            <v>3709CCA119</v>
          </cell>
          <cell r="D672">
            <v>4959.8100000000004</v>
          </cell>
          <cell r="E672">
            <v>30301.238999999994</v>
          </cell>
          <cell r="F672" t="str">
            <v>-40526.11</v>
          </cell>
          <cell r="G672" t="str">
            <v>161782.45</v>
          </cell>
          <cell r="I672" t="str">
            <v>SE</v>
          </cell>
          <cell r="K672" t="str">
            <v>Rígida</v>
          </cell>
          <cell r="L672" t="str">
            <v>C860-A</v>
          </cell>
          <cell r="Q672">
            <v>3.8</v>
          </cell>
          <cell r="S672">
            <v>-12</v>
          </cell>
          <cell r="T672" t="str">
            <v>+12</v>
          </cell>
          <cell r="U672" t="str">
            <v>Cantón 396 m</v>
          </cell>
        </row>
        <row r="673">
          <cell r="C673">
            <v>12</v>
          </cell>
          <cell r="F673" t="str">
            <v/>
          </cell>
          <cell r="G673" t="str">
            <v/>
          </cell>
        </row>
        <row r="674">
          <cell r="B674" t="str">
            <v>3709CCA121</v>
          </cell>
          <cell r="D674">
            <v>4971.8100000000004</v>
          </cell>
          <cell r="E674">
            <v>30289.238999999994</v>
          </cell>
          <cell r="F674" t="str">
            <v>-40520.37</v>
          </cell>
          <cell r="G674" t="str">
            <v>161771.64</v>
          </cell>
          <cell r="I674" t="str">
            <v>S</v>
          </cell>
          <cell r="K674" t="str">
            <v>Rígida</v>
          </cell>
          <cell r="L674" t="str">
            <v>C859-A</v>
          </cell>
          <cell r="Q674">
            <v>3.8</v>
          </cell>
          <cell r="S674">
            <v>-4</v>
          </cell>
        </row>
        <row r="675">
          <cell r="C675">
            <v>12</v>
          </cell>
          <cell r="F675" t="str">
            <v/>
          </cell>
          <cell r="G675" t="str">
            <v/>
          </cell>
        </row>
        <row r="676">
          <cell r="B676" t="str">
            <v>3709CCA123</v>
          </cell>
          <cell r="D676">
            <v>4983.71</v>
          </cell>
          <cell r="E676">
            <v>30277.238999999994</v>
          </cell>
          <cell r="F676" t="str">
            <v>-40514.71</v>
          </cell>
          <cell r="G676" t="str">
            <v>161761.04</v>
          </cell>
          <cell r="I676" t="str">
            <v>S</v>
          </cell>
          <cell r="K676" t="str">
            <v>Rígida</v>
          </cell>
          <cell r="L676" t="str">
            <v>C859-A</v>
          </cell>
          <cell r="Q676">
            <v>3.8</v>
          </cell>
          <cell r="S676" t="str">
            <v>+4</v>
          </cell>
        </row>
        <row r="677">
          <cell r="C677">
            <v>12</v>
          </cell>
          <cell r="F677" t="str">
            <v/>
          </cell>
          <cell r="G677" t="str">
            <v/>
          </cell>
          <cell r="H677" t="str">
            <v>Clo</v>
          </cell>
        </row>
        <row r="678">
          <cell r="B678" t="str">
            <v>3709CCA125</v>
          </cell>
          <cell r="D678">
            <v>4995.6100000000006</v>
          </cell>
          <cell r="E678">
            <v>30265.238999999994</v>
          </cell>
          <cell r="F678" t="str">
            <v>-40509.09</v>
          </cell>
          <cell r="G678" t="str">
            <v>161750.44</v>
          </cell>
          <cell r="H678" t="str">
            <v>-</v>
          </cell>
          <cell r="I678" t="str">
            <v>S</v>
          </cell>
          <cell r="K678" t="str">
            <v>Rígida</v>
          </cell>
          <cell r="L678" t="str">
            <v>C859-A</v>
          </cell>
          <cell r="Q678">
            <v>3.8</v>
          </cell>
          <cell r="S678" t="str">
            <v>+12</v>
          </cell>
        </row>
        <row r="679">
          <cell r="C679">
            <v>12</v>
          </cell>
          <cell r="F679" t="str">
            <v/>
          </cell>
          <cell r="G679" t="str">
            <v/>
          </cell>
          <cell r="H679" t="str">
            <v>Clo</v>
          </cell>
        </row>
        <row r="680">
          <cell r="B680" t="str">
            <v>3709CCA127</v>
          </cell>
          <cell r="D680">
            <v>5007.6100000000006</v>
          </cell>
          <cell r="E680">
            <v>30253.238999999994</v>
          </cell>
          <cell r="F680" t="str">
            <v>-40503.56</v>
          </cell>
          <cell r="G680" t="str">
            <v>161739.79</v>
          </cell>
          <cell r="H680" t="str">
            <v>-</v>
          </cell>
          <cell r="I680" t="str">
            <v>S</v>
          </cell>
          <cell r="K680" t="str">
            <v>Rígida</v>
          </cell>
          <cell r="L680" t="str">
            <v>C859-A</v>
          </cell>
          <cell r="Q680">
            <v>3.8</v>
          </cell>
          <cell r="S680" t="str">
            <v>+20</v>
          </cell>
        </row>
        <row r="681">
          <cell r="C681">
            <v>12</v>
          </cell>
          <cell r="F681" t="str">
            <v/>
          </cell>
          <cell r="G681" t="str">
            <v/>
          </cell>
          <cell r="H681" t="str">
            <v>Clo</v>
          </cell>
        </row>
        <row r="682">
          <cell r="B682" t="str">
            <v>3709CCA129</v>
          </cell>
          <cell r="D682">
            <v>5019.6100000000006</v>
          </cell>
          <cell r="E682">
            <v>30241.238999999994</v>
          </cell>
          <cell r="F682" t="str">
            <v>-40498.20</v>
          </cell>
          <cell r="G682" t="str">
            <v>161729.06</v>
          </cell>
          <cell r="H682" t="str">
            <v>-</v>
          </cell>
          <cell r="I682" t="str">
            <v>S</v>
          </cell>
          <cell r="K682" t="str">
            <v>Rígida</v>
          </cell>
          <cell r="L682" t="str">
            <v>C859-A</v>
          </cell>
          <cell r="Q682">
            <v>3.8</v>
          </cell>
          <cell r="S682" t="str">
            <v>+12</v>
          </cell>
        </row>
        <row r="683">
          <cell r="C683">
            <v>12</v>
          </cell>
          <cell r="F683" t="str">
            <v/>
          </cell>
          <cell r="G683" t="str">
            <v/>
          </cell>
          <cell r="H683" t="str">
            <v>Clo</v>
          </cell>
        </row>
        <row r="684">
          <cell r="B684" t="str">
            <v>3709CCA131</v>
          </cell>
          <cell r="D684">
            <v>5031.6100000000006</v>
          </cell>
          <cell r="E684">
            <v>30229.238999999994</v>
          </cell>
          <cell r="F684" t="str">
            <v>-40493.09</v>
          </cell>
          <cell r="G684" t="str">
            <v>161718.20</v>
          </cell>
          <cell r="H684" t="str">
            <v>-</v>
          </cell>
          <cell r="I684" t="str">
            <v>S</v>
          </cell>
          <cell r="K684" t="str">
            <v>Rígida</v>
          </cell>
          <cell r="L684" t="str">
            <v>C859-A</v>
          </cell>
          <cell r="Q684">
            <v>3.8</v>
          </cell>
          <cell r="S684" t="str">
            <v>+4</v>
          </cell>
        </row>
        <row r="685">
          <cell r="C685">
            <v>12</v>
          </cell>
          <cell r="F685" t="str">
            <v/>
          </cell>
          <cell r="G685" t="str">
            <v/>
          </cell>
          <cell r="H685">
            <v>-345</v>
          </cell>
        </row>
        <row r="686">
          <cell r="B686" t="str">
            <v>3709CCA133</v>
          </cell>
          <cell r="D686">
            <v>5043.6100000000006</v>
          </cell>
          <cell r="E686">
            <v>30217.238999999994</v>
          </cell>
          <cell r="F686" t="str">
            <v>-40488.32</v>
          </cell>
          <cell r="G686" t="str">
            <v>161707.19</v>
          </cell>
          <cell r="H686" t="str">
            <v>-</v>
          </cell>
          <cell r="I686" t="str">
            <v>PF</v>
          </cell>
          <cell r="K686" t="str">
            <v>Rígida</v>
          </cell>
          <cell r="L686" t="str">
            <v>C863-A</v>
          </cell>
          <cell r="Q686">
            <v>3.8</v>
          </cell>
          <cell r="S686">
            <v>-4</v>
          </cell>
        </row>
        <row r="687">
          <cell r="C687">
            <v>12</v>
          </cell>
          <cell r="F687" t="str">
            <v/>
          </cell>
          <cell r="G687" t="str">
            <v/>
          </cell>
          <cell r="H687">
            <v>-345</v>
          </cell>
        </row>
        <row r="688">
          <cell r="B688" t="str">
            <v>3709CCA135</v>
          </cell>
          <cell r="D688">
            <v>5055.6100000000006</v>
          </cell>
          <cell r="E688">
            <v>30205.238999999994</v>
          </cell>
          <cell r="F688" t="str">
            <v>-40483.93</v>
          </cell>
          <cell r="G688" t="str">
            <v>161696.02</v>
          </cell>
          <cell r="H688" t="str">
            <v>-</v>
          </cell>
          <cell r="I688" t="str">
            <v>S</v>
          </cell>
          <cell r="K688" t="str">
            <v>Rígida</v>
          </cell>
          <cell r="L688" t="str">
            <v>C859-A</v>
          </cell>
          <cell r="Q688">
            <v>3.8</v>
          </cell>
          <cell r="S688">
            <v>-12</v>
          </cell>
        </row>
        <row r="689">
          <cell r="C689">
            <v>12</v>
          </cell>
          <cell r="F689" t="str">
            <v/>
          </cell>
          <cell r="G689" t="str">
            <v/>
          </cell>
          <cell r="H689">
            <v>-345</v>
          </cell>
        </row>
        <row r="690">
          <cell r="B690" t="str">
            <v>3709CCA137</v>
          </cell>
          <cell r="D690">
            <v>5067.6100000000006</v>
          </cell>
          <cell r="E690">
            <v>30193.238999999994</v>
          </cell>
          <cell r="F690" t="str">
            <v>-40479.93</v>
          </cell>
          <cell r="G690" t="str">
            <v>161684.71</v>
          </cell>
          <cell r="H690" t="str">
            <v>-</v>
          </cell>
          <cell r="I690" t="str">
            <v>S</v>
          </cell>
          <cell r="K690" t="str">
            <v>Rígida</v>
          </cell>
          <cell r="L690" t="str">
            <v>C859-A</v>
          </cell>
          <cell r="Q690">
            <v>3.8</v>
          </cell>
          <cell r="S690">
            <v>-20</v>
          </cell>
        </row>
        <row r="691">
          <cell r="C691">
            <v>12</v>
          </cell>
          <cell r="F691" t="str">
            <v/>
          </cell>
          <cell r="G691" t="str">
            <v/>
          </cell>
          <cell r="H691">
            <v>-345</v>
          </cell>
        </row>
        <row r="692">
          <cell r="B692" t="str">
            <v>3709CCA139</v>
          </cell>
          <cell r="D692">
            <v>5079.6100000000006</v>
          </cell>
          <cell r="E692">
            <v>30181.238999999994</v>
          </cell>
          <cell r="F692" t="str">
            <v>-40476.32</v>
          </cell>
          <cell r="G692" t="str">
            <v>161673.26</v>
          </cell>
          <cell r="H692" t="str">
            <v>-</v>
          </cell>
          <cell r="I692" t="str">
            <v>S</v>
          </cell>
          <cell r="K692" t="str">
            <v>Rígida</v>
          </cell>
          <cell r="L692" t="str">
            <v>C859-A</v>
          </cell>
          <cell r="Q692">
            <v>3.8</v>
          </cell>
          <cell r="S692">
            <v>-12</v>
          </cell>
        </row>
        <row r="693">
          <cell r="C693">
            <v>12</v>
          </cell>
          <cell r="F693" t="str">
            <v/>
          </cell>
          <cell r="G693" t="str">
            <v/>
          </cell>
          <cell r="H693">
            <v>-345</v>
          </cell>
        </row>
        <row r="694">
          <cell r="B694" t="str">
            <v>3709CCA141</v>
          </cell>
          <cell r="D694">
            <v>5091.6100000000006</v>
          </cell>
          <cell r="E694">
            <v>30169.238999999994</v>
          </cell>
          <cell r="F694" t="str">
            <v>-40473.12</v>
          </cell>
          <cell r="G694" t="str">
            <v>161661.70</v>
          </cell>
          <cell r="H694" t="str">
            <v>-</v>
          </cell>
          <cell r="I694" t="str">
            <v>S</v>
          </cell>
          <cell r="K694" t="str">
            <v>Rígida</v>
          </cell>
          <cell r="L694" t="str">
            <v>C859-A</v>
          </cell>
          <cell r="Q694">
            <v>3.8</v>
          </cell>
          <cell r="S694">
            <v>-4</v>
          </cell>
        </row>
        <row r="695">
          <cell r="C695">
            <v>12</v>
          </cell>
          <cell r="F695" t="str">
            <v/>
          </cell>
          <cell r="G695" t="str">
            <v/>
          </cell>
          <cell r="H695">
            <v>-345</v>
          </cell>
        </row>
        <row r="696">
          <cell r="B696" t="str">
            <v>3709CCA143</v>
          </cell>
          <cell r="D696">
            <v>5103.6100000000006</v>
          </cell>
          <cell r="E696">
            <v>30157.238999999994</v>
          </cell>
          <cell r="F696" t="str">
            <v>-40470.31</v>
          </cell>
          <cell r="G696" t="str">
            <v>161650.03</v>
          </cell>
          <cell r="H696" t="str">
            <v>-</v>
          </cell>
          <cell r="I696" t="str">
            <v>S</v>
          </cell>
          <cell r="K696" t="str">
            <v>Rígida</v>
          </cell>
          <cell r="L696" t="str">
            <v>C859-A</v>
          </cell>
          <cell r="Q696">
            <v>3.8</v>
          </cell>
          <cell r="S696" t="str">
            <v>+4</v>
          </cell>
        </row>
        <row r="697">
          <cell r="C697">
            <v>12</v>
          </cell>
          <cell r="F697" t="str">
            <v/>
          </cell>
          <cell r="G697" t="str">
            <v/>
          </cell>
          <cell r="H697">
            <v>-345</v>
          </cell>
        </row>
        <row r="698">
          <cell r="B698" t="str">
            <v>3709CCA145</v>
          </cell>
          <cell r="D698">
            <v>5115.6100000000006</v>
          </cell>
          <cell r="E698">
            <v>30145.238999999994</v>
          </cell>
          <cell r="F698" t="str">
            <v>-40467.92</v>
          </cell>
          <cell r="G698" t="str">
            <v>161638.27</v>
          </cell>
          <cell r="H698" t="str">
            <v>-</v>
          </cell>
          <cell r="I698" t="str">
            <v>S</v>
          </cell>
          <cell r="K698" t="str">
            <v>Rígida</v>
          </cell>
          <cell r="L698" t="str">
            <v>C859-A</v>
          </cell>
          <cell r="Q698">
            <v>3.8</v>
          </cell>
          <cell r="S698" t="str">
            <v>+12</v>
          </cell>
        </row>
        <row r="699">
          <cell r="C699">
            <v>12</v>
          </cell>
          <cell r="F699" t="str">
            <v/>
          </cell>
          <cell r="G699" t="str">
            <v/>
          </cell>
          <cell r="H699">
            <v>-345</v>
          </cell>
        </row>
        <row r="700">
          <cell r="B700" t="str">
            <v>3709CCA147</v>
          </cell>
          <cell r="D700">
            <v>5127.6100000000006</v>
          </cell>
          <cell r="E700">
            <v>30133.238999999994</v>
          </cell>
          <cell r="F700" t="str">
            <v>-40465.93</v>
          </cell>
          <cell r="G700" t="str">
            <v>161626.44</v>
          </cell>
          <cell r="H700" t="str">
            <v>-</v>
          </cell>
          <cell r="I700" t="str">
            <v>S</v>
          </cell>
          <cell r="K700" t="str">
            <v>Rígida</v>
          </cell>
          <cell r="L700" t="str">
            <v>C859-A</v>
          </cell>
          <cell r="Q700">
            <v>3.8</v>
          </cell>
          <cell r="S700" t="str">
            <v>+20</v>
          </cell>
        </row>
        <row r="701">
          <cell r="C701">
            <v>12</v>
          </cell>
          <cell r="F701" t="str">
            <v/>
          </cell>
          <cell r="G701" t="str">
            <v/>
          </cell>
          <cell r="H701" t="str">
            <v>Clo</v>
          </cell>
        </row>
        <row r="702">
          <cell r="B702" t="str">
            <v>3709CCA149</v>
          </cell>
          <cell r="D702">
            <v>5139.6100000000006</v>
          </cell>
          <cell r="E702">
            <v>30121.238999999994</v>
          </cell>
          <cell r="F702" t="str">
            <v>-40464.32</v>
          </cell>
          <cell r="G702" t="str">
            <v>161614.55</v>
          </cell>
          <cell r="H702" t="str">
            <v>-</v>
          </cell>
          <cell r="I702" t="str">
            <v>PF</v>
          </cell>
          <cell r="K702" t="str">
            <v>Rígida</v>
          </cell>
          <cell r="L702" t="str">
            <v>C863-A</v>
          </cell>
          <cell r="Q702">
            <v>3.8</v>
          </cell>
          <cell r="S702" t="str">
            <v>+12</v>
          </cell>
        </row>
        <row r="703">
          <cell r="C703">
            <v>12</v>
          </cell>
          <cell r="F703" t="str">
            <v/>
          </cell>
          <cell r="G703" t="str">
            <v/>
          </cell>
          <cell r="H703" t="str">
            <v>Clo</v>
          </cell>
        </row>
        <row r="704">
          <cell r="B704" t="str">
            <v>3709CCA151</v>
          </cell>
          <cell r="D704">
            <v>5151.6100000000006</v>
          </cell>
          <cell r="E704">
            <v>30109.238999999994</v>
          </cell>
          <cell r="F704" t="str">
            <v>-40463.01</v>
          </cell>
          <cell r="G704" t="str">
            <v>161602.62</v>
          </cell>
          <cell r="H704" t="str">
            <v>-</v>
          </cell>
          <cell r="I704" t="str">
            <v>S</v>
          </cell>
          <cell r="K704" t="str">
            <v>Rígida</v>
          </cell>
          <cell r="L704" t="str">
            <v>C859-A</v>
          </cell>
          <cell r="Q704">
            <v>3.8</v>
          </cell>
          <cell r="S704" t="str">
            <v>+4</v>
          </cell>
        </row>
        <row r="705">
          <cell r="C705">
            <v>12</v>
          </cell>
          <cell r="F705" t="str">
            <v/>
          </cell>
          <cell r="G705" t="str">
            <v/>
          </cell>
          <cell r="H705" t="str">
            <v>Clo</v>
          </cell>
        </row>
        <row r="706">
          <cell r="B706" t="str">
            <v>3709CCA153</v>
          </cell>
          <cell r="D706">
            <v>5163.6100000000006</v>
          </cell>
          <cell r="E706">
            <v>30097.238999999994</v>
          </cell>
          <cell r="F706" t="str">
            <v>-40461.91</v>
          </cell>
          <cell r="G706" t="str">
            <v>161590.67</v>
          </cell>
          <cell r="H706" t="str">
            <v>-</v>
          </cell>
          <cell r="I706" t="str">
            <v>S</v>
          </cell>
          <cell r="K706" t="str">
            <v>Rígida</v>
          </cell>
          <cell r="L706" t="str">
            <v>C859-A</v>
          </cell>
          <cell r="Q706">
            <v>3.8</v>
          </cell>
          <cell r="S706">
            <v>-4</v>
          </cell>
        </row>
        <row r="707">
          <cell r="C707">
            <v>12</v>
          </cell>
          <cell r="F707" t="str">
            <v/>
          </cell>
          <cell r="G707" t="str">
            <v/>
          </cell>
          <cell r="H707" t="str">
            <v>Clo</v>
          </cell>
        </row>
        <row r="708">
          <cell r="B708" t="str">
            <v>3709CCA155</v>
          </cell>
          <cell r="D708">
            <v>5175.6100000000006</v>
          </cell>
          <cell r="E708">
            <v>30085.238999999994</v>
          </cell>
          <cell r="F708" t="str">
            <v>-40460.93</v>
          </cell>
          <cell r="G708" t="str">
            <v>161578.71</v>
          </cell>
          <cell r="I708" t="str">
            <v>S</v>
          </cell>
          <cell r="K708" t="str">
            <v>Rígida</v>
          </cell>
          <cell r="L708" t="str">
            <v>C859-A</v>
          </cell>
          <cell r="Q708">
            <v>3.8</v>
          </cell>
          <cell r="S708">
            <v>-12</v>
          </cell>
        </row>
        <row r="709">
          <cell r="C709">
            <v>12</v>
          </cell>
          <cell r="F709" t="str">
            <v/>
          </cell>
          <cell r="G709" t="str">
            <v/>
          </cell>
        </row>
        <row r="710">
          <cell r="B710" t="str">
            <v>3709CCA157</v>
          </cell>
          <cell r="D710">
            <v>5187.6100000000006</v>
          </cell>
          <cell r="E710">
            <v>30073.238999999994</v>
          </cell>
          <cell r="F710" t="str">
            <v>-40459.98</v>
          </cell>
          <cell r="G710" t="str">
            <v>161566.75</v>
          </cell>
          <cell r="I710" t="str">
            <v>S</v>
          </cell>
          <cell r="K710" t="str">
            <v>Rígida</v>
          </cell>
          <cell r="L710" t="str">
            <v>C859-A</v>
          </cell>
          <cell r="Q710">
            <v>3.8</v>
          </cell>
          <cell r="S710">
            <v>-20</v>
          </cell>
        </row>
        <row r="711">
          <cell r="C711">
            <v>12</v>
          </cell>
          <cell r="F711" t="str">
            <v/>
          </cell>
          <cell r="G711" t="str">
            <v/>
          </cell>
        </row>
        <row r="712">
          <cell r="B712" t="str">
            <v>3709CCA159</v>
          </cell>
          <cell r="D712">
            <v>5199.6100000000006</v>
          </cell>
          <cell r="E712">
            <v>30061.238999999994</v>
          </cell>
          <cell r="F712" t="str">
            <v>-40459.04</v>
          </cell>
          <cell r="G712" t="str">
            <v>161554.79</v>
          </cell>
          <cell r="I712" t="str">
            <v>S</v>
          </cell>
          <cell r="K712" t="str">
            <v>Rígida</v>
          </cell>
          <cell r="L712" t="str">
            <v>C859-A</v>
          </cell>
          <cell r="Q712">
            <v>3.8</v>
          </cell>
          <cell r="S712">
            <v>-12</v>
          </cell>
        </row>
        <row r="713">
          <cell r="C713">
            <v>12</v>
          </cell>
          <cell r="F713" t="str">
            <v/>
          </cell>
          <cell r="G713" t="str">
            <v/>
          </cell>
        </row>
        <row r="714">
          <cell r="B714" t="str">
            <v>3709CCA161</v>
          </cell>
          <cell r="D714">
            <v>5211.6100000000006</v>
          </cell>
          <cell r="E714">
            <v>30049.238999999994</v>
          </cell>
          <cell r="F714" t="str">
            <v>-40458.09</v>
          </cell>
          <cell r="G714" t="str">
            <v>161542.83</v>
          </cell>
          <cell r="I714" t="str">
            <v>S</v>
          </cell>
          <cell r="K714" t="str">
            <v>Rígida</v>
          </cell>
          <cell r="L714" t="str">
            <v>C859-A</v>
          </cell>
          <cell r="Q714">
            <v>3.8</v>
          </cell>
          <cell r="S714">
            <v>-4</v>
          </cell>
        </row>
        <row r="715">
          <cell r="C715">
            <v>12</v>
          </cell>
          <cell r="F715" t="str">
            <v/>
          </cell>
          <cell r="G715" t="str">
            <v/>
          </cell>
        </row>
        <row r="716">
          <cell r="B716" t="str">
            <v>3709CCA163</v>
          </cell>
          <cell r="D716">
            <v>5223.6100000000006</v>
          </cell>
          <cell r="E716">
            <v>30037.238999999994</v>
          </cell>
          <cell r="F716" t="str">
            <v>-40457.15</v>
          </cell>
          <cell r="G716" t="str">
            <v>161530.86</v>
          </cell>
          <cell r="I716" t="str">
            <v>S</v>
          </cell>
          <cell r="K716" t="str">
            <v>Rígida</v>
          </cell>
          <cell r="L716" t="str">
            <v>C859-A</v>
          </cell>
          <cell r="Q716">
            <v>3.8</v>
          </cell>
          <cell r="S716" t="str">
            <v>+4</v>
          </cell>
        </row>
        <row r="717">
          <cell r="C717">
            <v>12</v>
          </cell>
          <cell r="F717" t="str">
            <v/>
          </cell>
          <cell r="G717" t="str">
            <v/>
          </cell>
        </row>
        <row r="718">
          <cell r="B718" t="str">
            <v>3709CCA165</v>
          </cell>
          <cell r="D718">
            <v>5235.6100000000006</v>
          </cell>
          <cell r="E718">
            <v>30025.238999999994</v>
          </cell>
          <cell r="F718" t="str">
            <v>-40456.20</v>
          </cell>
          <cell r="G718" t="str">
            <v>161518.90</v>
          </cell>
          <cell r="I718" t="str">
            <v>S</v>
          </cell>
          <cell r="K718" t="str">
            <v>Rígida</v>
          </cell>
          <cell r="L718" t="str">
            <v>C859-A</v>
          </cell>
          <cell r="Q718">
            <v>3.8</v>
          </cell>
          <cell r="S718" t="str">
            <v>+12</v>
          </cell>
        </row>
        <row r="719">
          <cell r="C719">
            <v>12</v>
          </cell>
          <cell r="F719" t="str">
            <v/>
          </cell>
          <cell r="G719" t="str">
            <v/>
          </cell>
        </row>
        <row r="720">
          <cell r="B720" t="str">
            <v>3709CCA167</v>
          </cell>
          <cell r="D720">
            <v>5247.6100000000006</v>
          </cell>
          <cell r="E720">
            <v>30013.238999999994</v>
          </cell>
          <cell r="F720" t="str">
            <v>-40455.26</v>
          </cell>
          <cell r="G720" t="str">
            <v>161506.94</v>
          </cell>
          <cell r="I720" t="str">
            <v>S</v>
          </cell>
          <cell r="K720" t="str">
            <v>Rígida</v>
          </cell>
          <cell r="L720" t="str">
            <v>C859-A</v>
          </cell>
          <cell r="Q720">
            <v>3.8</v>
          </cell>
          <cell r="S720" t="str">
            <v>+20</v>
          </cell>
        </row>
        <row r="721">
          <cell r="C721">
            <v>12</v>
          </cell>
          <cell r="F721" t="str">
            <v/>
          </cell>
          <cell r="G721" t="str">
            <v/>
          </cell>
        </row>
        <row r="722">
          <cell r="B722" t="str">
            <v>3709CCA169</v>
          </cell>
          <cell r="D722">
            <v>5259.6100000000006</v>
          </cell>
          <cell r="E722">
            <v>30001.238999999994</v>
          </cell>
          <cell r="F722" t="str">
            <v>-40454.31</v>
          </cell>
          <cell r="G722" t="str">
            <v>161494.97</v>
          </cell>
          <cell r="I722" t="str">
            <v>S</v>
          </cell>
          <cell r="K722" t="str">
            <v>Rígida</v>
          </cell>
          <cell r="L722" t="str">
            <v>C859-A</v>
          </cell>
          <cell r="Q722">
            <v>3.8</v>
          </cell>
          <cell r="S722" t="str">
            <v>+12</v>
          </cell>
        </row>
        <row r="723">
          <cell r="C723">
            <v>12</v>
          </cell>
          <cell r="F723" t="str">
            <v/>
          </cell>
          <cell r="G723" t="str">
            <v/>
          </cell>
        </row>
        <row r="724">
          <cell r="B724" t="str">
            <v>3709CCA171</v>
          </cell>
          <cell r="D724">
            <v>5271.6100000000006</v>
          </cell>
          <cell r="E724">
            <v>29989.238999999994</v>
          </cell>
          <cell r="F724" t="str">
            <v>-40453.37</v>
          </cell>
          <cell r="G724" t="str">
            <v>161483.01</v>
          </cell>
          <cell r="I724" t="str">
            <v>S</v>
          </cell>
          <cell r="K724" t="str">
            <v>Rígida</v>
          </cell>
          <cell r="L724" t="str">
            <v>C859-A</v>
          </cell>
          <cell r="Q724">
            <v>3.8</v>
          </cell>
          <cell r="S724" t="str">
            <v>+4</v>
          </cell>
        </row>
        <row r="725">
          <cell r="C725">
            <v>12</v>
          </cell>
          <cell r="F725" t="str">
            <v/>
          </cell>
          <cell r="G725" t="str">
            <v/>
          </cell>
        </row>
        <row r="726">
          <cell r="B726" t="str">
            <v>3709CCA173</v>
          </cell>
          <cell r="D726">
            <v>5283.6100000000006</v>
          </cell>
          <cell r="E726">
            <v>29977.238999999994</v>
          </cell>
          <cell r="F726" t="str">
            <v>-40452.42</v>
          </cell>
          <cell r="G726" t="str">
            <v>161471.05</v>
          </cell>
          <cell r="I726" t="str">
            <v>S</v>
          </cell>
          <cell r="K726" t="str">
            <v>Rígida</v>
          </cell>
          <cell r="L726" t="str">
            <v>C859-A</v>
          </cell>
          <cell r="Q726">
            <v>3.8</v>
          </cell>
          <cell r="S726">
            <v>-4</v>
          </cell>
        </row>
        <row r="727">
          <cell r="C727">
            <v>12</v>
          </cell>
          <cell r="F727" t="str">
            <v/>
          </cell>
          <cell r="G727" t="str">
            <v/>
          </cell>
        </row>
        <row r="728">
          <cell r="B728" t="str">
            <v>3709CCA175</v>
          </cell>
          <cell r="D728">
            <v>5295.6100000000006</v>
          </cell>
          <cell r="E728">
            <v>29965.238999999994</v>
          </cell>
          <cell r="F728" t="str">
            <v>-40451.48</v>
          </cell>
          <cell r="G728" t="str">
            <v>161459.09</v>
          </cell>
          <cell r="I728" t="str">
            <v>S</v>
          </cell>
          <cell r="K728" t="str">
            <v>Rígida</v>
          </cell>
          <cell r="L728" t="str">
            <v>C859-A</v>
          </cell>
          <cell r="Q728">
            <v>3.8</v>
          </cell>
          <cell r="S728">
            <v>-12</v>
          </cell>
        </row>
        <row r="729">
          <cell r="C729">
            <v>12</v>
          </cell>
          <cell r="F729" t="str">
            <v/>
          </cell>
          <cell r="G729" t="str">
            <v/>
          </cell>
        </row>
        <row r="730">
          <cell r="B730" t="str">
            <v>3709CCA177</v>
          </cell>
          <cell r="D730">
            <v>5307.6100000000006</v>
          </cell>
          <cell r="E730">
            <v>29953.238999999994</v>
          </cell>
          <cell r="F730" t="str">
            <v>-40450.51</v>
          </cell>
          <cell r="G730" t="str">
            <v>161447.13</v>
          </cell>
          <cell r="I730" t="str">
            <v>S</v>
          </cell>
          <cell r="K730" t="str">
            <v>Rígida</v>
          </cell>
          <cell r="L730" t="str">
            <v>C859-A</v>
          </cell>
          <cell r="Q730">
            <v>3.8</v>
          </cell>
          <cell r="S730">
            <v>-20</v>
          </cell>
        </row>
        <row r="731">
          <cell r="C731">
            <v>6.9</v>
          </cell>
          <cell r="F731" t="str">
            <v/>
          </cell>
          <cell r="G731" t="str">
            <v/>
          </cell>
          <cell r="I731" t="str">
            <v>PA30</v>
          </cell>
        </row>
        <row r="732">
          <cell r="B732" t="str">
            <v>3709CCA179</v>
          </cell>
          <cell r="D732">
            <v>5314.51</v>
          </cell>
          <cell r="E732">
            <v>29946.338999999993</v>
          </cell>
          <cell r="F732" t="str">
            <v>-40449.97</v>
          </cell>
          <cell r="G732" t="str">
            <v>161440.19</v>
          </cell>
          <cell r="I732" t="str">
            <v>S</v>
          </cell>
          <cell r="K732" t="str">
            <v>Rígida</v>
          </cell>
          <cell r="L732" t="str">
            <v>C859-A</v>
          </cell>
          <cell r="Q732">
            <v>3.8</v>
          </cell>
          <cell r="S732">
            <v>-12</v>
          </cell>
        </row>
        <row r="733">
          <cell r="C733">
            <v>1.7</v>
          </cell>
          <cell r="F733" t="str">
            <v/>
          </cell>
          <cell r="G733" t="str">
            <v/>
          </cell>
          <cell r="I733" t="str">
            <v>PA50</v>
          </cell>
        </row>
        <row r="734">
          <cell r="B734" t="str">
            <v>3709CCA181</v>
          </cell>
          <cell r="D734">
            <v>5316.21</v>
          </cell>
          <cell r="E734">
            <v>29944.638999999992</v>
          </cell>
          <cell r="F734" t="str">
            <v>-40449.84</v>
          </cell>
          <cell r="G734" t="str">
            <v>161438,53</v>
          </cell>
          <cell r="I734" t="str">
            <v>S</v>
          </cell>
          <cell r="K734" t="str">
            <v>Rígida</v>
          </cell>
          <cell r="L734" t="str">
            <v>C860-A</v>
          </cell>
          <cell r="Q734">
            <v>3.8</v>
          </cell>
          <cell r="S734">
            <v>-4</v>
          </cell>
        </row>
        <row r="735">
          <cell r="B735" t="str">
            <v>3709CCA181.Bis</v>
          </cell>
          <cell r="C735">
            <v>6.3</v>
          </cell>
          <cell r="D735">
            <v>5318.11</v>
          </cell>
          <cell r="F735" t="str">
            <v>-40450.51</v>
          </cell>
          <cell r="G735" t="str">
            <v>161436.84</v>
          </cell>
          <cell r="I735" t="str">
            <v>PA80</v>
          </cell>
          <cell r="Q735">
            <v>3.8</v>
          </cell>
        </row>
        <row r="736">
          <cell r="B736" t="str">
            <v>3709CCA183</v>
          </cell>
          <cell r="D736">
            <v>5322.51</v>
          </cell>
          <cell r="E736">
            <v>29938.338999999993</v>
          </cell>
          <cell r="F736" t="str">
            <v>-40449.34</v>
          </cell>
          <cell r="G736" t="str">
            <v>161432.28</v>
          </cell>
          <cell r="I736" t="str">
            <v>S</v>
          </cell>
          <cell r="K736" t="str">
            <v>Rígida</v>
          </cell>
          <cell r="L736" t="str">
            <v>C860-A</v>
          </cell>
          <cell r="Q736">
            <v>3.8</v>
          </cell>
          <cell r="S736" t="str">
            <v>+4</v>
          </cell>
        </row>
        <row r="737">
          <cell r="C737">
            <v>7.5</v>
          </cell>
          <cell r="F737" t="str">
            <v/>
          </cell>
          <cell r="G737" t="str">
            <v/>
          </cell>
        </row>
        <row r="738">
          <cell r="B738" t="str">
            <v>3709CCA185</v>
          </cell>
          <cell r="D738">
            <v>5330.01</v>
          </cell>
          <cell r="E738">
            <v>29930.838999999993</v>
          </cell>
          <cell r="F738" t="str">
            <v>-40448.75</v>
          </cell>
          <cell r="G738" t="str">
            <v>161424.82</v>
          </cell>
          <cell r="I738" t="str">
            <v>S</v>
          </cell>
          <cell r="K738" t="str">
            <v>Rígida</v>
          </cell>
          <cell r="L738" t="str">
            <v>C860-A</v>
          </cell>
          <cell r="Q738">
            <v>3.8</v>
          </cell>
          <cell r="S738" t="str">
            <v>+12</v>
          </cell>
        </row>
        <row r="739">
          <cell r="C739">
            <v>7.4</v>
          </cell>
          <cell r="F739" t="str">
            <v/>
          </cell>
          <cell r="G739" t="str">
            <v/>
          </cell>
        </row>
        <row r="740">
          <cell r="B740" t="str">
            <v>3709CCA187</v>
          </cell>
          <cell r="D740">
            <v>5337.41</v>
          </cell>
          <cell r="E740">
            <v>29923.438999999991</v>
          </cell>
          <cell r="F740" t="str">
            <v>-40448.17</v>
          </cell>
          <cell r="G740" t="str">
            <v>161417.42</v>
          </cell>
          <cell r="I740" t="str">
            <v>S</v>
          </cell>
          <cell r="K740" t="str">
            <v>Rígida</v>
          </cell>
          <cell r="L740" t="str">
            <v>C859-A</v>
          </cell>
          <cell r="Q740">
            <v>3.8</v>
          </cell>
          <cell r="S740" t="str">
            <v>+20</v>
          </cell>
        </row>
        <row r="741">
          <cell r="C741">
            <v>12</v>
          </cell>
          <cell r="F741" t="str">
            <v/>
          </cell>
          <cell r="G741" t="str">
            <v/>
          </cell>
        </row>
        <row r="742">
          <cell r="B742" t="str">
            <v>3709CCA189</v>
          </cell>
          <cell r="D742">
            <v>5349.41</v>
          </cell>
          <cell r="E742">
            <v>29911.438999999991</v>
          </cell>
          <cell r="F742" t="str">
            <v>-40447.22</v>
          </cell>
          <cell r="G742" t="str">
            <v>161405.46</v>
          </cell>
          <cell r="I742" t="str">
            <v>SE</v>
          </cell>
          <cell r="K742" t="str">
            <v>Rígida</v>
          </cell>
          <cell r="L742" t="str">
            <v>C860-A</v>
          </cell>
          <cell r="Q742">
            <v>3.8</v>
          </cell>
          <cell r="S742">
            <v>-20</v>
          </cell>
          <cell r="T742" t="str">
            <v>+12</v>
          </cell>
          <cell r="U742" t="str">
            <v>Cantón 396 m</v>
          </cell>
        </row>
        <row r="743">
          <cell r="C743">
            <v>6.2</v>
          </cell>
          <cell r="F743" t="str">
            <v/>
          </cell>
          <cell r="G743" t="str">
            <v/>
          </cell>
          <cell r="U743" t="str">
            <v>Seccionamento</v>
          </cell>
        </row>
        <row r="744">
          <cell r="B744" t="str">
            <v>3709CCA191</v>
          </cell>
          <cell r="D744">
            <v>5355.61</v>
          </cell>
          <cell r="E744">
            <v>29905.23899999999</v>
          </cell>
          <cell r="F744" t="str">
            <v>-40446.73</v>
          </cell>
          <cell r="G744" t="str">
            <v>161399.28</v>
          </cell>
          <cell r="I744" t="str">
            <v>SE</v>
          </cell>
          <cell r="K744" t="str">
            <v>Rígida</v>
          </cell>
          <cell r="L744" t="str">
            <v>C860-A</v>
          </cell>
          <cell r="Q744">
            <v>3.8</v>
          </cell>
          <cell r="S744">
            <v>-12</v>
          </cell>
          <cell r="T744" t="str">
            <v>+4</v>
          </cell>
          <cell r="U744" t="str">
            <v>Cantón 392,6 m</v>
          </cell>
        </row>
        <row r="745">
          <cell r="C745">
            <v>12</v>
          </cell>
          <cell r="F745" t="str">
            <v/>
          </cell>
          <cell r="G745" t="str">
            <v/>
          </cell>
        </row>
        <row r="746">
          <cell r="B746" t="str">
            <v>3709CCA193</v>
          </cell>
          <cell r="D746">
            <v>5367.61</v>
          </cell>
          <cell r="E746">
            <v>29893.23899999999</v>
          </cell>
          <cell r="F746" t="str">
            <v>-40445.78</v>
          </cell>
          <cell r="G746" t="str">
            <v>161387.31</v>
          </cell>
          <cell r="I746" t="str">
            <v>S</v>
          </cell>
          <cell r="K746" t="str">
            <v>Rígida</v>
          </cell>
          <cell r="L746" t="str">
            <v>C859-A</v>
          </cell>
          <cell r="Q746">
            <v>3.8</v>
          </cell>
          <cell r="S746">
            <v>-4</v>
          </cell>
        </row>
        <row r="747">
          <cell r="C747">
            <v>12</v>
          </cell>
          <cell r="F747" t="str">
            <v/>
          </cell>
          <cell r="G747" t="str">
            <v/>
          </cell>
        </row>
        <row r="748">
          <cell r="B748" t="str">
            <v>3709CCA195</v>
          </cell>
          <cell r="D748">
            <v>5379.61</v>
          </cell>
          <cell r="E748">
            <v>29881.23899999999</v>
          </cell>
          <cell r="F748" t="str">
            <v>-40444.84</v>
          </cell>
          <cell r="G748" t="str">
            <v>161375.35</v>
          </cell>
          <cell r="I748" t="str">
            <v>S</v>
          </cell>
          <cell r="K748" t="str">
            <v>Rígida</v>
          </cell>
          <cell r="L748" t="str">
            <v>C859-A</v>
          </cell>
          <cell r="Q748">
            <v>3.8</v>
          </cell>
          <cell r="S748" t="str">
            <v>+4</v>
          </cell>
        </row>
        <row r="749">
          <cell r="C749">
            <v>12</v>
          </cell>
          <cell r="F749" t="str">
            <v/>
          </cell>
          <cell r="G749" t="str">
            <v/>
          </cell>
        </row>
        <row r="750">
          <cell r="B750" t="str">
            <v>3709CCA197</v>
          </cell>
          <cell r="D750">
            <v>5391.61</v>
          </cell>
          <cell r="E750">
            <v>29869.23899999999</v>
          </cell>
          <cell r="F750" t="str">
            <v>-40443.89</v>
          </cell>
          <cell r="G750" t="str">
            <v>161363.39</v>
          </cell>
          <cell r="I750" t="str">
            <v>S</v>
          </cell>
          <cell r="K750" t="str">
            <v>Rígida</v>
          </cell>
          <cell r="L750" t="str">
            <v>C859-A</v>
          </cell>
          <cell r="Q750">
            <v>3.8</v>
          </cell>
          <cell r="S750" t="str">
            <v>+12</v>
          </cell>
        </row>
        <row r="751">
          <cell r="C751">
            <v>12</v>
          </cell>
          <cell r="F751" t="str">
            <v/>
          </cell>
          <cell r="G751" t="str">
            <v/>
          </cell>
        </row>
        <row r="752">
          <cell r="B752" t="str">
            <v>3709CCA199</v>
          </cell>
          <cell r="D752">
            <v>5403.61</v>
          </cell>
          <cell r="E752">
            <v>29857.23899999999</v>
          </cell>
          <cell r="F752" t="str">
            <v>-40442.95</v>
          </cell>
          <cell r="G752" t="str">
            <v>161351.43</v>
          </cell>
          <cell r="I752" t="str">
            <v>S</v>
          </cell>
          <cell r="K752" t="str">
            <v>Rígida</v>
          </cell>
          <cell r="L752" t="str">
            <v>C859-A</v>
          </cell>
          <cell r="Q752">
            <v>3.8</v>
          </cell>
          <cell r="S752" t="str">
            <v>+20</v>
          </cell>
        </row>
        <row r="753">
          <cell r="B753" t="str">
            <v>Inic. Estação Soares Dos Reis (05+410)</v>
          </cell>
          <cell r="C753">
            <v>12</v>
          </cell>
        </row>
        <row r="754">
          <cell r="B754" t="str">
            <v>3710CCA01</v>
          </cell>
          <cell r="D754">
            <v>5415.61</v>
          </cell>
          <cell r="E754">
            <v>29845.23899999999</v>
          </cell>
          <cell r="F754" t="str">
            <v>-40442.00</v>
          </cell>
          <cell r="G754" t="str">
            <v>161339.46</v>
          </cell>
          <cell r="I754" t="str">
            <v>S</v>
          </cell>
          <cell r="K754" t="str">
            <v>Rígida</v>
          </cell>
          <cell r="L754" t="str">
            <v>C859-A</v>
          </cell>
          <cell r="Q754">
            <v>3.8</v>
          </cell>
          <cell r="S754" t="str">
            <v>+12</v>
          </cell>
        </row>
        <row r="755">
          <cell r="C755">
            <v>12</v>
          </cell>
          <cell r="F755" t="str">
            <v/>
          </cell>
          <cell r="G755" t="str">
            <v/>
          </cell>
        </row>
        <row r="756">
          <cell r="B756" t="str">
            <v>3710CCA03</v>
          </cell>
          <cell r="D756">
            <v>5427.61</v>
          </cell>
          <cell r="E756">
            <v>29833.23899999999</v>
          </cell>
          <cell r="F756" t="str">
            <v>-40441.06</v>
          </cell>
          <cell r="G756" t="str">
            <v>161327.50</v>
          </cell>
          <cell r="I756" t="str">
            <v>S</v>
          </cell>
          <cell r="K756" t="str">
            <v>Rígida</v>
          </cell>
          <cell r="L756" t="str">
            <v>C859-A</v>
          </cell>
          <cell r="Q756">
            <v>3.8</v>
          </cell>
          <cell r="S756" t="str">
            <v>+4</v>
          </cell>
        </row>
        <row r="757">
          <cell r="C757">
            <v>12</v>
          </cell>
          <cell r="F757" t="str">
            <v/>
          </cell>
          <cell r="G757" t="str">
            <v/>
          </cell>
        </row>
        <row r="758">
          <cell r="B758" t="str">
            <v>3710CCA05</v>
          </cell>
          <cell r="D758">
            <v>5439.61</v>
          </cell>
          <cell r="E758">
            <v>29821.23899999999</v>
          </cell>
          <cell r="F758" t="str">
            <v>-40440.12</v>
          </cell>
          <cell r="G758" t="str">
            <v>161315.54</v>
          </cell>
          <cell r="I758" t="str">
            <v>S</v>
          </cell>
          <cell r="K758" t="str">
            <v>Rígida</v>
          </cell>
          <cell r="L758" t="str">
            <v>C859-A</v>
          </cell>
          <cell r="Q758">
            <v>3.8</v>
          </cell>
          <cell r="S758">
            <v>-4</v>
          </cell>
        </row>
        <row r="759">
          <cell r="C759">
            <v>12</v>
          </cell>
          <cell r="F759" t="str">
            <v/>
          </cell>
          <cell r="G759" t="str">
            <v/>
          </cell>
        </row>
        <row r="760">
          <cell r="B760" t="str">
            <v>3710CCA07</v>
          </cell>
          <cell r="D760">
            <v>5451.61</v>
          </cell>
          <cell r="E760">
            <v>29809.23899999999</v>
          </cell>
          <cell r="F760" t="str">
            <v>-40439.17</v>
          </cell>
          <cell r="G760" t="str">
            <v>161303.57</v>
          </cell>
          <cell r="I760" t="str">
            <v>S</v>
          </cell>
          <cell r="K760" t="str">
            <v>Rígida</v>
          </cell>
          <cell r="L760" t="str">
            <v>C859-A</v>
          </cell>
          <cell r="Q760">
            <v>3.8</v>
          </cell>
          <cell r="S760">
            <v>-12</v>
          </cell>
        </row>
        <row r="761">
          <cell r="C761">
            <v>12</v>
          </cell>
          <cell r="F761" t="str">
            <v/>
          </cell>
          <cell r="G761" t="str">
            <v/>
          </cell>
        </row>
        <row r="762">
          <cell r="B762" t="str">
            <v>3710CCA09</v>
          </cell>
          <cell r="D762">
            <v>5463.61</v>
          </cell>
          <cell r="E762">
            <v>29797.23899999999</v>
          </cell>
          <cell r="F762" t="str">
            <v>-40438.23</v>
          </cell>
          <cell r="G762" t="str">
            <v>161291.61</v>
          </cell>
          <cell r="I762" t="str">
            <v>S</v>
          </cell>
          <cell r="K762" t="str">
            <v>Rígida</v>
          </cell>
          <cell r="L762" t="str">
            <v>C859-A</v>
          </cell>
          <cell r="Q762">
            <v>3.8</v>
          </cell>
          <cell r="S762">
            <v>-20</v>
          </cell>
        </row>
        <row r="763">
          <cell r="C763">
            <v>12</v>
          </cell>
          <cell r="F763" t="str">
            <v/>
          </cell>
          <cell r="G763" t="str">
            <v/>
          </cell>
        </row>
        <row r="764">
          <cell r="B764" t="str">
            <v>3710CCA11</v>
          </cell>
          <cell r="D764">
            <v>5475.61</v>
          </cell>
          <cell r="E764">
            <v>29785.23899999999</v>
          </cell>
          <cell r="F764" t="str">
            <v>-40437.28</v>
          </cell>
          <cell r="G764" t="str">
            <v>161279.65</v>
          </cell>
          <cell r="I764" t="str">
            <v>S</v>
          </cell>
          <cell r="K764" t="str">
            <v>Rígida</v>
          </cell>
          <cell r="L764" t="str">
            <v>C859-A</v>
          </cell>
          <cell r="Q764">
            <v>3.8</v>
          </cell>
          <cell r="S764">
            <v>-12</v>
          </cell>
        </row>
        <row r="765">
          <cell r="C765">
            <v>12</v>
          </cell>
          <cell r="F765" t="str">
            <v/>
          </cell>
          <cell r="G765" t="str">
            <v/>
          </cell>
        </row>
        <row r="766">
          <cell r="B766" t="str">
            <v>3710CCA13</v>
          </cell>
          <cell r="D766">
            <v>5487.61</v>
          </cell>
          <cell r="E766">
            <v>29773.23899999999</v>
          </cell>
          <cell r="F766" t="str">
            <v>-40436.34</v>
          </cell>
          <cell r="G766" t="str">
            <v>161267.69</v>
          </cell>
          <cell r="I766" t="str">
            <v>S</v>
          </cell>
          <cell r="K766" t="str">
            <v>Rígida</v>
          </cell>
          <cell r="L766" t="str">
            <v>C859-A</v>
          </cell>
          <cell r="Q766">
            <v>3.8</v>
          </cell>
          <cell r="S766">
            <v>-4</v>
          </cell>
        </row>
        <row r="767">
          <cell r="C767">
            <v>12</v>
          </cell>
          <cell r="F767" t="str">
            <v/>
          </cell>
          <cell r="G767" t="str">
            <v/>
          </cell>
        </row>
        <row r="768">
          <cell r="B768" t="str">
            <v>3710CCA15</v>
          </cell>
          <cell r="D768">
            <v>5499.61</v>
          </cell>
          <cell r="E768">
            <v>29761.23899999999</v>
          </cell>
          <cell r="F768" t="str">
            <v>-40435.39</v>
          </cell>
          <cell r="G768" t="str">
            <v>161255.72</v>
          </cell>
          <cell r="I768" t="str">
            <v>S</v>
          </cell>
          <cell r="K768" t="str">
            <v>Rígida</v>
          </cell>
          <cell r="L768" t="str">
            <v>C859-A</v>
          </cell>
          <cell r="Q768">
            <v>3.8</v>
          </cell>
          <cell r="S768" t="str">
            <v>+4</v>
          </cell>
        </row>
        <row r="769">
          <cell r="C769">
            <v>12</v>
          </cell>
          <cell r="F769" t="str">
            <v/>
          </cell>
          <cell r="G769" t="str">
            <v/>
          </cell>
        </row>
        <row r="770">
          <cell r="B770" t="str">
            <v>3710CCA17</v>
          </cell>
          <cell r="D770">
            <v>5511.61</v>
          </cell>
          <cell r="E770">
            <v>29749.23899999999</v>
          </cell>
          <cell r="F770" t="str">
            <v>-40434.45</v>
          </cell>
          <cell r="G770" t="str">
            <v>161243.76</v>
          </cell>
          <cell r="I770" t="str">
            <v>S</v>
          </cell>
          <cell r="K770" t="str">
            <v>Rígida</v>
          </cell>
          <cell r="L770" t="str">
            <v>C859-A</v>
          </cell>
          <cell r="Q770">
            <v>3.8</v>
          </cell>
          <cell r="S770" t="str">
            <v>+12</v>
          </cell>
        </row>
        <row r="771">
          <cell r="B771" t="str">
            <v>Fin. Estação Soares Dos Reis (05+519)</v>
          </cell>
          <cell r="C771">
            <v>12</v>
          </cell>
        </row>
        <row r="772">
          <cell r="B772" t="str">
            <v>3711CCA01</v>
          </cell>
          <cell r="D772">
            <v>5523.61</v>
          </cell>
          <cell r="E772">
            <v>29737.23899999999</v>
          </cell>
          <cell r="F772" t="str">
            <v>-40433.50</v>
          </cell>
          <cell r="G772" t="str">
            <v>161231.80</v>
          </cell>
          <cell r="I772" t="str">
            <v>S</v>
          </cell>
          <cell r="K772" t="str">
            <v>Rígida</v>
          </cell>
          <cell r="L772" t="str">
            <v>C859-A</v>
          </cell>
          <cell r="Q772">
            <v>3.8</v>
          </cell>
          <cell r="S772" t="str">
            <v>+20</v>
          </cell>
        </row>
        <row r="773">
          <cell r="C773">
            <v>12</v>
          </cell>
          <cell r="F773" t="str">
            <v/>
          </cell>
          <cell r="G773" t="str">
            <v/>
          </cell>
          <cell r="H773" t="str">
            <v>Clo</v>
          </cell>
        </row>
        <row r="774">
          <cell r="B774" t="str">
            <v>3711CCA03</v>
          </cell>
          <cell r="D774">
            <v>5535.61</v>
          </cell>
          <cell r="E774">
            <v>29725.23899999999</v>
          </cell>
          <cell r="F774" t="str">
            <v>-40432.43</v>
          </cell>
          <cell r="G774" t="str">
            <v>161219.85</v>
          </cell>
          <cell r="I774" t="str">
            <v>PF</v>
          </cell>
          <cell r="K774" t="str">
            <v>Rígida</v>
          </cell>
          <cell r="L774" t="str">
            <v>C863-A</v>
          </cell>
          <cell r="Q774">
            <v>3.8</v>
          </cell>
          <cell r="S774" t="str">
            <v>+12</v>
          </cell>
        </row>
        <row r="775">
          <cell r="C775">
            <v>12</v>
          </cell>
          <cell r="F775" t="str">
            <v/>
          </cell>
          <cell r="G775" t="str">
            <v/>
          </cell>
          <cell r="H775" t="str">
            <v>Clo</v>
          </cell>
        </row>
        <row r="776">
          <cell r="B776" t="str">
            <v>3711CCA05</v>
          </cell>
          <cell r="D776">
            <v>5547.61</v>
          </cell>
          <cell r="E776">
            <v>29713.23899999999</v>
          </cell>
          <cell r="F776" t="str">
            <v>-40430.87</v>
          </cell>
          <cell r="G776" t="str">
            <v>161207.95</v>
          </cell>
          <cell r="I776" t="str">
            <v>S</v>
          </cell>
          <cell r="K776" t="str">
            <v>Rígida</v>
          </cell>
          <cell r="L776" t="str">
            <v>C859-A</v>
          </cell>
          <cell r="Q776">
            <v>3.8</v>
          </cell>
          <cell r="S776" t="str">
            <v>+4</v>
          </cell>
        </row>
        <row r="777">
          <cell r="C777">
            <v>12</v>
          </cell>
          <cell r="F777" t="str">
            <v/>
          </cell>
          <cell r="G777" t="str">
            <v/>
          </cell>
          <cell r="H777">
            <v>180</v>
          </cell>
        </row>
        <row r="778">
          <cell r="B778" t="str">
            <v>3711CCA07</v>
          </cell>
          <cell r="D778">
            <v>5559.61</v>
          </cell>
          <cell r="E778">
            <v>29701.23899999999</v>
          </cell>
          <cell r="F778" t="str">
            <v>-40428.55</v>
          </cell>
          <cell r="G778" t="str">
            <v>161196.17</v>
          </cell>
          <cell r="I778" t="str">
            <v>S</v>
          </cell>
          <cell r="K778" t="str">
            <v>Rígida</v>
          </cell>
          <cell r="L778" t="str">
            <v>C859-A</v>
          </cell>
          <cell r="Q778">
            <v>3.8</v>
          </cell>
          <cell r="S778">
            <v>-4</v>
          </cell>
        </row>
        <row r="779">
          <cell r="C779">
            <v>12</v>
          </cell>
          <cell r="F779" t="str">
            <v/>
          </cell>
          <cell r="G779" t="str">
            <v/>
          </cell>
          <cell r="H779">
            <v>180</v>
          </cell>
        </row>
        <row r="780">
          <cell r="B780" t="str">
            <v>3711CCA09</v>
          </cell>
          <cell r="D780">
            <v>5571.61</v>
          </cell>
          <cell r="E780">
            <v>29689.23899999999</v>
          </cell>
          <cell r="F780" t="str">
            <v>-40425.45</v>
          </cell>
          <cell r="G780" t="str">
            <v>161184.58</v>
          </cell>
          <cell r="I780" t="str">
            <v>S</v>
          </cell>
          <cell r="K780" t="str">
            <v>Rígida</v>
          </cell>
          <cell r="L780" t="str">
            <v>C859-A</v>
          </cell>
          <cell r="Q780">
            <v>3.8</v>
          </cell>
          <cell r="S780">
            <v>-12</v>
          </cell>
        </row>
        <row r="781">
          <cell r="C781">
            <v>12</v>
          </cell>
          <cell r="F781" t="str">
            <v/>
          </cell>
          <cell r="G781" t="str">
            <v/>
          </cell>
          <cell r="H781">
            <v>180</v>
          </cell>
        </row>
        <row r="782">
          <cell r="B782" t="str">
            <v>3711CCA11</v>
          </cell>
          <cell r="D782">
            <v>5583.61</v>
          </cell>
          <cell r="E782">
            <v>29677.23899999999</v>
          </cell>
          <cell r="F782" t="str">
            <v>-40421.57</v>
          </cell>
          <cell r="G782" t="str">
            <v>161173.23</v>
          </cell>
          <cell r="I782" t="str">
            <v>S</v>
          </cell>
          <cell r="K782" t="str">
            <v>Rígida</v>
          </cell>
          <cell r="L782" t="str">
            <v>C859-A</v>
          </cell>
          <cell r="Q782">
            <v>3.8</v>
          </cell>
          <cell r="S782">
            <v>-20</v>
          </cell>
        </row>
        <row r="783">
          <cell r="C783">
            <v>12</v>
          </cell>
          <cell r="F783" t="str">
            <v/>
          </cell>
          <cell r="G783" t="str">
            <v/>
          </cell>
          <cell r="H783">
            <v>180</v>
          </cell>
        </row>
        <row r="784">
          <cell r="B784" t="str">
            <v>3711CCA13</v>
          </cell>
          <cell r="D784">
            <v>5595.61</v>
          </cell>
          <cell r="E784">
            <v>29665.23899999999</v>
          </cell>
          <cell r="F784" t="str">
            <v>-40416.94</v>
          </cell>
          <cell r="G784" t="str">
            <v>161162.16</v>
          </cell>
          <cell r="I784" t="str">
            <v>S</v>
          </cell>
          <cell r="K784" t="str">
            <v>Rígida</v>
          </cell>
          <cell r="L784" t="str">
            <v>C859-A</v>
          </cell>
          <cell r="Q784">
            <v>3.8</v>
          </cell>
          <cell r="S784">
            <v>-12</v>
          </cell>
        </row>
        <row r="785">
          <cell r="C785">
            <v>12</v>
          </cell>
          <cell r="F785" t="str">
            <v/>
          </cell>
          <cell r="G785" t="str">
            <v/>
          </cell>
          <cell r="H785">
            <v>180</v>
          </cell>
        </row>
        <row r="786">
          <cell r="B786" t="str">
            <v>3711CCA15</v>
          </cell>
          <cell r="D786">
            <v>5607.61</v>
          </cell>
          <cell r="E786">
            <v>29653.23899999999</v>
          </cell>
          <cell r="F786" t="str">
            <v>-40411.57</v>
          </cell>
          <cell r="G786" t="str">
            <v>161151.42</v>
          </cell>
          <cell r="I786" t="str">
            <v>S</v>
          </cell>
          <cell r="K786" t="str">
            <v>Rígida</v>
          </cell>
          <cell r="L786" t="str">
            <v>C859-A</v>
          </cell>
          <cell r="Q786">
            <v>3.8</v>
          </cell>
          <cell r="S786">
            <v>-4</v>
          </cell>
        </row>
        <row r="787">
          <cell r="C787">
            <v>12</v>
          </cell>
          <cell r="F787" t="str">
            <v/>
          </cell>
          <cell r="G787" t="str">
            <v/>
          </cell>
          <cell r="H787">
            <v>180</v>
          </cell>
        </row>
        <row r="788">
          <cell r="B788" t="str">
            <v>3711CCA17</v>
          </cell>
          <cell r="D788">
            <v>5619.61</v>
          </cell>
          <cell r="E788">
            <v>29641.23899999999</v>
          </cell>
          <cell r="F788" t="str">
            <v>-40405.50</v>
          </cell>
          <cell r="G788" t="str">
            <v>161141.07</v>
          </cell>
          <cell r="I788" t="str">
            <v>S</v>
          </cell>
          <cell r="K788" t="str">
            <v>Rígida</v>
          </cell>
          <cell r="L788" t="str">
            <v>C859-A</v>
          </cell>
          <cell r="Q788">
            <v>3.8</v>
          </cell>
          <cell r="S788" t="str">
            <v>+4</v>
          </cell>
        </row>
        <row r="789">
          <cell r="C789">
            <v>12</v>
          </cell>
          <cell r="F789" t="str">
            <v/>
          </cell>
          <cell r="G789" t="str">
            <v/>
          </cell>
          <cell r="H789">
            <v>180</v>
          </cell>
        </row>
        <row r="790">
          <cell r="B790" t="str">
            <v>3711CCA19</v>
          </cell>
          <cell r="D790">
            <v>5631.61</v>
          </cell>
          <cell r="E790">
            <v>29629.23899999999</v>
          </cell>
          <cell r="F790" t="str">
            <v>-40398.74</v>
          </cell>
          <cell r="G790" t="str">
            <v>161131.16</v>
          </cell>
          <cell r="I790" t="str">
            <v>S</v>
          </cell>
          <cell r="K790" t="str">
            <v>Rígida</v>
          </cell>
          <cell r="L790" t="str">
            <v>C859-A</v>
          </cell>
          <cell r="Q790">
            <v>3.8</v>
          </cell>
          <cell r="S790" t="str">
            <v>+12</v>
          </cell>
        </row>
        <row r="791">
          <cell r="C791">
            <v>12</v>
          </cell>
          <cell r="F791" t="str">
            <v/>
          </cell>
          <cell r="G791" t="str">
            <v/>
          </cell>
          <cell r="H791">
            <v>180</v>
          </cell>
        </row>
        <row r="792">
          <cell r="B792" t="str">
            <v>3711CCA21</v>
          </cell>
          <cell r="D792">
            <v>5643.61</v>
          </cell>
          <cell r="E792">
            <v>29617.23899999999</v>
          </cell>
          <cell r="F792" t="str">
            <v>-40391.33</v>
          </cell>
          <cell r="G792" t="str">
            <v>161121.72</v>
          </cell>
          <cell r="I792" t="str">
            <v>S</v>
          </cell>
          <cell r="K792" t="str">
            <v>Rígida</v>
          </cell>
          <cell r="L792" t="str">
            <v>C859-A</v>
          </cell>
          <cell r="Q792">
            <v>3.8</v>
          </cell>
          <cell r="S792" t="str">
            <v>+20</v>
          </cell>
        </row>
        <row r="793">
          <cell r="C793">
            <v>12</v>
          </cell>
          <cell r="F793" t="str">
            <v/>
          </cell>
          <cell r="G793" t="str">
            <v/>
          </cell>
          <cell r="H793">
            <v>180</v>
          </cell>
        </row>
        <row r="794">
          <cell r="B794" t="str">
            <v>3711CCA23</v>
          </cell>
          <cell r="D794">
            <v>5655.61</v>
          </cell>
          <cell r="E794">
            <v>29605.23899999999</v>
          </cell>
          <cell r="F794" t="str">
            <v>-40383.30</v>
          </cell>
          <cell r="G794" t="str">
            <v>161112.80</v>
          </cell>
          <cell r="I794" t="str">
            <v>S</v>
          </cell>
          <cell r="K794" t="str">
            <v>Rígida</v>
          </cell>
          <cell r="L794" t="str">
            <v>C859-A</v>
          </cell>
          <cell r="Q794">
            <v>3.8</v>
          </cell>
          <cell r="S794" t="str">
            <v>+12</v>
          </cell>
        </row>
        <row r="795">
          <cell r="C795">
            <v>12</v>
          </cell>
          <cell r="F795" t="str">
            <v/>
          </cell>
          <cell r="G795" t="str">
            <v/>
          </cell>
          <cell r="H795">
            <v>180</v>
          </cell>
        </row>
        <row r="796">
          <cell r="B796" t="str">
            <v>3711CCA25</v>
          </cell>
          <cell r="D796">
            <v>5667.61</v>
          </cell>
          <cell r="E796">
            <v>29593.23899999999</v>
          </cell>
          <cell r="F796" t="str">
            <v>-40374.70</v>
          </cell>
          <cell r="G796" t="str">
            <v>161104.43</v>
          </cell>
          <cell r="I796" t="str">
            <v>S</v>
          </cell>
          <cell r="K796" t="str">
            <v>Rígida</v>
          </cell>
          <cell r="L796" t="str">
            <v>C859-A</v>
          </cell>
          <cell r="Q796">
            <v>3.8</v>
          </cell>
          <cell r="S796" t="str">
            <v>+4</v>
          </cell>
        </row>
        <row r="797">
          <cell r="C797">
            <v>12</v>
          </cell>
          <cell r="F797" t="str">
            <v/>
          </cell>
          <cell r="G797" t="str">
            <v/>
          </cell>
          <cell r="H797">
            <v>180</v>
          </cell>
        </row>
        <row r="798">
          <cell r="B798" t="str">
            <v>3711CCA27</v>
          </cell>
          <cell r="D798">
            <v>5679.61</v>
          </cell>
          <cell r="E798">
            <v>29581.23899999999</v>
          </cell>
          <cell r="F798" t="str">
            <v>-40365.55</v>
          </cell>
          <cell r="G798" t="str">
            <v>161096.67</v>
          </cell>
          <cell r="I798" t="str">
            <v>S</v>
          </cell>
          <cell r="K798" t="str">
            <v>Rígida</v>
          </cell>
          <cell r="L798" t="str">
            <v>C859-A</v>
          </cell>
          <cell r="Q798">
            <v>3.8</v>
          </cell>
          <cell r="S798">
            <v>-4</v>
          </cell>
        </row>
        <row r="799">
          <cell r="C799">
            <v>12</v>
          </cell>
          <cell r="F799" t="str">
            <v/>
          </cell>
          <cell r="G799" t="str">
            <v/>
          </cell>
          <cell r="H799" t="str">
            <v>Clo</v>
          </cell>
        </row>
        <row r="800">
          <cell r="B800" t="str">
            <v>3711CCA29</v>
          </cell>
          <cell r="D800">
            <v>5691.61</v>
          </cell>
          <cell r="E800">
            <v>29569.23899999999</v>
          </cell>
          <cell r="F800" t="str">
            <v>-40355.93</v>
          </cell>
          <cell r="G800" t="str">
            <v>161089.49</v>
          </cell>
          <cell r="I800" t="str">
            <v>S</v>
          </cell>
          <cell r="K800" t="str">
            <v>Rígida</v>
          </cell>
          <cell r="L800" t="str">
            <v>C859-A</v>
          </cell>
          <cell r="Q800">
            <v>3.8</v>
          </cell>
          <cell r="S800">
            <v>-12</v>
          </cell>
        </row>
        <row r="801">
          <cell r="C801">
            <v>8.1999999999999993</v>
          </cell>
          <cell r="F801" t="str">
            <v/>
          </cell>
          <cell r="G801" t="str">
            <v/>
          </cell>
          <cell r="H801" t="str">
            <v>Clo</v>
          </cell>
        </row>
        <row r="802">
          <cell r="B802" t="str">
            <v>3711CCA31</v>
          </cell>
          <cell r="D802">
            <v>5699.8099999999995</v>
          </cell>
          <cell r="E802">
            <v>29561.03899999999</v>
          </cell>
          <cell r="F802" t="str">
            <v>-40349.17</v>
          </cell>
          <cell r="G802" t="str">
            <v>161084.79</v>
          </cell>
          <cell r="I802" t="str">
            <v>S</v>
          </cell>
          <cell r="K802" t="str">
            <v>Rígida</v>
          </cell>
          <cell r="L802" t="str">
            <v>C859-A</v>
          </cell>
          <cell r="Q802">
            <v>3.8</v>
          </cell>
          <cell r="S802">
            <v>-20</v>
          </cell>
        </row>
        <row r="803">
          <cell r="C803">
            <v>12</v>
          </cell>
          <cell r="F803" t="str">
            <v/>
          </cell>
          <cell r="G803" t="str">
            <v/>
          </cell>
          <cell r="H803" t="str">
            <v>Clo</v>
          </cell>
        </row>
        <row r="804">
          <cell r="B804" t="str">
            <v>3711CCA33</v>
          </cell>
          <cell r="D804">
            <v>5711.91</v>
          </cell>
          <cell r="E804">
            <v>29549.03899999999</v>
          </cell>
          <cell r="F804" t="str">
            <v>-40339.26</v>
          </cell>
          <cell r="G804" t="str">
            <v>161078.03</v>
          </cell>
          <cell r="I804" t="str">
            <v>S</v>
          </cell>
          <cell r="K804" t="str">
            <v>Rígida</v>
          </cell>
          <cell r="L804" t="str">
            <v>C859-A</v>
          </cell>
          <cell r="Q804">
            <v>3.8</v>
          </cell>
          <cell r="S804">
            <v>-12</v>
          </cell>
        </row>
        <row r="805">
          <cell r="C805">
            <v>12</v>
          </cell>
          <cell r="F805" t="str">
            <v/>
          </cell>
          <cell r="G805" t="str">
            <v/>
          </cell>
        </row>
        <row r="806">
          <cell r="B806" t="str">
            <v>3711CCA35</v>
          </cell>
          <cell r="D806">
            <v>5723.91</v>
          </cell>
          <cell r="E806">
            <v>29537.03899999999</v>
          </cell>
          <cell r="F806" t="str">
            <v>-40329.34</v>
          </cell>
          <cell r="G806" t="str">
            <v>161071.27</v>
          </cell>
          <cell r="I806" t="str">
            <v>S</v>
          </cell>
          <cell r="K806" t="str">
            <v>Rígida</v>
          </cell>
          <cell r="L806" t="str">
            <v>C859-A</v>
          </cell>
          <cell r="Q806">
            <v>3.8</v>
          </cell>
          <cell r="S806" t="str">
            <v>+12</v>
          </cell>
          <cell r="T806">
            <v>-20</v>
          </cell>
          <cell r="U806" t="str">
            <v>Cantón 392,6 m</v>
          </cell>
          <cell r="X806" t="str">
            <v>FA</v>
          </cell>
        </row>
        <row r="807">
          <cell r="C807">
            <v>12</v>
          </cell>
          <cell r="F807" t="str">
            <v/>
          </cell>
          <cell r="G807" t="str">
            <v/>
          </cell>
          <cell r="U807" t="str">
            <v>Seccionamento</v>
          </cell>
        </row>
        <row r="808">
          <cell r="B808" t="str">
            <v>3711CCA37</v>
          </cell>
          <cell r="D808">
            <v>5735.91</v>
          </cell>
          <cell r="E808">
            <v>29525.03899999999</v>
          </cell>
          <cell r="F808" t="str">
            <v>-40324.22</v>
          </cell>
          <cell r="G808" t="str">
            <v>161067.78</v>
          </cell>
          <cell r="I808" t="str">
            <v>SE</v>
          </cell>
          <cell r="K808" t="str">
            <v>Rígida</v>
          </cell>
          <cell r="L808" t="str">
            <v>C860-A</v>
          </cell>
          <cell r="Q808">
            <v>3.8</v>
          </cell>
          <cell r="S808" t="str">
            <v>+20</v>
          </cell>
          <cell r="T808">
            <v>-12</v>
          </cell>
          <cell r="U808" t="str">
            <v>Cantón 360,4 m</v>
          </cell>
          <cell r="V808" t="str">
            <v>Caix. Secc. e Con.</v>
          </cell>
          <cell r="W808" t="str">
            <v>Caix. Imped.</v>
          </cell>
        </row>
        <row r="809">
          <cell r="C809">
            <v>6.2</v>
          </cell>
          <cell r="F809" t="str">
            <v/>
          </cell>
          <cell r="G809" t="str">
            <v/>
          </cell>
        </row>
        <row r="810">
          <cell r="B810" t="str">
            <v>3711CCA39</v>
          </cell>
          <cell r="D810">
            <v>5742.11</v>
          </cell>
          <cell r="E810">
            <v>29518.838999999989</v>
          </cell>
          <cell r="F810" t="str">
            <v>-40314.30</v>
          </cell>
          <cell r="G810" t="str">
            <v>161061.02</v>
          </cell>
          <cell r="I810" t="str">
            <v>SE</v>
          </cell>
          <cell r="K810" t="str">
            <v>Rígida</v>
          </cell>
          <cell r="L810" t="str">
            <v>C860-A</v>
          </cell>
          <cell r="Q810">
            <v>3.8</v>
          </cell>
          <cell r="S810" t="str">
            <v>+12</v>
          </cell>
        </row>
        <row r="811">
          <cell r="C811">
            <v>12</v>
          </cell>
          <cell r="F811" t="str">
            <v/>
          </cell>
          <cell r="G811" t="str">
            <v/>
          </cell>
        </row>
        <row r="812">
          <cell r="B812" t="str">
            <v>3711CCA41</v>
          </cell>
          <cell r="D812">
            <v>5754.11</v>
          </cell>
          <cell r="E812">
            <v>29506.838999999989</v>
          </cell>
          <cell r="F812" t="str">
            <v>-40304.39</v>
          </cell>
          <cell r="G812" t="str">
            <v>161054.26</v>
          </cell>
          <cell r="I812" t="str">
            <v>S</v>
          </cell>
          <cell r="K812" t="str">
            <v>Rígida</v>
          </cell>
          <cell r="L812" t="str">
            <v>C859-A</v>
          </cell>
          <cell r="Q812">
            <v>3.8</v>
          </cell>
          <cell r="S812" t="str">
            <v>+4</v>
          </cell>
        </row>
        <row r="813">
          <cell r="C813">
            <v>12</v>
          </cell>
          <cell r="F813" t="str">
            <v/>
          </cell>
          <cell r="G813" t="str">
            <v/>
          </cell>
        </row>
        <row r="814">
          <cell r="B814" t="str">
            <v>3711CCA43</v>
          </cell>
          <cell r="D814">
            <v>5766.11</v>
          </cell>
          <cell r="E814">
            <v>29494.838999999989</v>
          </cell>
          <cell r="F814" t="str">
            <v>-40294.47</v>
          </cell>
          <cell r="G814" t="str">
            <v>161047.50</v>
          </cell>
          <cell r="I814" t="str">
            <v>S</v>
          </cell>
          <cell r="K814" t="str">
            <v>Rígida</v>
          </cell>
          <cell r="L814" t="str">
            <v>C859-A</v>
          </cell>
          <cell r="Q814">
            <v>3.8</v>
          </cell>
          <cell r="S814">
            <v>-4</v>
          </cell>
        </row>
        <row r="815">
          <cell r="C815">
            <v>12</v>
          </cell>
          <cell r="F815" t="str">
            <v/>
          </cell>
          <cell r="G815" t="str">
            <v/>
          </cell>
        </row>
        <row r="816">
          <cell r="B816" t="str">
            <v>3711CCA45</v>
          </cell>
          <cell r="D816">
            <v>5778.11</v>
          </cell>
          <cell r="E816">
            <v>29482.838999999989</v>
          </cell>
          <cell r="F816" t="str">
            <v>-40284.55</v>
          </cell>
          <cell r="G816" t="str">
            <v>161040.75</v>
          </cell>
          <cell r="I816" t="str">
            <v>S</v>
          </cell>
          <cell r="K816" t="str">
            <v>Rígida</v>
          </cell>
          <cell r="L816" t="str">
            <v>C859-A</v>
          </cell>
          <cell r="Q816">
            <v>3.8</v>
          </cell>
          <cell r="S816">
            <v>-12</v>
          </cell>
        </row>
        <row r="817">
          <cell r="C817">
            <v>12</v>
          </cell>
          <cell r="F817" t="str">
            <v/>
          </cell>
          <cell r="G817" t="str">
            <v/>
          </cell>
        </row>
        <row r="818">
          <cell r="B818" t="str">
            <v>3711CCA47</v>
          </cell>
          <cell r="D818">
            <v>5790.11</v>
          </cell>
          <cell r="E818">
            <v>29470.838999999989</v>
          </cell>
          <cell r="F818" t="str">
            <v>-40274.64</v>
          </cell>
          <cell r="G818" t="str">
            <v>161033.99</v>
          </cell>
          <cell r="I818" t="str">
            <v>S</v>
          </cell>
          <cell r="K818" t="str">
            <v>Rígida</v>
          </cell>
          <cell r="L818" t="str">
            <v>C859-A</v>
          </cell>
          <cell r="Q818">
            <v>3.8</v>
          </cell>
          <cell r="S818">
            <v>-20</v>
          </cell>
        </row>
        <row r="819">
          <cell r="C819">
            <v>12</v>
          </cell>
          <cell r="F819" t="str">
            <v/>
          </cell>
          <cell r="G819" t="str">
            <v/>
          </cell>
        </row>
        <row r="820">
          <cell r="B820" t="str">
            <v>3711CCA49</v>
          </cell>
          <cell r="D820">
            <v>5802.11</v>
          </cell>
          <cell r="E820">
            <v>29458.838999999989</v>
          </cell>
          <cell r="F820" t="str">
            <v>-40264.72</v>
          </cell>
          <cell r="G820" t="str">
            <v>161027.23</v>
          </cell>
          <cell r="I820" t="str">
            <v>S</v>
          </cell>
          <cell r="K820" t="str">
            <v>Rígida</v>
          </cell>
          <cell r="L820" t="str">
            <v>C859-A</v>
          </cell>
          <cell r="Q820">
            <v>3.8</v>
          </cell>
          <cell r="S820">
            <v>-12</v>
          </cell>
        </row>
        <row r="821">
          <cell r="C821">
            <v>12</v>
          </cell>
          <cell r="F821" t="str">
            <v/>
          </cell>
          <cell r="G821" t="str">
            <v/>
          </cell>
        </row>
        <row r="822">
          <cell r="B822" t="str">
            <v>3711CCA51</v>
          </cell>
          <cell r="D822">
            <v>5814.11</v>
          </cell>
          <cell r="E822">
            <v>29446.838999999989</v>
          </cell>
          <cell r="F822" t="str">
            <v>-40254.80</v>
          </cell>
          <cell r="G822" t="str">
            <v>161020.48</v>
          </cell>
          <cell r="I822" t="str">
            <v>S</v>
          </cell>
          <cell r="K822" t="str">
            <v>Rígida</v>
          </cell>
          <cell r="L822" t="str">
            <v>C859-A</v>
          </cell>
          <cell r="Q822">
            <v>3.8</v>
          </cell>
          <cell r="S822">
            <v>-4</v>
          </cell>
        </row>
        <row r="823">
          <cell r="C823">
            <v>12</v>
          </cell>
          <cell r="F823" t="str">
            <v/>
          </cell>
          <cell r="G823" t="str">
            <v/>
          </cell>
        </row>
        <row r="824">
          <cell r="B824" t="str">
            <v>3711CCA53</v>
          </cell>
          <cell r="D824">
            <v>5826.11</v>
          </cell>
          <cell r="E824">
            <v>29434.838999999989</v>
          </cell>
          <cell r="F824" t="str">
            <v>-40244.89</v>
          </cell>
          <cell r="G824" t="str">
            <v>161013.72</v>
          </cell>
          <cell r="I824" t="str">
            <v>S</v>
          </cell>
          <cell r="K824" t="str">
            <v>Rígida</v>
          </cell>
          <cell r="L824" t="str">
            <v>C859-A</v>
          </cell>
          <cell r="Q824">
            <v>3.8</v>
          </cell>
          <cell r="S824" t="str">
            <v>+4</v>
          </cell>
        </row>
        <row r="825">
          <cell r="C825">
            <v>12</v>
          </cell>
          <cell r="F825" t="str">
            <v/>
          </cell>
          <cell r="G825" t="str">
            <v/>
          </cell>
        </row>
        <row r="826">
          <cell r="B826" t="str">
            <v>3711CCA55</v>
          </cell>
          <cell r="D826">
            <v>5838.11</v>
          </cell>
          <cell r="E826">
            <v>29422.838999999989</v>
          </cell>
          <cell r="F826" t="str">
            <v>-40234.97</v>
          </cell>
          <cell r="G826" t="str">
            <v>161006.96</v>
          </cell>
          <cell r="I826" t="str">
            <v>S</v>
          </cell>
          <cell r="K826" t="str">
            <v>Rígida</v>
          </cell>
          <cell r="L826" t="str">
            <v>C859-A</v>
          </cell>
          <cell r="Q826">
            <v>3.8</v>
          </cell>
          <cell r="S826" t="str">
            <v>+12</v>
          </cell>
        </row>
        <row r="827">
          <cell r="C827">
            <v>12</v>
          </cell>
          <cell r="F827" t="str">
            <v/>
          </cell>
          <cell r="G827" t="str">
            <v/>
          </cell>
        </row>
        <row r="828">
          <cell r="B828" t="str">
            <v>3711CCA57</v>
          </cell>
          <cell r="D828">
            <v>5850.11</v>
          </cell>
          <cell r="E828">
            <v>29410.838999999989</v>
          </cell>
          <cell r="F828" t="str">
            <v>-40225.06</v>
          </cell>
          <cell r="G828" t="str">
            <v>161000.20</v>
          </cell>
          <cell r="I828" t="str">
            <v>S</v>
          </cell>
          <cell r="K828" t="str">
            <v>Rígida</v>
          </cell>
          <cell r="L828" t="str">
            <v>C859-A</v>
          </cell>
          <cell r="Q828">
            <v>3.8</v>
          </cell>
          <cell r="S828" t="str">
            <v>+20</v>
          </cell>
        </row>
        <row r="829">
          <cell r="C829">
            <v>12</v>
          </cell>
          <cell r="F829" t="str">
            <v/>
          </cell>
          <cell r="G829" t="str">
            <v/>
          </cell>
        </row>
        <row r="830">
          <cell r="B830" t="str">
            <v>3711CCA59</v>
          </cell>
          <cell r="D830">
            <v>5862.11</v>
          </cell>
          <cell r="E830">
            <v>29398.838999999989</v>
          </cell>
          <cell r="F830" t="str">
            <v>-40215.14</v>
          </cell>
          <cell r="G830" t="str">
            <v>160993.44</v>
          </cell>
          <cell r="I830" t="str">
            <v>S</v>
          </cell>
          <cell r="K830" t="str">
            <v>Rígida</v>
          </cell>
          <cell r="L830" t="str">
            <v>C859-A</v>
          </cell>
          <cell r="Q830">
            <v>3.8</v>
          </cell>
          <cell r="S830" t="str">
            <v>+12</v>
          </cell>
        </row>
        <row r="831">
          <cell r="C831">
            <v>12</v>
          </cell>
          <cell r="F831" t="str">
            <v/>
          </cell>
          <cell r="G831" t="str">
            <v/>
          </cell>
        </row>
        <row r="832">
          <cell r="B832" t="str">
            <v>3711CCA61</v>
          </cell>
          <cell r="D832">
            <v>5874.11</v>
          </cell>
          <cell r="E832">
            <v>29386.838999999989</v>
          </cell>
          <cell r="F832" t="str">
            <v>-40205.22</v>
          </cell>
          <cell r="G832" t="str">
            <v>160986.68</v>
          </cell>
          <cell r="I832" t="str">
            <v>S</v>
          </cell>
          <cell r="K832" t="str">
            <v>Rígida</v>
          </cell>
          <cell r="L832" t="str">
            <v>C859-A</v>
          </cell>
          <cell r="Q832">
            <v>3.8</v>
          </cell>
          <cell r="S832" t="str">
            <v>+4</v>
          </cell>
        </row>
        <row r="833">
          <cell r="C833">
            <v>12</v>
          </cell>
          <cell r="F833" t="str">
            <v/>
          </cell>
          <cell r="G833" t="str">
            <v/>
          </cell>
        </row>
        <row r="834">
          <cell r="B834" t="str">
            <v>3711CCA63</v>
          </cell>
          <cell r="D834">
            <v>5886.11</v>
          </cell>
          <cell r="E834">
            <v>29374.838999999989</v>
          </cell>
          <cell r="F834" t="str">
            <v>-40195.30</v>
          </cell>
          <cell r="G834" t="str">
            <v>160979.93</v>
          </cell>
          <cell r="I834" t="str">
            <v>S</v>
          </cell>
          <cell r="K834" t="str">
            <v>Rígida</v>
          </cell>
          <cell r="L834" t="str">
            <v>C859-A</v>
          </cell>
          <cell r="Q834">
            <v>3.8</v>
          </cell>
          <cell r="S834">
            <v>-4</v>
          </cell>
        </row>
        <row r="835">
          <cell r="C835">
            <v>12</v>
          </cell>
          <cell r="F835" t="str">
            <v/>
          </cell>
          <cell r="G835" t="str">
            <v/>
          </cell>
        </row>
        <row r="836">
          <cell r="B836" t="str">
            <v>3711CCA65</v>
          </cell>
          <cell r="D836">
            <v>5898.11</v>
          </cell>
          <cell r="E836">
            <v>29362.838999999989</v>
          </cell>
          <cell r="F836" t="str">
            <v>-40185.39</v>
          </cell>
          <cell r="G836" t="str">
            <v>160973.18</v>
          </cell>
          <cell r="I836" t="str">
            <v>S</v>
          </cell>
          <cell r="K836" t="str">
            <v>Rígida</v>
          </cell>
          <cell r="L836" t="str">
            <v>C859-A</v>
          </cell>
          <cell r="Q836">
            <v>3.8</v>
          </cell>
          <cell r="S836">
            <v>-12</v>
          </cell>
        </row>
        <row r="837">
          <cell r="C837">
            <v>12</v>
          </cell>
          <cell r="F837" t="str">
            <v/>
          </cell>
          <cell r="G837" t="str">
            <v/>
          </cell>
        </row>
        <row r="838">
          <cell r="B838" t="str">
            <v>3711CCA67</v>
          </cell>
          <cell r="D838">
            <v>5910.11</v>
          </cell>
          <cell r="E838">
            <v>29350.838999999989</v>
          </cell>
          <cell r="F838" t="str">
            <v>-40175.47</v>
          </cell>
          <cell r="G838" t="str">
            <v>160966.42</v>
          </cell>
          <cell r="I838" t="str">
            <v>PF</v>
          </cell>
          <cell r="K838" t="str">
            <v>Rígida</v>
          </cell>
          <cell r="L838" t="str">
            <v>C863-A</v>
          </cell>
          <cell r="Q838">
            <v>3.8</v>
          </cell>
          <cell r="S838">
            <v>-20</v>
          </cell>
        </row>
        <row r="839">
          <cell r="C839">
            <v>12</v>
          </cell>
          <cell r="F839" t="str">
            <v/>
          </cell>
          <cell r="G839" t="str">
            <v/>
          </cell>
        </row>
        <row r="840">
          <cell r="B840" t="str">
            <v>3711CCA69</v>
          </cell>
          <cell r="D840">
            <v>5922.11</v>
          </cell>
          <cell r="E840">
            <v>29338.838999999989</v>
          </cell>
          <cell r="F840" t="str">
            <v>-40165.55</v>
          </cell>
          <cell r="G840" t="str">
            <v>160959.66</v>
          </cell>
          <cell r="I840" t="str">
            <v>S</v>
          </cell>
          <cell r="K840" t="str">
            <v>Rígida</v>
          </cell>
          <cell r="L840" t="str">
            <v>C859-A</v>
          </cell>
          <cell r="Q840">
            <v>3.8</v>
          </cell>
          <cell r="S840">
            <v>-12</v>
          </cell>
        </row>
        <row r="841">
          <cell r="C841">
            <v>12</v>
          </cell>
          <cell r="F841" t="str">
            <v/>
          </cell>
          <cell r="G841" t="str">
            <v/>
          </cell>
        </row>
        <row r="842">
          <cell r="B842" t="str">
            <v>3711CCA71</v>
          </cell>
          <cell r="D842">
            <v>5934.11</v>
          </cell>
          <cell r="E842">
            <v>29326.838999999989</v>
          </cell>
          <cell r="F842" t="str">
            <v>-40155.64</v>
          </cell>
          <cell r="G842" t="str">
            <v>160952.90</v>
          </cell>
          <cell r="I842" t="str">
            <v>S</v>
          </cell>
          <cell r="K842" t="str">
            <v>Rígida</v>
          </cell>
          <cell r="L842" t="str">
            <v>C859-A</v>
          </cell>
          <cell r="Q842">
            <v>3.8</v>
          </cell>
          <cell r="S842">
            <v>-4</v>
          </cell>
        </row>
        <row r="843">
          <cell r="C843">
            <v>12</v>
          </cell>
          <cell r="F843" t="str">
            <v/>
          </cell>
          <cell r="G843" t="str">
            <v/>
          </cell>
          <cell r="H843" t="str">
            <v>Clo</v>
          </cell>
        </row>
        <row r="844">
          <cell r="B844" t="str">
            <v>3711CCA73</v>
          </cell>
          <cell r="D844">
            <v>5946.11</v>
          </cell>
          <cell r="E844">
            <v>29314.838999999989</v>
          </cell>
          <cell r="F844" t="str">
            <v>-40145.71</v>
          </cell>
          <cell r="G844" t="str">
            <v>160946.14</v>
          </cell>
          <cell r="I844" t="str">
            <v>S</v>
          </cell>
          <cell r="K844" t="str">
            <v>Rígida</v>
          </cell>
          <cell r="L844" t="str">
            <v>C859-A</v>
          </cell>
          <cell r="Q844">
            <v>3.8</v>
          </cell>
          <cell r="S844" t="str">
            <v>+4</v>
          </cell>
        </row>
        <row r="845">
          <cell r="C845">
            <v>12</v>
          </cell>
          <cell r="F845" t="str">
            <v/>
          </cell>
          <cell r="G845" t="str">
            <v/>
          </cell>
          <cell r="H845" t="str">
            <v>Clo</v>
          </cell>
        </row>
        <row r="846">
          <cell r="B846" t="str">
            <v>3711CCA75</v>
          </cell>
          <cell r="D846">
            <v>5958.11</v>
          </cell>
          <cell r="E846">
            <v>29302.838999999989</v>
          </cell>
          <cell r="F846" t="str">
            <v>-40135.87</v>
          </cell>
          <cell r="G846" t="str">
            <v>160939.27</v>
          </cell>
          <cell r="I846" t="str">
            <v>S</v>
          </cell>
          <cell r="K846" t="str">
            <v>Rígida</v>
          </cell>
          <cell r="L846" t="str">
            <v>C859-A</v>
          </cell>
          <cell r="Q846">
            <v>3.8</v>
          </cell>
          <cell r="S846" t="str">
            <v>+12</v>
          </cell>
        </row>
        <row r="847">
          <cell r="C847">
            <v>12</v>
          </cell>
          <cell r="F847" t="str">
            <v/>
          </cell>
          <cell r="G847" t="str">
            <v/>
          </cell>
          <cell r="H847" t="str">
            <v>Clo</v>
          </cell>
        </row>
        <row r="848">
          <cell r="B848" t="str">
            <v>3711CCA77</v>
          </cell>
          <cell r="D848">
            <v>5970.11</v>
          </cell>
          <cell r="E848">
            <v>29290.838999999989</v>
          </cell>
          <cell r="F848" t="str">
            <v>-40126.14</v>
          </cell>
          <cell r="G848" t="str">
            <v>160932.24</v>
          </cell>
          <cell r="I848" t="str">
            <v>S</v>
          </cell>
          <cell r="K848" t="str">
            <v>Rígida</v>
          </cell>
          <cell r="L848" t="str">
            <v>C859-A</v>
          </cell>
          <cell r="Q848">
            <v>3.8</v>
          </cell>
          <cell r="S848" t="str">
            <v>+20</v>
          </cell>
        </row>
        <row r="849">
          <cell r="C849">
            <v>12</v>
          </cell>
          <cell r="F849" t="str">
            <v/>
          </cell>
          <cell r="G849" t="str">
            <v/>
          </cell>
          <cell r="H849">
            <v>-500</v>
          </cell>
        </row>
        <row r="850">
          <cell r="B850" t="str">
            <v>3711CCA79</v>
          </cell>
          <cell r="D850">
            <v>5982.11</v>
          </cell>
          <cell r="E850">
            <v>29278.838999999989</v>
          </cell>
          <cell r="F850" t="str">
            <v>-40116.59</v>
          </cell>
          <cell r="G850" t="str">
            <v>160924.98</v>
          </cell>
          <cell r="I850" t="str">
            <v>S</v>
          </cell>
          <cell r="K850" t="str">
            <v>Rígida</v>
          </cell>
          <cell r="L850" t="str">
            <v>C859-A</v>
          </cell>
          <cell r="Q850">
            <v>3.8</v>
          </cell>
          <cell r="S850" t="str">
            <v>+12</v>
          </cell>
        </row>
        <row r="851">
          <cell r="C851">
            <v>12</v>
          </cell>
          <cell r="F851" t="str">
            <v/>
          </cell>
          <cell r="G851" t="str">
            <v/>
          </cell>
          <cell r="H851">
            <v>-500</v>
          </cell>
        </row>
        <row r="852">
          <cell r="B852" t="str">
            <v>3711CCA81</v>
          </cell>
          <cell r="D852">
            <v>5994.11</v>
          </cell>
          <cell r="E852">
            <v>29266.838999999989</v>
          </cell>
          <cell r="F852" t="str">
            <v>-40107.21</v>
          </cell>
          <cell r="G852" t="str">
            <v>160917.49</v>
          </cell>
          <cell r="I852" t="str">
            <v>S</v>
          </cell>
          <cell r="K852" t="str">
            <v>Rígida</v>
          </cell>
          <cell r="L852" t="str">
            <v>C859-A</v>
          </cell>
          <cell r="Q852">
            <v>3.8</v>
          </cell>
          <cell r="S852" t="str">
            <v>+4</v>
          </cell>
        </row>
        <row r="853">
          <cell r="C853">
            <v>12</v>
          </cell>
          <cell r="F853" t="str">
            <v/>
          </cell>
          <cell r="G853" t="str">
            <v/>
          </cell>
          <cell r="H853">
            <v>-500</v>
          </cell>
        </row>
        <row r="854">
          <cell r="B854" t="str">
            <v>3711CCA83</v>
          </cell>
          <cell r="D854">
            <v>6006.11</v>
          </cell>
          <cell r="E854">
            <v>29254.838999999989</v>
          </cell>
          <cell r="F854" t="str">
            <v>-40098.02</v>
          </cell>
          <cell r="G854" t="str">
            <v>160909.78</v>
          </cell>
          <cell r="I854" t="str">
            <v>S</v>
          </cell>
          <cell r="K854" t="str">
            <v>Rígida</v>
          </cell>
          <cell r="L854" t="str">
            <v>C859-A</v>
          </cell>
          <cell r="Q854">
            <v>3.8</v>
          </cell>
          <cell r="S854">
            <v>-4</v>
          </cell>
        </row>
        <row r="855">
          <cell r="C855">
            <v>12</v>
          </cell>
          <cell r="F855" t="str">
            <v/>
          </cell>
          <cell r="G855" t="str">
            <v/>
          </cell>
          <cell r="H855">
            <v>-500</v>
          </cell>
        </row>
        <row r="856">
          <cell r="B856" t="str">
            <v>3711CCA85</v>
          </cell>
          <cell r="D856">
            <v>6018.11</v>
          </cell>
          <cell r="E856">
            <v>29242.838999999989</v>
          </cell>
          <cell r="F856" t="str">
            <v>-40089.01</v>
          </cell>
          <cell r="G856" t="str">
            <v>160901.85</v>
          </cell>
          <cell r="I856" t="str">
            <v>S</v>
          </cell>
          <cell r="K856" t="str">
            <v>Rígida</v>
          </cell>
          <cell r="L856" t="str">
            <v>C859-A</v>
          </cell>
          <cell r="Q856">
            <v>3.8</v>
          </cell>
          <cell r="S856">
            <v>-12</v>
          </cell>
        </row>
        <row r="857">
          <cell r="C857">
            <v>12</v>
          </cell>
          <cell r="F857" t="str">
            <v/>
          </cell>
          <cell r="G857" t="str">
            <v/>
          </cell>
          <cell r="H857">
            <v>-500</v>
          </cell>
        </row>
        <row r="858">
          <cell r="B858" t="str">
            <v>3711CCA87</v>
          </cell>
          <cell r="D858">
            <v>6030.11</v>
          </cell>
          <cell r="E858">
            <v>29230.838999999989</v>
          </cell>
          <cell r="F858" t="str">
            <v>-40080.19</v>
          </cell>
          <cell r="G858" t="str">
            <v>160893.71</v>
          </cell>
          <cell r="I858" t="str">
            <v>S</v>
          </cell>
          <cell r="K858" t="str">
            <v>Rígida</v>
          </cell>
          <cell r="L858" t="str">
            <v>C859-A</v>
          </cell>
          <cell r="Q858">
            <v>3.8</v>
          </cell>
          <cell r="S858">
            <v>-20</v>
          </cell>
        </row>
        <row r="859">
          <cell r="C859">
            <v>12</v>
          </cell>
          <cell r="F859" t="str">
            <v/>
          </cell>
          <cell r="G859" t="str">
            <v/>
          </cell>
          <cell r="H859">
            <v>-500</v>
          </cell>
        </row>
        <row r="860">
          <cell r="B860" t="str">
            <v>3711CCA89</v>
          </cell>
          <cell r="D860">
            <v>6042.11</v>
          </cell>
          <cell r="E860">
            <v>29218.838999999989</v>
          </cell>
          <cell r="F860" t="str">
            <v>-40071.57</v>
          </cell>
          <cell r="G860" t="str">
            <v>160885.36</v>
          </cell>
          <cell r="I860" t="str">
            <v>S</v>
          </cell>
          <cell r="K860" t="str">
            <v>Rígida</v>
          </cell>
          <cell r="L860" t="str">
            <v>C859-A</v>
          </cell>
          <cell r="Q860">
            <v>3.8</v>
          </cell>
          <cell r="S860">
            <v>-12</v>
          </cell>
        </row>
        <row r="861">
          <cell r="C861">
            <v>12</v>
          </cell>
          <cell r="F861" t="str">
            <v/>
          </cell>
          <cell r="G861" t="str">
            <v/>
          </cell>
          <cell r="H861" t="str">
            <v>Clo</v>
          </cell>
        </row>
        <row r="862">
          <cell r="B862" t="str">
            <v>3711CCA91</v>
          </cell>
          <cell r="D862">
            <v>6054.11</v>
          </cell>
          <cell r="E862">
            <v>29206.838999999989</v>
          </cell>
          <cell r="F862" t="str">
            <v>-40063.13</v>
          </cell>
          <cell r="G862" t="str">
            <v>160876.85</v>
          </cell>
          <cell r="I862" t="str">
            <v>S</v>
          </cell>
          <cell r="K862" t="str">
            <v>Rígida</v>
          </cell>
          <cell r="L862" t="str">
            <v>C859-A</v>
          </cell>
          <cell r="Q862">
            <v>3.8</v>
          </cell>
          <cell r="S862">
            <v>-4</v>
          </cell>
        </row>
        <row r="863">
          <cell r="C863">
            <v>12</v>
          </cell>
          <cell r="F863" t="str">
            <v/>
          </cell>
          <cell r="G863" t="str">
            <v/>
          </cell>
          <cell r="H863" t="str">
            <v>Clo</v>
          </cell>
        </row>
        <row r="864">
          <cell r="B864" t="str">
            <v>3711CCA93</v>
          </cell>
          <cell r="D864">
            <v>6066.11</v>
          </cell>
          <cell r="E864">
            <v>29194.838999999989</v>
          </cell>
          <cell r="F864" t="str">
            <v>-40054.77</v>
          </cell>
          <cell r="G864" t="str">
            <v>160868.24</v>
          </cell>
          <cell r="I864" t="str">
            <v>S</v>
          </cell>
          <cell r="K864" t="str">
            <v>Rígida</v>
          </cell>
          <cell r="L864" t="str">
            <v>C859-A</v>
          </cell>
          <cell r="Q864">
            <v>3.8</v>
          </cell>
          <cell r="S864" t="str">
            <v>+4</v>
          </cell>
        </row>
        <row r="865">
          <cell r="C865">
            <v>12</v>
          </cell>
          <cell r="F865" t="str">
            <v/>
          </cell>
          <cell r="G865" t="str">
            <v/>
          </cell>
        </row>
        <row r="866">
          <cell r="B866" t="str">
            <v>3711CCA95</v>
          </cell>
          <cell r="D866">
            <v>6078.11</v>
          </cell>
          <cell r="E866">
            <v>29182.838999999989</v>
          </cell>
          <cell r="F866" t="str">
            <v>-40046.42</v>
          </cell>
          <cell r="G866" t="str">
            <v>160859.62</v>
          </cell>
          <cell r="I866" t="str">
            <v>S</v>
          </cell>
          <cell r="K866" t="str">
            <v>Rígida</v>
          </cell>
          <cell r="L866" t="str">
            <v>C859-A</v>
          </cell>
          <cell r="Q866">
            <v>3.8</v>
          </cell>
          <cell r="S866" t="str">
            <v>+12</v>
          </cell>
        </row>
        <row r="867">
          <cell r="C867">
            <v>12</v>
          </cell>
          <cell r="F867" t="str">
            <v/>
          </cell>
          <cell r="G867" t="str">
            <v/>
          </cell>
        </row>
        <row r="868">
          <cell r="B868" t="str">
            <v>3711CCA97</v>
          </cell>
          <cell r="D868">
            <v>6090.11</v>
          </cell>
          <cell r="E868">
            <v>29170.838999999989</v>
          </cell>
          <cell r="F868" t="str">
            <v>-40038.07</v>
          </cell>
          <cell r="G868" t="str">
            <v>160851.00</v>
          </cell>
          <cell r="I868" t="str">
            <v>SE</v>
          </cell>
          <cell r="K868" t="str">
            <v>Rígida</v>
          </cell>
          <cell r="L868" t="str">
            <v>C860-A</v>
          </cell>
          <cell r="Q868">
            <v>3.8</v>
          </cell>
          <cell r="S868">
            <v>-12</v>
          </cell>
          <cell r="T868" t="str">
            <v>+20</v>
          </cell>
          <cell r="U868" t="str">
            <v>Cantón 360,4 m</v>
          </cell>
        </row>
        <row r="869">
          <cell r="C869">
            <v>6.2</v>
          </cell>
          <cell r="F869" t="str">
            <v/>
          </cell>
          <cell r="G869" t="str">
            <v/>
          </cell>
          <cell r="U869" t="str">
            <v>Seccionamento</v>
          </cell>
        </row>
        <row r="870">
          <cell r="B870" t="str">
            <v>3711CCA99</v>
          </cell>
          <cell r="D870">
            <v>6096.3099999999995</v>
          </cell>
          <cell r="E870">
            <v>29164.638999999988</v>
          </cell>
          <cell r="F870" t="str">
            <v>-40033.76</v>
          </cell>
          <cell r="G870" t="str">
            <v>160846.54</v>
          </cell>
          <cell r="I870" t="str">
            <v>SE</v>
          </cell>
          <cell r="K870" t="str">
            <v>Rígida</v>
          </cell>
          <cell r="L870" t="str">
            <v>C860-A</v>
          </cell>
          <cell r="Q870">
            <v>3.8</v>
          </cell>
          <cell r="S870">
            <v>-20</v>
          </cell>
          <cell r="T870" t="str">
            <v>+12</v>
          </cell>
          <cell r="U870" t="str">
            <v>Cantión 248,4 m</v>
          </cell>
        </row>
        <row r="871">
          <cell r="C871">
            <v>12</v>
          </cell>
          <cell r="F871" t="str">
            <v/>
          </cell>
          <cell r="G871" t="str">
            <v/>
          </cell>
          <cell r="H871" t="str">
            <v>Clo</v>
          </cell>
        </row>
        <row r="872">
          <cell r="B872" t="str">
            <v>3711CCA101</v>
          </cell>
          <cell r="D872">
            <v>6108.3099999999995</v>
          </cell>
          <cell r="E872">
            <v>29152.638999999988</v>
          </cell>
          <cell r="F872" t="str">
            <v>-40025.36</v>
          </cell>
          <cell r="G872" t="str">
            <v>160837.98</v>
          </cell>
          <cell r="I872" t="str">
            <v>S</v>
          </cell>
          <cell r="K872" t="str">
            <v>Rígida</v>
          </cell>
          <cell r="L872" t="str">
            <v>C859-A</v>
          </cell>
          <cell r="Q872">
            <v>3.8</v>
          </cell>
          <cell r="S872">
            <v>-12</v>
          </cell>
        </row>
        <row r="873">
          <cell r="C873">
            <v>12</v>
          </cell>
          <cell r="F873" t="str">
            <v/>
          </cell>
          <cell r="G873" t="str">
            <v/>
          </cell>
          <cell r="H873" t="str">
            <v>Clo</v>
          </cell>
        </row>
        <row r="874">
          <cell r="B874" t="str">
            <v>3711CCA103</v>
          </cell>
          <cell r="D874">
            <v>6120.3099999999995</v>
          </cell>
          <cell r="E874">
            <v>29140.638999999988</v>
          </cell>
          <cell r="F874" t="str">
            <v>-40016.60</v>
          </cell>
          <cell r="G874" t="str">
            <v>160829.78</v>
          </cell>
          <cell r="I874" t="str">
            <v>S</v>
          </cell>
          <cell r="K874" t="str">
            <v>Rígida</v>
          </cell>
          <cell r="L874" t="str">
            <v>C859-A</v>
          </cell>
          <cell r="Q874">
            <v>3.8</v>
          </cell>
          <cell r="S874">
            <v>-4</v>
          </cell>
        </row>
        <row r="875">
          <cell r="C875">
            <v>12</v>
          </cell>
          <cell r="F875" t="str">
            <v/>
          </cell>
          <cell r="G875" t="str">
            <v/>
          </cell>
          <cell r="H875">
            <v>120</v>
          </cell>
        </row>
        <row r="876">
          <cell r="B876" t="str">
            <v>3711CCA105</v>
          </cell>
          <cell r="D876">
            <v>6132.3099999999995</v>
          </cell>
          <cell r="E876">
            <v>29128.638999999988</v>
          </cell>
          <cell r="F876" t="str">
            <v>-40007.14</v>
          </cell>
          <cell r="G876" t="str">
            <v>160822.39</v>
          </cell>
          <cell r="I876" t="str">
            <v>S</v>
          </cell>
          <cell r="K876" t="str">
            <v>Rígida</v>
          </cell>
          <cell r="L876" t="str">
            <v>C859-A</v>
          </cell>
          <cell r="Q876">
            <v>3.8</v>
          </cell>
          <cell r="S876" t="str">
            <v>+4</v>
          </cell>
        </row>
        <row r="877">
          <cell r="C877">
            <v>12</v>
          </cell>
          <cell r="F877" t="str">
            <v/>
          </cell>
          <cell r="G877" t="str">
            <v/>
          </cell>
          <cell r="H877">
            <v>120</v>
          </cell>
        </row>
        <row r="878">
          <cell r="B878" t="str">
            <v>3711CCA107</v>
          </cell>
          <cell r="D878">
            <v>6144.3099999999995</v>
          </cell>
          <cell r="E878">
            <v>29116.638999999988</v>
          </cell>
          <cell r="F878" t="str">
            <v>-39996.99</v>
          </cell>
          <cell r="G878" t="str">
            <v>160815.99</v>
          </cell>
          <cell r="I878" t="str">
            <v>S</v>
          </cell>
          <cell r="K878" t="str">
            <v>Rígida</v>
          </cell>
          <cell r="L878" t="str">
            <v>C859-A</v>
          </cell>
          <cell r="Q878">
            <v>3.8</v>
          </cell>
          <cell r="S878" t="str">
            <v>+12</v>
          </cell>
        </row>
        <row r="879">
          <cell r="C879">
            <v>11.5</v>
          </cell>
          <cell r="F879" t="str">
            <v/>
          </cell>
          <cell r="G879" t="str">
            <v/>
          </cell>
          <cell r="H879">
            <v>120</v>
          </cell>
        </row>
        <row r="880">
          <cell r="B880" t="str">
            <v>3711CCA109</v>
          </cell>
          <cell r="D880">
            <v>6155.8</v>
          </cell>
          <cell r="E880">
            <v>29105.138999999988</v>
          </cell>
          <cell r="F880" t="str">
            <v>-39986.69</v>
          </cell>
          <cell r="G880" t="str">
            <v>160810.92</v>
          </cell>
          <cell r="I880" t="str">
            <v>S</v>
          </cell>
          <cell r="K880" t="str">
            <v>Rígida</v>
          </cell>
          <cell r="L880" t="str">
            <v>C859-A</v>
          </cell>
          <cell r="Q880">
            <v>3.8</v>
          </cell>
          <cell r="S880" t="str">
            <v>+20</v>
          </cell>
        </row>
        <row r="881">
          <cell r="C881">
            <v>11.8</v>
          </cell>
          <cell r="F881" t="str">
            <v/>
          </cell>
          <cell r="G881" t="str">
            <v/>
          </cell>
          <cell r="H881">
            <v>120</v>
          </cell>
        </row>
        <row r="882">
          <cell r="B882" t="str">
            <v>3711CCA111</v>
          </cell>
          <cell r="D882">
            <v>6167.6</v>
          </cell>
          <cell r="E882">
            <v>29093.338999999989</v>
          </cell>
          <cell r="F882" t="str">
            <v>-39975.69</v>
          </cell>
          <cell r="G882" t="str">
            <v>160806.66</v>
          </cell>
          <cell r="I882" t="str">
            <v>S</v>
          </cell>
          <cell r="K882" t="str">
            <v>Rígida</v>
          </cell>
          <cell r="L882" t="str">
            <v>Parafil</v>
          </cell>
          <cell r="Q882">
            <v>3.8</v>
          </cell>
          <cell r="S882" t="str">
            <v>+12</v>
          </cell>
        </row>
        <row r="883">
          <cell r="C883">
            <v>11.6</v>
          </cell>
          <cell r="F883" t="str">
            <v/>
          </cell>
          <cell r="G883" t="str">
            <v/>
          </cell>
          <cell r="H883" t="str">
            <v>Clo</v>
          </cell>
        </row>
        <row r="884">
          <cell r="B884" t="str">
            <v>3711CCA113</v>
          </cell>
          <cell r="D884">
            <v>6179.2</v>
          </cell>
          <cell r="E884">
            <v>29081.73899999999</v>
          </cell>
          <cell r="F884" t="str">
            <v>-39964.49</v>
          </cell>
          <cell r="G884" t="str">
            <v>160803.49</v>
          </cell>
          <cell r="I884" t="str">
            <v>S</v>
          </cell>
          <cell r="K884" t="str">
            <v>Rígida</v>
          </cell>
          <cell r="L884" t="str">
            <v>Parafil</v>
          </cell>
          <cell r="Q884">
            <v>3.8</v>
          </cell>
          <cell r="S884" t="str">
            <v>+4</v>
          </cell>
        </row>
        <row r="885">
          <cell r="C885">
            <v>11.1</v>
          </cell>
          <cell r="F885" t="str">
            <v/>
          </cell>
          <cell r="G885" t="str">
            <v/>
          </cell>
          <cell r="H885" t="str">
            <v>Clo</v>
          </cell>
        </row>
        <row r="886">
          <cell r="B886" t="str">
            <v>3711CCA115</v>
          </cell>
          <cell r="D886">
            <v>6190.3099999999995</v>
          </cell>
          <cell r="E886">
            <v>29070.638999999992</v>
          </cell>
          <cell r="F886" t="str">
            <v>-39953.64</v>
          </cell>
          <cell r="G886" t="str">
            <v>160801.22</v>
          </cell>
          <cell r="I886" t="str">
            <v>S</v>
          </cell>
          <cell r="K886" t="str">
            <v>Rígida</v>
          </cell>
          <cell r="L886" t="str">
            <v>C859-A</v>
          </cell>
          <cell r="Q886">
            <v>3.8</v>
          </cell>
          <cell r="S886">
            <v>-4</v>
          </cell>
        </row>
        <row r="887">
          <cell r="C887">
            <v>8</v>
          </cell>
          <cell r="F887" t="str">
            <v/>
          </cell>
          <cell r="G887" t="str">
            <v/>
          </cell>
        </row>
        <row r="888">
          <cell r="B888" t="str">
            <v>3711CCA117</v>
          </cell>
          <cell r="D888">
            <v>6198.3099999999995</v>
          </cell>
          <cell r="E888">
            <v>29062.638999999992</v>
          </cell>
          <cell r="F888" t="str">
            <v>-39945.81</v>
          </cell>
          <cell r="G888" t="str">
            <v>160799.57</v>
          </cell>
          <cell r="I888" t="str">
            <v>PF</v>
          </cell>
          <cell r="K888" t="str">
            <v>Rígida</v>
          </cell>
          <cell r="L888" t="str">
            <v>C863-B</v>
          </cell>
          <cell r="Q888">
            <v>3.8</v>
          </cell>
          <cell r="S888">
            <v>-12</v>
          </cell>
        </row>
        <row r="889">
          <cell r="C889">
            <v>7.6</v>
          </cell>
          <cell r="F889" t="str">
            <v/>
          </cell>
          <cell r="G889" t="str">
            <v/>
          </cell>
        </row>
        <row r="890">
          <cell r="B890" t="str">
            <v>3711CCA119</v>
          </cell>
          <cell r="D890">
            <v>6205.91</v>
          </cell>
          <cell r="E890">
            <v>29055.038999999993</v>
          </cell>
          <cell r="F890" t="str">
            <v>-39938.35</v>
          </cell>
          <cell r="G890" t="str">
            <v>160797.99</v>
          </cell>
          <cell r="I890" t="str">
            <v>S</v>
          </cell>
          <cell r="K890" t="str">
            <v>Rígida</v>
          </cell>
          <cell r="L890" t="str">
            <v>C859-B</v>
          </cell>
          <cell r="Q890">
            <v>3.8</v>
          </cell>
          <cell r="S890">
            <v>-20</v>
          </cell>
        </row>
        <row r="891">
          <cell r="C891">
            <v>7.1</v>
          </cell>
          <cell r="F891" t="str">
            <v/>
          </cell>
          <cell r="G891" t="str">
            <v/>
          </cell>
          <cell r="L891" t="str">
            <v/>
          </cell>
        </row>
        <row r="892">
          <cell r="B892" t="str">
            <v>3711CCA121_</v>
          </cell>
          <cell r="D892">
            <v>6213.01</v>
          </cell>
          <cell r="E892">
            <v>29047.938999999995</v>
          </cell>
          <cell r="F892" t="str">
            <v>-39931.73</v>
          </cell>
          <cell r="G892" t="str">
            <v>160796.28</v>
          </cell>
          <cell r="I892" t="str">
            <v>S</v>
          </cell>
          <cell r="K892" t="str">
            <v>Rígida</v>
          </cell>
          <cell r="L892" t="str">
            <v>C860-B_</v>
          </cell>
          <cell r="Q892">
            <v>3.8</v>
          </cell>
          <cell r="S892">
            <v>-12</v>
          </cell>
        </row>
        <row r="893">
          <cell r="C893">
            <v>1.6</v>
          </cell>
          <cell r="F893" t="str">
            <v/>
          </cell>
          <cell r="G893" t="str">
            <v/>
          </cell>
          <cell r="I893" t="str">
            <v>PA30</v>
          </cell>
          <cell r="L893" t="str">
            <v/>
          </cell>
        </row>
        <row r="894">
          <cell r="B894" t="str">
            <v>3711CCA123_</v>
          </cell>
          <cell r="D894">
            <v>6214.6100000000006</v>
          </cell>
          <cell r="E894">
            <v>29046.338999999996</v>
          </cell>
          <cell r="F894" t="str">
            <v>-39930.20</v>
          </cell>
          <cell r="G894" t="str">
            <v>160795.76</v>
          </cell>
          <cell r="I894" t="str">
            <v>S</v>
          </cell>
          <cell r="K894" t="str">
            <v>Rígida</v>
          </cell>
          <cell r="L894" t="str">
            <v>C860-B_</v>
          </cell>
          <cell r="Q894">
            <v>3.8</v>
          </cell>
          <cell r="S894">
            <v>-4</v>
          </cell>
        </row>
        <row r="895">
          <cell r="C895">
            <v>7.1</v>
          </cell>
          <cell r="I895" t="str">
            <v>PA50</v>
          </cell>
          <cell r="L895" t="str">
            <v/>
          </cell>
        </row>
        <row r="896">
          <cell r="B896" t="str">
            <v>3711CCA127</v>
          </cell>
          <cell r="D896">
            <v>6221.7100000000009</v>
          </cell>
          <cell r="E896">
            <v>29039.238999999998</v>
          </cell>
          <cell r="F896" t="str">
            <v>-39922.90</v>
          </cell>
          <cell r="G896" t="str">
            <v>160794.72</v>
          </cell>
          <cell r="I896" t="str">
            <v>S</v>
          </cell>
          <cell r="K896" t="str">
            <v>Rígida</v>
          </cell>
          <cell r="L896" t="str">
            <v>C859-B</v>
          </cell>
          <cell r="Q896">
            <v>3.8</v>
          </cell>
          <cell r="S896" t="str">
            <v>+4</v>
          </cell>
        </row>
        <row r="897">
          <cell r="C897">
            <v>7.1</v>
          </cell>
          <cell r="I897" t="str">
            <v>PA80</v>
          </cell>
          <cell r="L897" t="str">
            <v/>
          </cell>
        </row>
        <row r="898">
          <cell r="B898" t="str">
            <v>3711CCA131_</v>
          </cell>
          <cell r="D898">
            <v>6228.8100000000013</v>
          </cell>
          <cell r="E898">
            <v>29032.138999999999</v>
          </cell>
          <cell r="F898" t="str">
            <v>-39915.81</v>
          </cell>
          <cell r="G898" t="str">
            <v>160792.71</v>
          </cell>
          <cell r="I898" t="str">
            <v>S</v>
          </cell>
          <cell r="K898" t="str">
            <v>Rígida</v>
          </cell>
          <cell r="L898" t="str">
            <v>C860-B_</v>
          </cell>
          <cell r="Q898">
            <v>3.8</v>
          </cell>
          <cell r="S898" t="str">
            <v>+12</v>
          </cell>
        </row>
        <row r="899">
          <cell r="C899">
            <v>1.6</v>
          </cell>
          <cell r="F899" t="str">
            <v/>
          </cell>
          <cell r="G899" t="str">
            <v/>
          </cell>
          <cell r="I899" t="str">
            <v>PA80</v>
          </cell>
          <cell r="L899" t="str">
            <v/>
          </cell>
        </row>
        <row r="900">
          <cell r="B900" t="str">
            <v>3711CCA133_</v>
          </cell>
          <cell r="D900">
            <v>6230.4100000000017</v>
          </cell>
          <cell r="E900">
            <v>29030.539000000001</v>
          </cell>
          <cell r="F900" t="str">
            <v>-39914.20</v>
          </cell>
          <cell r="G900" t="str">
            <v>160792.57</v>
          </cell>
          <cell r="I900" t="str">
            <v>S</v>
          </cell>
          <cell r="K900" t="str">
            <v>Rígida</v>
          </cell>
          <cell r="L900" t="str">
            <v>C860-B_</v>
          </cell>
          <cell r="Q900">
            <v>3.8</v>
          </cell>
          <cell r="S900" t="str">
            <v>+20</v>
          </cell>
        </row>
        <row r="901">
          <cell r="C901">
            <v>8.8000000000000007</v>
          </cell>
          <cell r="F901" t="str">
            <v/>
          </cell>
          <cell r="G901" t="str">
            <v/>
          </cell>
          <cell r="I901" t="str">
            <v>PA50</v>
          </cell>
          <cell r="L901" t="str">
            <v/>
          </cell>
        </row>
        <row r="902">
          <cell r="B902" t="str">
            <v>3711CCA135</v>
          </cell>
          <cell r="D902">
            <v>6239.2</v>
          </cell>
          <cell r="E902">
            <v>29021.739000000001</v>
          </cell>
          <cell r="F902" t="str">
            <v>-39905.89</v>
          </cell>
          <cell r="G902" t="str">
            <v>160790.97</v>
          </cell>
          <cell r="I902" t="str">
            <v>S</v>
          </cell>
          <cell r="K902" t="str">
            <v>Rígida</v>
          </cell>
          <cell r="L902" t="str">
            <v>C859-A</v>
          </cell>
          <cell r="Q902">
            <v>3.8</v>
          </cell>
          <cell r="S902" t="str">
            <v>+12</v>
          </cell>
        </row>
        <row r="903">
          <cell r="B903" t="str">
            <v>Inic. Estação Santo Ovídio (06+244)</v>
          </cell>
          <cell r="C903">
            <v>11.4</v>
          </cell>
          <cell r="I903" t="str">
            <v>PA30</v>
          </cell>
        </row>
        <row r="904">
          <cell r="B904" t="str">
            <v>3712CCA01</v>
          </cell>
          <cell r="D904">
            <v>6250.6</v>
          </cell>
          <cell r="E904">
            <v>29010.339</v>
          </cell>
          <cell r="F904" t="str">
            <v>-39894.70</v>
          </cell>
          <cell r="G904" t="str">
            <v>160788.59</v>
          </cell>
          <cell r="I904" t="str">
            <v>S</v>
          </cell>
          <cell r="K904" t="str">
            <v>Rígida</v>
          </cell>
          <cell r="L904" t="str">
            <v>C859-A</v>
          </cell>
          <cell r="Q904">
            <v>3.8</v>
          </cell>
          <cell r="S904" t="str">
            <v>+4</v>
          </cell>
        </row>
        <row r="905">
          <cell r="C905">
            <v>11.4</v>
          </cell>
          <cell r="F905" t="str">
            <v/>
          </cell>
          <cell r="G905" t="str">
            <v/>
          </cell>
        </row>
        <row r="906">
          <cell r="B906" t="str">
            <v>3712CCA03</v>
          </cell>
          <cell r="D906">
            <v>6262</v>
          </cell>
          <cell r="E906">
            <v>28998.938999999998</v>
          </cell>
          <cell r="F906" t="str">
            <v>-39883.54</v>
          </cell>
          <cell r="G906" t="str">
            <v>160786.24</v>
          </cell>
          <cell r="I906" t="str">
            <v>S</v>
          </cell>
          <cell r="K906" t="str">
            <v>Rígida</v>
          </cell>
          <cell r="L906" t="str">
            <v>C859-A</v>
          </cell>
          <cell r="Q906">
            <v>3.8</v>
          </cell>
          <cell r="S906">
            <v>-4</v>
          </cell>
        </row>
        <row r="907">
          <cell r="C907">
            <v>11.6</v>
          </cell>
          <cell r="F907" t="str">
            <v/>
          </cell>
          <cell r="G907" t="str">
            <v/>
          </cell>
        </row>
        <row r="908">
          <cell r="B908" t="str">
            <v>3712CCA05</v>
          </cell>
          <cell r="D908">
            <v>6273.510000000002</v>
          </cell>
          <cell r="E908">
            <v>28987.339</v>
          </cell>
          <cell r="F908" t="str">
            <v>-39872.24</v>
          </cell>
          <cell r="G908" t="str">
            <v>160784.00</v>
          </cell>
          <cell r="I908" t="str">
            <v>S</v>
          </cell>
          <cell r="K908" t="str">
            <v>Rígida</v>
          </cell>
          <cell r="L908" t="str">
            <v>Parafil</v>
          </cell>
          <cell r="Q908">
            <v>3.8</v>
          </cell>
          <cell r="S908">
            <v>-12</v>
          </cell>
        </row>
        <row r="909">
          <cell r="C909">
            <v>12</v>
          </cell>
          <cell r="F909" t="str">
            <v/>
          </cell>
          <cell r="G909" t="str">
            <v/>
          </cell>
        </row>
        <row r="910">
          <cell r="B910" t="str">
            <v>3712CCA07</v>
          </cell>
          <cell r="D910">
            <v>6285.510000000002</v>
          </cell>
          <cell r="E910">
            <v>28975.339</v>
          </cell>
          <cell r="F910" t="str">
            <v>-39860.50</v>
          </cell>
          <cell r="G910" t="str">
            <v>160781.52</v>
          </cell>
          <cell r="I910" t="str">
            <v>S</v>
          </cell>
          <cell r="K910" t="str">
            <v>Rígida</v>
          </cell>
          <cell r="L910" t="str">
            <v>Parafil</v>
          </cell>
          <cell r="Q910">
            <v>3.8</v>
          </cell>
          <cell r="S910">
            <v>-20</v>
          </cell>
        </row>
        <row r="911">
          <cell r="C911">
            <v>12</v>
          </cell>
          <cell r="F911" t="str">
            <v/>
          </cell>
          <cell r="G911" t="str">
            <v/>
          </cell>
        </row>
        <row r="912">
          <cell r="B912" t="str">
            <v>3712CCA09</v>
          </cell>
          <cell r="D912">
            <v>6297.510000000002</v>
          </cell>
          <cell r="E912">
            <v>28963.339</v>
          </cell>
          <cell r="F912" t="str">
            <v>-39848.76</v>
          </cell>
          <cell r="G912" t="str">
            <v>160779.03</v>
          </cell>
          <cell r="I912" t="str">
            <v>S</v>
          </cell>
          <cell r="K912" t="str">
            <v>Rígida</v>
          </cell>
          <cell r="L912" t="str">
            <v>Parafil</v>
          </cell>
          <cell r="Q912">
            <v>3.8</v>
          </cell>
          <cell r="S912">
            <v>-12</v>
          </cell>
        </row>
        <row r="913">
          <cell r="C913">
            <v>12</v>
          </cell>
          <cell r="F913" t="str">
            <v/>
          </cell>
          <cell r="G913" t="str">
            <v/>
          </cell>
        </row>
        <row r="914">
          <cell r="B914" t="str">
            <v>3712CCA11</v>
          </cell>
          <cell r="D914">
            <v>6309.510000000002</v>
          </cell>
          <cell r="E914">
            <v>28951.339</v>
          </cell>
          <cell r="F914" t="str">
            <v>-39837.02</v>
          </cell>
          <cell r="G914" t="str">
            <v>160776.55</v>
          </cell>
          <cell r="I914" t="str">
            <v>S</v>
          </cell>
          <cell r="K914" t="str">
            <v>Rígida</v>
          </cell>
          <cell r="L914" t="str">
            <v>Parafil</v>
          </cell>
          <cell r="Q914">
            <v>3.8</v>
          </cell>
          <cell r="S914">
            <v>-4</v>
          </cell>
        </row>
        <row r="915">
          <cell r="C915">
            <v>12</v>
          </cell>
          <cell r="F915" t="str">
            <v/>
          </cell>
          <cell r="G915" t="str">
            <v/>
          </cell>
        </row>
        <row r="916">
          <cell r="B916" t="str">
            <v>3712CCA13</v>
          </cell>
          <cell r="D916">
            <v>6321.510000000002</v>
          </cell>
          <cell r="E916">
            <v>28939.339</v>
          </cell>
          <cell r="F916" t="str">
            <v>-39825.28</v>
          </cell>
          <cell r="G916" t="str">
            <v>160774.06</v>
          </cell>
          <cell r="I916" t="str">
            <v>S</v>
          </cell>
          <cell r="K916" t="str">
            <v>Rígida</v>
          </cell>
          <cell r="L916" t="str">
            <v>C859-A</v>
          </cell>
          <cell r="Q916">
            <v>3.8</v>
          </cell>
          <cell r="S916" t="str">
            <v>+4</v>
          </cell>
        </row>
        <row r="917">
          <cell r="C917">
            <v>12</v>
          </cell>
        </row>
        <row r="918">
          <cell r="B918" t="str">
            <v>3712CCA15</v>
          </cell>
          <cell r="D918">
            <v>6333.510000000002</v>
          </cell>
          <cell r="E918">
            <v>28927.339</v>
          </cell>
          <cell r="F918" t="str">
            <v>-39813.54</v>
          </cell>
          <cell r="G918" t="str">
            <v>160771.58</v>
          </cell>
          <cell r="I918" t="str">
            <v>S</v>
          </cell>
          <cell r="K918" t="str">
            <v>Rígida</v>
          </cell>
          <cell r="L918" t="str">
            <v>C859-A</v>
          </cell>
          <cell r="Q918">
            <v>3.8</v>
          </cell>
          <cell r="S918" t="str">
            <v>+12</v>
          </cell>
        </row>
        <row r="919">
          <cell r="C919">
            <v>8</v>
          </cell>
        </row>
        <row r="920">
          <cell r="B920" t="str">
            <v>3712CCA17</v>
          </cell>
          <cell r="D920">
            <v>6341.510000000002</v>
          </cell>
          <cell r="E920">
            <v>28919.339</v>
          </cell>
          <cell r="F920" t="str">
            <v>-39805.71</v>
          </cell>
          <cell r="G920" t="str">
            <v>160769.92</v>
          </cell>
          <cell r="I920" t="str">
            <v>S</v>
          </cell>
          <cell r="K920" t="str">
            <v>Rígida</v>
          </cell>
          <cell r="L920" t="str">
            <v>C859-A</v>
          </cell>
          <cell r="Q920">
            <v>3.8</v>
          </cell>
          <cell r="S920" t="str">
            <v>+20</v>
          </cell>
        </row>
        <row r="921">
          <cell r="C921">
            <v>8</v>
          </cell>
          <cell r="H921">
            <v>-39791.19</v>
          </cell>
        </row>
        <row r="922">
          <cell r="B922" t="str">
            <v>3712CCA19</v>
          </cell>
          <cell r="D922">
            <v>6349.510000000002</v>
          </cell>
          <cell r="E922">
            <v>28911.339</v>
          </cell>
          <cell r="F922" t="str">
            <v>-39796.13</v>
          </cell>
          <cell r="G922" t="str">
            <v>160767.37</v>
          </cell>
          <cell r="I922" t="str">
            <v>S</v>
          </cell>
          <cell r="K922" t="str">
            <v>Rígida</v>
          </cell>
          <cell r="L922" t="str">
            <v>C859-A</v>
          </cell>
          <cell r="Q922">
            <v>3.8</v>
          </cell>
          <cell r="S922" t="str">
            <v>+20</v>
          </cell>
        </row>
        <row r="923">
          <cell r="B923" t="str">
            <v>Fin. Estação Santo Ovídio (06+352)</v>
          </cell>
          <cell r="C923">
            <v>8.1999999999999993</v>
          </cell>
          <cell r="F923" t="str">
            <v/>
          </cell>
          <cell r="G923" t="str">
            <v/>
          </cell>
          <cell r="N923" t="str">
            <v/>
          </cell>
        </row>
        <row r="924">
          <cell r="B924" t="str">
            <v>3713CCA01</v>
          </cell>
          <cell r="D924">
            <v>6357.7</v>
          </cell>
          <cell r="E924">
            <v>28903.138999999999</v>
          </cell>
          <cell r="F924" t="str">
            <v>-39791.19</v>
          </cell>
          <cell r="G924" t="str">
            <v>160763.15</v>
          </cell>
          <cell r="H924">
            <v>-30</v>
          </cell>
          <cell r="I924" t="str">
            <v>S</v>
          </cell>
          <cell r="K924" t="str">
            <v>Rígida</v>
          </cell>
          <cell r="L924" t="str">
            <v>C859-B</v>
          </cell>
          <cell r="Q924">
            <v>3.8</v>
          </cell>
          <cell r="S924" t="str">
            <v>+20</v>
          </cell>
        </row>
        <row r="925">
          <cell r="C925">
            <v>9.1999999999999993</v>
          </cell>
          <cell r="F925" t="str">
            <v/>
          </cell>
          <cell r="G925" t="str">
            <v/>
          </cell>
          <cell r="N925" t="str">
            <v/>
          </cell>
        </row>
        <row r="926">
          <cell r="B926" t="str">
            <v>3713CCA03</v>
          </cell>
          <cell r="D926">
            <v>6366.9</v>
          </cell>
          <cell r="E926">
            <v>28893.938999999998</v>
          </cell>
          <cell r="F926" t="str">
            <v>-39785.05</v>
          </cell>
          <cell r="G926" t="str">
            <v>160756.35</v>
          </cell>
          <cell r="H926">
            <v>-30</v>
          </cell>
          <cell r="I926" t="str">
            <v>S</v>
          </cell>
          <cell r="K926" t="str">
            <v>Rígida</v>
          </cell>
          <cell r="L926" t="str">
            <v>C859-B</v>
          </cell>
          <cell r="Q926">
            <v>3.8</v>
          </cell>
          <cell r="S926" t="str">
            <v>+20</v>
          </cell>
        </row>
        <row r="927">
          <cell r="C927">
            <v>10</v>
          </cell>
          <cell r="N927" t="str">
            <v/>
          </cell>
          <cell r="U927" t="str">
            <v>Transição Catenaria</v>
          </cell>
          <cell r="V927" t="str">
            <v>Disp. Transic.</v>
          </cell>
        </row>
        <row r="928">
          <cell r="B928" t="str">
            <v>-</v>
          </cell>
          <cell r="D928">
            <v>6376.9</v>
          </cell>
          <cell r="E928">
            <v>28883.938999999998</v>
          </cell>
          <cell r="F928" t="str">
            <v>-39780.89</v>
          </cell>
          <cell r="G928" t="str">
            <v>160747.32</v>
          </cell>
          <cell r="H928">
            <v>-30</v>
          </cell>
          <cell r="I928" t="str">
            <v>S</v>
          </cell>
          <cell r="J928" t="str">
            <v>4,58</v>
          </cell>
          <cell r="K928" t="str">
            <v>Cons. Simp.</v>
          </cell>
          <cell r="L928" t="str">
            <v>-</v>
          </cell>
          <cell r="M928" t="str">
            <v>Fixação Muro</v>
          </cell>
          <cell r="N928" t="str">
            <v>C3- C.L.</v>
          </cell>
          <cell r="Q928">
            <v>3.86</v>
          </cell>
          <cell r="S928" t="str">
            <v>+20</v>
          </cell>
        </row>
        <row r="929">
          <cell r="C929">
            <v>10</v>
          </cell>
          <cell r="F929" t="str">
            <v/>
          </cell>
          <cell r="G929" t="str">
            <v/>
          </cell>
          <cell r="N929" t="str">
            <v/>
          </cell>
        </row>
        <row r="930">
          <cell r="B930" t="str">
            <v>3713CCA07</v>
          </cell>
          <cell r="D930">
            <v>6386.9</v>
          </cell>
          <cell r="E930">
            <v>28873.938999999998</v>
          </cell>
          <cell r="F930" t="str">
            <v>-39785.62</v>
          </cell>
          <cell r="G930" t="str">
            <v>160737.69</v>
          </cell>
          <cell r="H930">
            <v>-30</v>
          </cell>
          <cell r="I930" t="str">
            <v>S</v>
          </cell>
          <cell r="J930" t="str">
            <v>5,9</v>
          </cell>
          <cell r="K930" t="str">
            <v>Cons. Dob.</v>
          </cell>
          <cell r="L930" t="str">
            <v>HEA 280</v>
          </cell>
          <cell r="M930" t="str">
            <v>Poste parede</v>
          </cell>
          <cell r="N930" t="str">
            <v>C3- C.L.</v>
          </cell>
          <cell r="Q930">
            <v>3.92</v>
          </cell>
          <cell r="S930" t="str">
            <v>+20</v>
          </cell>
          <cell r="BW930" t="str">
            <v>C.C,2</v>
          </cell>
        </row>
        <row r="931">
          <cell r="C931">
            <v>5.1000000000003638</v>
          </cell>
          <cell r="F931" t="str">
            <v/>
          </cell>
          <cell r="G931" t="str">
            <v/>
          </cell>
          <cell r="N931" t="str">
            <v/>
          </cell>
        </row>
        <row r="932">
          <cell r="B932" t="str">
            <v>3713CCA09</v>
          </cell>
          <cell r="D932">
            <v>6392</v>
          </cell>
          <cell r="E932">
            <v>28868.839</v>
          </cell>
          <cell r="F932" t="str">
            <v>-39771.87</v>
          </cell>
          <cell r="G932" t="str">
            <v>160717.87</v>
          </cell>
          <cell r="I932" t="str">
            <v>Anc</v>
          </cell>
          <cell r="J932" t="str">
            <v>5,9</v>
          </cell>
          <cell r="K932" t="str">
            <v>-</v>
          </cell>
          <cell r="L932" t="str">
            <v>HEA 280 G.</v>
          </cell>
          <cell r="M932" t="str">
            <v>Poste parede</v>
          </cell>
          <cell r="Q932">
            <v>4.2</v>
          </cell>
          <cell r="S932" t="str">
            <v>-</v>
          </cell>
          <cell r="V932" t="str">
            <v>Ancoraem coneção Sto Ov.</v>
          </cell>
        </row>
        <row r="933">
          <cell r="C933">
            <v>10.899999999999636</v>
          </cell>
          <cell r="F933" t="str">
            <v/>
          </cell>
          <cell r="G933" t="str">
            <v/>
          </cell>
          <cell r="N933" t="str">
            <v/>
          </cell>
        </row>
        <row r="934">
          <cell r="B934" t="str">
            <v>3713CCA11</v>
          </cell>
          <cell r="D934">
            <v>6402.9</v>
          </cell>
          <cell r="E934">
            <v>28857.938999999998</v>
          </cell>
          <cell r="F934" t="str">
            <v>-39772.04</v>
          </cell>
          <cell r="G934" t="str">
            <v>160704.07</v>
          </cell>
          <cell r="I934" t="str">
            <v>S</v>
          </cell>
          <cell r="J934" t="str">
            <v>5,9</v>
          </cell>
          <cell r="K934" t="str">
            <v>Cons. Dob.</v>
          </cell>
          <cell r="L934" t="str">
            <v>HEA 280</v>
          </cell>
          <cell r="M934" t="str">
            <v>Poste parede</v>
          </cell>
          <cell r="N934" t="str">
            <v>C3- C.L.</v>
          </cell>
          <cell r="Q934">
            <v>4.0199999999999996</v>
          </cell>
          <cell r="S934" t="str">
            <v>+20</v>
          </cell>
          <cell r="T934">
            <v>0</v>
          </cell>
        </row>
        <row r="935">
          <cell r="C935">
            <v>17.700000000000728</v>
          </cell>
          <cell r="F935" t="str">
            <v/>
          </cell>
          <cell r="G935" t="str">
            <v/>
          </cell>
          <cell r="N935" t="str">
            <v/>
          </cell>
        </row>
        <row r="936">
          <cell r="B936" t="str">
            <v>3713CCA13</v>
          </cell>
          <cell r="D936">
            <v>6420.6</v>
          </cell>
          <cell r="E936">
            <v>28840.238999999998</v>
          </cell>
          <cell r="F936" t="str">
            <v>-39788.13</v>
          </cell>
          <cell r="G936" t="str">
            <v>160702.95</v>
          </cell>
          <cell r="I936" t="str">
            <v>PA30</v>
          </cell>
          <cell r="J936" t="str">
            <v>5,9</v>
          </cell>
          <cell r="K936" t="str">
            <v>Cons. Simp.</v>
          </cell>
          <cell r="L936" t="str">
            <v>HEA 280</v>
          </cell>
          <cell r="M936" t="str">
            <v>Poste parede</v>
          </cell>
          <cell r="N936" t="str">
            <v>C3- C.L.</v>
          </cell>
          <cell r="Q936">
            <v>4.12</v>
          </cell>
          <cell r="R936">
            <v>4.12</v>
          </cell>
          <cell r="S936">
            <v>10</v>
          </cell>
          <cell r="T936" t="str">
            <v>+20</v>
          </cell>
        </row>
        <row r="937">
          <cell r="C937">
            <v>20.899999999999636</v>
          </cell>
          <cell r="F937" t="str">
            <v/>
          </cell>
          <cell r="G937" t="str">
            <v/>
          </cell>
        </row>
        <row r="938">
          <cell r="B938" t="str">
            <v>3713CCA15</v>
          </cell>
          <cell r="D938">
            <v>6441.5</v>
          </cell>
          <cell r="E938">
            <v>28819.339</v>
          </cell>
          <cell r="F938" t="str">
            <v>-39786.67</v>
          </cell>
          <cell r="G938" t="str">
            <v>160684.95</v>
          </cell>
          <cell r="I938" t="str">
            <v>PA30</v>
          </cell>
          <cell r="J938" t="str">
            <v>6,73</v>
          </cell>
          <cell r="K938" t="str">
            <v>Cons. Dob.</v>
          </cell>
          <cell r="L938" t="str">
            <v>HEA 280</v>
          </cell>
          <cell r="M938" t="str">
            <v>Anc. Pavi.</v>
          </cell>
          <cell r="N938" t="str">
            <v>C3- C.L.</v>
          </cell>
          <cell r="Q938">
            <v>4.22</v>
          </cell>
          <cell r="S938">
            <v>0</v>
          </cell>
        </row>
        <row r="939">
          <cell r="C939" t="str">
            <v>-</v>
          </cell>
          <cell r="X939" t="str">
            <v>SUBIDA FEEDER V2</v>
          </cell>
        </row>
        <row r="940">
          <cell r="B940" t="str">
            <v>Existente</v>
          </cell>
          <cell r="D940" t="str">
            <v>??</v>
          </cell>
          <cell r="I940" t="str">
            <v>S</v>
          </cell>
          <cell r="K940" t="str">
            <v>Rígida</v>
          </cell>
          <cell r="Q940">
            <v>3.8</v>
          </cell>
        </row>
        <row r="941">
          <cell r="C941" t="str">
            <v>??</v>
          </cell>
        </row>
        <row r="942">
          <cell r="B942" t="str">
            <v>1-00.02</v>
          </cell>
          <cell r="D942">
            <v>-2.84</v>
          </cell>
          <cell r="E942">
            <v>34806.788999999997</v>
          </cell>
          <cell r="I942" t="str">
            <v>SE</v>
          </cell>
          <cell r="K942" t="str">
            <v>Rígida</v>
          </cell>
          <cell r="Q942">
            <v>3.8</v>
          </cell>
        </row>
        <row r="943">
          <cell r="C943">
            <v>6.2</v>
          </cell>
        </row>
        <row r="944">
          <cell r="B944" t="str">
            <v>1-00.04</v>
          </cell>
          <cell r="D944">
            <v>3.3600000000000003</v>
          </cell>
          <cell r="E944">
            <v>34800.589</v>
          </cell>
          <cell r="I944" t="str">
            <v>SE</v>
          </cell>
          <cell r="K944" t="str">
            <v>Rígida</v>
          </cell>
          <cell r="Q944">
            <v>3.8</v>
          </cell>
        </row>
        <row r="945">
          <cell r="C945">
            <v>8</v>
          </cell>
        </row>
        <row r="946">
          <cell r="B946" t="str">
            <v>1-00.06</v>
          </cell>
          <cell r="D946">
            <v>11.36</v>
          </cell>
          <cell r="E946">
            <v>34792.589</v>
          </cell>
          <cell r="I946" t="str">
            <v>S</v>
          </cell>
          <cell r="K946" t="str">
            <v>Rígida</v>
          </cell>
          <cell r="Q946">
            <v>3.8</v>
          </cell>
        </row>
        <row r="947">
          <cell r="C947">
            <v>12</v>
          </cell>
        </row>
        <row r="948">
          <cell r="B948" t="str">
            <v>1-00.08</v>
          </cell>
          <cell r="D948">
            <v>23.36</v>
          </cell>
          <cell r="E948">
            <v>34780.589</v>
          </cell>
          <cell r="I948" t="str">
            <v>S</v>
          </cell>
          <cell r="K948" t="str">
            <v>Rígida</v>
          </cell>
          <cell r="Q948">
            <v>3.8</v>
          </cell>
        </row>
        <row r="949">
          <cell r="C949">
            <v>12</v>
          </cell>
        </row>
        <row r="950">
          <cell r="B950" t="str">
            <v>1-00.10</v>
          </cell>
          <cell r="D950">
            <v>35.36</v>
          </cell>
          <cell r="E950">
            <v>34768.589</v>
          </cell>
          <cell r="I950" t="str">
            <v>SE</v>
          </cell>
          <cell r="K950" t="str">
            <v>Rígida</v>
          </cell>
          <cell r="Q950">
            <v>3.8</v>
          </cell>
        </row>
        <row r="951">
          <cell r="B951" t="str">
            <v>Fin Anden Casa Da Música (00+040)</v>
          </cell>
          <cell r="C951">
            <v>6.2</v>
          </cell>
        </row>
        <row r="952">
          <cell r="B952" t="str">
            <v>3503CCA02</v>
          </cell>
          <cell r="D952">
            <v>41.56</v>
          </cell>
          <cell r="E952">
            <v>34762.389000000003</v>
          </cell>
          <cell r="I952" t="str">
            <v>SE</v>
          </cell>
          <cell r="K952" t="str">
            <v>Rígida</v>
          </cell>
          <cell r="Q952">
            <v>3.8</v>
          </cell>
        </row>
        <row r="953">
          <cell r="C953">
            <v>12</v>
          </cell>
        </row>
        <row r="954">
          <cell r="B954" t="str">
            <v>3503CCA04</v>
          </cell>
          <cell r="D954">
            <v>53.56</v>
          </cell>
          <cell r="E954">
            <v>34750.389000000003</v>
          </cell>
          <cell r="I954" t="str">
            <v>S</v>
          </cell>
          <cell r="K954" t="str">
            <v>Rígida</v>
          </cell>
          <cell r="Q954">
            <v>3.8</v>
          </cell>
        </row>
        <row r="955">
          <cell r="C955">
            <v>12</v>
          </cell>
          <cell r="H955" t="str">
            <v>Clo</v>
          </cell>
        </row>
        <row r="956">
          <cell r="B956" t="str">
            <v>3503CCA06</v>
          </cell>
          <cell r="D956">
            <v>65.56</v>
          </cell>
          <cell r="E956">
            <v>34738.389000000003</v>
          </cell>
          <cell r="I956" t="str">
            <v>S</v>
          </cell>
          <cell r="K956" t="str">
            <v>Rígida</v>
          </cell>
          <cell r="Q956">
            <v>3.8</v>
          </cell>
        </row>
        <row r="957">
          <cell r="C957">
            <v>12</v>
          </cell>
          <cell r="H957" t="str">
            <v>Clo</v>
          </cell>
        </row>
        <row r="958">
          <cell r="B958" t="str">
            <v>3503CCA08</v>
          </cell>
          <cell r="D958">
            <v>77.56</v>
          </cell>
          <cell r="E958">
            <v>34726.389000000003</v>
          </cell>
          <cell r="I958" t="str">
            <v>S</v>
          </cell>
          <cell r="K958" t="str">
            <v>Rígida</v>
          </cell>
          <cell r="Q958">
            <v>3.8</v>
          </cell>
        </row>
        <row r="959">
          <cell r="C959">
            <v>12</v>
          </cell>
          <cell r="H959">
            <v>-200</v>
          </cell>
        </row>
        <row r="960">
          <cell r="B960" t="str">
            <v>3503CCA10</v>
          </cell>
          <cell r="D960">
            <v>89.56</v>
          </cell>
          <cell r="E960">
            <v>34714.389000000003</v>
          </cell>
          <cell r="I960" t="str">
            <v>S</v>
          </cell>
          <cell r="K960" t="str">
            <v>Rígida</v>
          </cell>
          <cell r="Q960">
            <v>3.8</v>
          </cell>
        </row>
        <row r="961">
          <cell r="C961">
            <v>12</v>
          </cell>
          <cell r="H961">
            <v>-200</v>
          </cell>
        </row>
        <row r="962">
          <cell r="B962" t="str">
            <v>3503CCA12</v>
          </cell>
          <cell r="D962">
            <v>101.56</v>
          </cell>
          <cell r="E962">
            <v>34702.389000000003</v>
          </cell>
          <cell r="I962" t="str">
            <v>S</v>
          </cell>
          <cell r="K962" t="str">
            <v>Rígida</v>
          </cell>
          <cell r="Q962">
            <v>3.8</v>
          </cell>
        </row>
        <row r="963">
          <cell r="C963">
            <v>12</v>
          </cell>
          <cell r="H963" t="str">
            <v>Clo</v>
          </cell>
        </row>
        <row r="964">
          <cell r="B964" t="str">
            <v>3503CCA14</v>
          </cell>
          <cell r="D964">
            <v>113.56</v>
          </cell>
          <cell r="E964">
            <v>34690.389000000003</v>
          </cell>
          <cell r="I964" t="str">
            <v>S</v>
          </cell>
          <cell r="K964" t="str">
            <v>Rígida</v>
          </cell>
          <cell r="Q964">
            <v>3.8</v>
          </cell>
        </row>
        <row r="965">
          <cell r="C965">
            <v>12</v>
          </cell>
          <cell r="H965" t="str">
            <v>Clo</v>
          </cell>
        </row>
        <row r="966">
          <cell r="B966" t="str">
            <v>3503CCA16</v>
          </cell>
          <cell r="D966">
            <v>125.56</v>
          </cell>
          <cell r="E966">
            <v>34678.389000000003</v>
          </cell>
          <cell r="I966" t="str">
            <v>S</v>
          </cell>
          <cell r="K966" t="str">
            <v>Rígida</v>
          </cell>
          <cell r="Q966">
            <v>3.8</v>
          </cell>
        </row>
        <row r="967">
          <cell r="C967">
            <v>12</v>
          </cell>
        </row>
        <row r="968">
          <cell r="B968" t="str">
            <v>3503CCA18</v>
          </cell>
          <cell r="D968">
            <v>137.56</v>
          </cell>
          <cell r="E968">
            <v>34666.389000000003</v>
          </cell>
          <cell r="I968" t="str">
            <v>S</v>
          </cell>
          <cell r="K968" t="str">
            <v>Rígida</v>
          </cell>
          <cell r="Q968">
            <v>3.8</v>
          </cell>
        </row>
        <row r="969">
          <cell r="C969">
            <v>12</v>
          </cell>
        </row>
        <row r="970">
          <cell r="B970" t="str">
            <v>3503CCA20</v>
          </cell>
          <cell r="D970">
            <v>149.56</v>
          </cell>
          <cell r="E970">
            <v>34654.389000000003</v>
          </cell>
          <cell r="I970" t="str">
            <v>S</v>
          </cell>
          <cell r="K970" t="str">
            <v>Rígida</v>
          </cell>
          <cell r="Q970">
            <v>3.8</v>
          </cell>
        </row>
        <row r="971">
          <cell r="C971">
            <v>7.2</v>
          </cell>
        </row>
        <row r="972">
          <cell r="B972" t="str">
            <v>3503CCA22</v>
          </cell>
          <cell r="D972">
            <v>156.76</v>
          </cell>
          <cell r="E972">
            <v>34647.188999999998</v>
          </cell>
          <cell r="I972" t="str">
            <v>S</v>
          </cell>
          <cell r="K972" t="str">
            <v>Rígida</v>
          </cell>
          <cell r="Q972">
            <v>3.8</v>
          </cell>
        </row>
        <row r="973">
          <cell r="C973">
            <v>1.6</v>
          </cell>
        </row>
        <row r="974">
          <cell r="B974" t="str">
            <v>3503CCA24</v>
          </cell>
          <cell r="D974">
            <v>158.35999999999999</v>
          </cell>
          <cell r="E974">
            <v>34645.589</v>
          </cell>
          <cell r="I974" t="str">
            <v>S</v>
          </cell>
          <cell r="K974" t="str">
            <v>Rígida</v>
          </cell>
          <cell r="Q974">
            <v>3.8</v>
          </cell>
        </row>
        <row r="975">
          <cell r="C975">
            <v>3</v>
          </cell>
        </row>
        <row r="976">
          <cell r="B976" t="str">
            <v>3503CCA26</v>
          </cell>
          <cell r="D976">
            <v>161.35999999999999</v>
          </cell>
          <cell r="E976">
            <v>34642.589</v>
          </cell>
          <cell r="I976" t="str">
            <v>S</v>
          </cell>
          <cell r="K976" t="str">
            <v>Rígida</v>
          </cell>
          <cell r="Q976">
            <v>3.8</v>
          </cell>
        </row>
        <row r="977">
          <cell r="C977">
            <v>3</v>
          </cell>
        </row>
        <row r="978">
          <cell r="B978" t="str">
            <v>3503CCA28</v>
          </cell>
          <cell r="D978">
            <v>164.35999999999999</v>
          </cell>
          <cell r="E978">
            <v>34639.589</v>
          </cell>
          <cell r="I978" t="str">
            <v>S</v>
          </cell>
          <cell r="K978" t="str">
            <v>Rígida</v>
          </cell>
          <cell r="Q978">
            <v>3.8</v>
          </cell>
        </row>
        <row r="979">
          <cell r="C979">
            <v>5.6</v>
          </cell>
        </row>
        <row r="980">
          <cell r="B980" t="str">
            <v>3503CCA30</v>
          </cell>
          <cell r="D980">
            <v>169.95999999999998</v>
          </cell>
          <cell r="E980">
            <v>34633.989000000001</v>
          </cell>
          <cell r="I980" t="str">
            <v>S</v>
          </cell>
          <cell r="K980" t="str">
            <v>Rígida</v>
          </cell>
          <cell r="Q980">
            <v>3.8</v>
          </cell>
        </row>
        <row r="981">
          <cell r="C981">
            <v>9.3000000000000007</v>
          </cell>
        </row>
        <row r="982">
          <cell r="B982" t="str">
            <v>3503CCA32</v>
          </cell>
          <cell r="D982">
            <v>179.26</v>
          </cell>
          <cell r="E982">
            <v>34624.688999999998</v>
          </cell>
          <cell r="I982" t="str">
            <v>S</v>
          </cell>
          <cell r="K982" t="str">
            <v>Rígida</v>
          </cell>
          <cell r="Q982">
            <v>3.8</v>
          </cell>
        </row>
        <row r="983">
          <cell r="C983">
            <v>8</v>
          </cell>
        </row>
        <row r="984">
          <cell r="B984" t="str">
            <v>3503CCA34</v>
          </cell>
          <cell r="D984">
            <v>187.26</v>
          </cell>
          <cell r="E984">
            <v>34616.688999999998</v>
          </cell>
          <cell r="I984" t="str">
            <v>S</v>
          </cell>
          <cell r="K984" t="str">
            <v>Rígida</v>
          </cell>
        </row>
        <row r="985">
          <cell r="C985">
            <v>9.8000000000000007</v>
          </cell>
        </row>
        <row r="986">
          <cell r="B986" t="str">
            <v>3503CCA36</v>
          </cell>
          <cell r="D986">
            <v>197.06</v>
          </cell>
          <cell r="E986">
            <v>34606.889000000003</v>
          </cell>
          <cell r="F986" t="str">
            <v>-41645.78</v>
          </cell>
          <cell r="G986" t="str">
            <v>165559.96</v>
          </cell>
          <cell r="I986" t="str">
            <v>SE</v>
          </cell>
          <cell r="K986" t="str">
            <v>Rígida</v>
          </cell>
          <cell r="L986" t="str">
            <v>C860-A</v>
          </cell>
          <cell r="Q986">
            <v>3.8</v>
          </cell>
          <cell r="S986">
            <v>-20</v>
          </cell>
        </row>
        <row r="987">
          <cell r="C987">
            <v>6.2</v>
          </cell>
          <cell r="F987" t="str">
            <v/>
          </cell>
          <cell r="G987" t="str">
            <v/>
          </cell>
          <cell r="U987" t="str">
            <v>Seccionamento</v>
          </cell>
        </row>
        <row r="988">
          <cell r="B988" t="str">
            <v>3503CCA38</v>
          </cell>
          <cell r="D988">
            <v>203.26</v>
          </cell>
          <cell r="E988">
            <v>34600.688999999998</v>
          </cell>
          <cell r="F988" t="str">
            <v>-41646.88</v>
          </cell>
          <cell r="G988" t="str">
            <v>165553.86</v>
          </cell>
          <cell r="I988" t="str">
            <v>SE</v>
          </cell>
          <cell r="K988" t="str">
            <v>Rígida</v>
          </cell>
          <cell r="L988" t="str">
            <v>C860-A</v>
          </cell>
          <cell r="Q988">
            <v>3.8</v>
          </cell>
          <cell r="S988">
            <v>-20</v>
          </cell>
          <cell r="U988" t="str">
            <v>Cantón 192,4 m</v>
          </cell>
        </row>
        <row r="989">
          <cell r="C989">
            <v>12</v>
          </cell>
          <cell r="F989" t="str">
            <v/>
          </cell>
          <cell r="G989" t="str">
            <v/>
          </cell>
        </row>
        <row r="990">
          <cell r="B990" t="str">
            <v>3503CCA40</v>
          </cell>
          <cell r="D990">
            <v>215.26</v>
          </cell>
          <cell r="E990">
            <v>34588.688999999998</v>
          </cell>
          <cell r="F990" t="str">
            <v>-41649.07</v>
          </cell>
          <cell r="G990" t="str">
            <v>165541.80</v>
          </cell>
          <cell r="I990" t="str">
            <v>S</v>
          </cell>
          <cell r="K990" t="str">
            <v>Rígida</v>
          </cell>
          <cell r="L990" t="str">
            <v>C859-A</v>
          </cell>
          <cell r="Q990">
            <v>3.8</v>
          </cell>
          <cell r="S990">
            <v>-12</v>
          </cell>
        </row>
        <row r="991">
          <cell r="C991">
            <v>12</v>
          </cell>
          <cell r="F991" t="str">
            <v/>
          </cell>
          <cell r="G991" t="str">
            <v/>
          </cell>
        </row>
        <row r="992">
          <cell r="B992" t="str">
            <v>3503CCA42</v>
          </cell>
          <cell r="D992">
            <v>227.26</v>
          </cell>
          <cell r="E992">
            <v>34576.688999999998</v>
          </cell>
          <cell r="F992" t="str">
            <v>-41651.21</v>
          </cell>
          <cell r="G992" t="str">
            <v>165530.00</v>
          </cell>
          <cell r="I992" t="str">
            <v>S</v>
          </cell>
          <cell r="K992" t="str">
            <v>Rígida</v>
          </cell>
          <cell r="L992" t="str">
            <v>C859-A</v>
          </cell>
          <cell r="Q992">
            <v>3.8</v>
          </cell>
          <cell r="S992">
            <v>-4</v>
          </cell>
        </row>
        <row r="993">
          <cell r="C993">
            <v>12</v>
          </cell>
          <cell r="F993" t="str">
            <v/>
          </cell>
          <cell r="G993" t="str">
            <v/>
          </cell>
        </row>
        <row r="994">
          <cell r="B994" t="str">
            <v>3503CCA44</v>
          </cell>
          <cell r="D994">
            <v>239.26</v>
          </cell>
          <cell r="E994">
            <v>34564.688999999998</v>
          </cell>
          <cell r="F994" t="str">
            <v>-41653.35</v>
          </cell>
          <cell r="G994" t="str">
            <v>165518.19</v>
          </cell>
          <cell r="I994" t="str">
            <v>S</v>
          </cell>
          <cell r="K994" t="str">
            <v>Rígida</v>
          </cell>
          <cell r="L994" t="str">
            <v>C859-A</v>
          </cell>
          <cell r="Q994">
            <v>3.8</v>
          </cell>
          <cell r="S994" t="str">
            <v>+4</v>
          </cell>
        </row>
        <row r="995">
          <cell r="C995">
            <v>12</v>
          </cell>
          <cell r="F995" t="str">
            <v/>
          </cell>
          <cell r="G995" t="str">
            <v/>
          </cell>
        </row>
        <row r="996">
          <cell r="B996" t="str">
            <v>3503CCA46</v>
          </cell>
          <cell r="D996">
            <v>251.26</v>
          </cell>
          <cell r="E996">
            <v>34552.688999999998</v>
          </cell>
          <cell r="F996" t="str">
            <v>-41655.50</v>
          </cell>
          <cell r="G996" t="str">
            <v>165506.38</v>
          </cell>
          <cell r="I996" t="str">
            <v>S</v>
          </cell>
          <cell r="K996" t="str">
            <v>Rígida</v>
          </cell>
          <cell r="L996" t="str">
            <v>C859-A</v>
          </cell>
          <cell r="Q996">
            <v>3.8</v>
          </cell>
          <cell r="S996" t="str">
            <v>+12</v>
          </cell>
        </row>
        <row r="997">
          <cell r="C997">
            <v>12</v>
          </cell>
          <cell r="F997" t="str">
            <v/>
          </cell>
          <cell r="G997" t="str">
            <v/>
          </cell>
        </row>
        <row r="998">
          <cell r="B998" t="str">
            <v>3503CCA48</v>
          </cell>
          <cell r="D998">
            <v>263.26</v>
          </cell>
          <cell r="E998">
            <v>34540.688999999998</v>
          </cell>
          <cell r="F998" t="str">
            <v>-41657.64</v>
          </cell>
          <cell r="G998" t="str">
            <v>165494.58</v>
          </cell>
          <cell r="I998" t="str">
            <v>S</v>
          </cell>
          <cell r="K998" t="str">
            <v>Rígida</v>
          </cell>
          <cell r="L998" t="str">
            <v>C859-A</v>
          </cell>
          <cell r="Q998">
            <v>3.8</v>
          </cell>
          <cell r="S998" t="str">
            <v>+20</v>
          </cell>
        </row>
        <row r="999">
          <cell r="C999">
            <v>12</v>
          </cell>
          <cell r="F999" t="str">
            <v/>
          </cell>
          <cell r="G999" t="str">
            <v/>
          </cell>
        </row>
        <row r="1000">
          <cell r="B1000" t="str">
            <v>3503CCA50</v>
          </cell>
          <cell r="D1000">
            <v>275.26</v>
          </cell>
          <cell r="E1000">
            <v>34528.688999999998</v>
          </cell>
          <cell r="F1000" t="str">
            <v>-41659.78</v>
          </cell>
          <cell r="G1000" t="str">
            <v>165482.77</v>
          </cell>
          <cell r="I1000" t="str">
            <v>S</v>
          </cell>
          <cell r="K1000" t="str">
            <v>Rígida</v>
          </cell>
          <cell r="L1000" t="str">
            <v>C859-A</v>
          </cell>
          <cell r="Q1000">
            <v>3.8</v>
          </cell>
          <cell r="S1000" t="str">
            <v>+12</v>
          </cell>
        </row>
        <row r="1001">
          <cell r="C1001">
            <v>12</v>
          </cell>
          <cell r="F1001" t="str">
            <v/>
          </cell>
          <cell r="G1001" t="str">
            <v/>
          </cell>
        </row>
        <row r="1002">
          <cell r="B1002" t="str">
            <v>3503CCA52</v>
          </cell>
          <cell r="D1002">
            <v>287.26</v>
          </cell>
          <cell r="E1002">
            <v>34516.688999999998</v>
          </cell>
          <cell r="F1002" t="str">
            <v>-41661.92</v>
          </cell>
          <cell r="G1002" t="str">
            <v>165470.96</v>
          </cell>
          <cell r="I1002" t="str">
            <v>PF</v>
          </cell>
          <cell r="K1002" t="str">
            <v>Rígida</v>
          </cell>
          <cell r="L1002" t="str">
            <v>C863-A</v>
          </cell>
          <cell r="Q1002">
            <v>3.8</v>
          </cell>
          <cell r="S1002" t="str">
            <v>+4</v>
          </cell>
        </row>
        <row r="1003">
          <cell r="C1003">
            <v>12</v>
          </cell>
          <cell r="F1003" t="str">
            <v/>
          </cell>
          <cell r="G1003" t="str">
            <v/>
          </cell>
        </row>
        <row r="1004">
          <cell r="B1004" t="str">
            <v>3503CCA54</v>
          </cell>
          <cell r="D1004">
            <v>299.26</v>
          </cell>
          <cell r="E1004">
            <v>34504.688999999998</v>
          </cell>
          <cell r="F1004" t="str">
            <v>-41664.07</v>
          </cell>
          <cell r="G1004" t="str">
            <v>165459.15</v>
          </cell>
          <cell r="I1004" t="str">
            <v>S</v>
          </cell>
          <cell r="K1004" t="str">
            <v>Rígida</v>
          </cell>
          <cell r="L1004" t="str">
            <v>C859-A</v>
          </cell>
          <cell r="Q1004">
            <v>3.8</v>
          </cell>
          <cell r="S1004">
            <v>-4</v>
          </cell>
        </row>
        <row r="1005">
          <cell r="C1005">
            <v>12</v>
          </cell>
          <cell r="F1005" t="str">
            <v/>
          </cell>
          <cell r="G1005" t="str">
            <v/>
          </cell>
        </row>
        <row r="1006">
          <cell r="B1006" t="str">
            <v>3503CCA56</v>
          </cell>
          <cell r="D1006">
            <v>311.26</v>
          </cell>
          <cell r="E1006">
            <v>34492.688999999998</v>
          </cell>
          <cell r="F1006" t="str">
            <v>-41666.21</v>
          </cell>
          <cell r="G1006" t="str">
            <v>165447.35</v>
          </cell>
          <cell r="I1006" t="str">
            <v>S</v>
          </cell>
          <cell r="K1006" t="str">
            <v>Rígida</v>
          </cell>
          <cell r="L1006" t="str">
            <v>C859-A</v>
          </cell>
          <cell r="Q1006">
            <v>3.8</v>
          </cell>
          <cell r="S1006">
            <v>-12</v>
          </cell>
        </row>
        <row r="1007">
          <cell r="C1007">
            <v>12</v>
          </cell>
          <cell r="F1007" t="str">
            <v/>
          </cell>
          <cell r="G1007" t="str">
            <v/>
          </cell>
        </row>
        <row r="1008">
          <cell r="B1008" t="str">
            <v>3503CCA58</v>
          </cell>
          <cell r="D1008">
            <v>323.26</v>
          </cell>
          <cell r="E1008">
            <v>34480.688999999998</v>
          </cell>
          <cell r="F1008" t="str">
            <v>-41668.35</v>
          </cell>
          <cell r="G1008" t="str">
            <v>165435.54</v>
          </cell>
          <cell r="I1008" t="str">
            <v>S</v>
          </cell>
          <cell r="K1008" t="str">
            <v>Rígida</v>
          </cell>
          <cell r="L1008" t="str">
            <v>C859-A</v>
          </cell>
          <cell r="Q1008">
            <v>3.8</v>
          </cell>
          <cell r="S1008">
            <v>-20</v>
          </cell>
        </row>
        <row r="1009">
          <cell r="C1009">
            <v>12</v>
          </cell>
          <cell r="F1009" t="str">
            <v/>
          </cell>
          <cell r="G1009" t="str">
            <v/>
          </cell>
        </row>
        <row r="1010">
          <cell r="B1010" t="str">
            <v>3503CCA60</v>
          </cell>
          <cell r="D1010">
            <v>335.26</v>
          </cell>
          <cell r="E1010">
            <v>34468.688999999998</v>
          </cell>
          <cell r="F1010" t="str">
            <v>-41670.49</v>
          </cell>
          <cell r="G1010" t="str">
            <v>165423.73</v>
          </cell>
          <cell r="I1010" t="str">
            <v>S</v>
          </cell>
          <cell r="K1010" t="str">
            <v>Rígida</v>
          </cell>
          <cell r="L1010" t="str">
            <v>C859-A</v>
          </cell>
          <cell r="Q1010">
            <v>3.8</v>
          </cell>
          <cell r="S1010">
            <v>-12</v>
          </cell>
        </row>
        <row r="1011">
          <cell r="C1011">
            <v>12</v>
          </cell>
          <cell r="F1011" t="str">
            <v/>
          </cell>
          <cell r="G1011" t="str">
            <v/>
          </cell>
        </row>
        <row r="1012">
          <cell r="B1012" t="str">
            <v>3503CCA62</v>
          </cell>
          <cell r="D1012">
            <v>347.26</v>
          </cell>
          <cell r="E1012">
            <v>34456.688999999998</v>
          </cell>
          <cell r="F1012" t="str">
            <v>-41672.63</v>
          </cell>
          <cell r="G1012" t="str">
            <v>165411.92</v>
          </cell>
          <cell r="I1012" t="str">
            <v>S</v>
          </cell>
          <cell r="K1012" t="str">
            <v>Rígida</v>
          </cell>
          <cell r="L1012" t="str">
            <v>C859-A</v>
          </cell>
          <cell r="Q1012">
            <v>3.8</v>
          </cell>
          <cell r="S1012">
            <v>-4</v>
          </cell>
        </row>
        <row r="1013">
          <cell r="C1013">
            <v>12</v>
          </cell>
          <cell r="F1013" t="str">
            <v/>
          </cell>
          <cell r="G1013" t="str">
            <v/>
          </cell>
        </row>
        <row r="1014">
          <cell r="B1014" t="str">
            <v>3503CCA64</v>
          </cell>
          <cell r="D1014">
            <v>359.26</v>
          </cell>
          <cell r="E1014">
            <v>34444.688999999998</v>
          </cell>
          <cell r="F1014" t="str">
            <v>-41674.78</v>
          </cell>
          <cell r="G1014" t="str">
            <v>165400.12</v>
          </cell>
          <cell r="I1014" t="str">
            <v>S</v>
          </cell>
          <cell r="K1014" t="str">
            <v>Rígida</v>
          </cell>
          <cell r="L1014" t="str">
            <v>C859-A</v>
          </cell>
          <cell r="Q1014">
            <v>3.8</v>
          </cell>
          <cell r="S1014" t="str">
            <v>+4</v>
          </cell>
        </row>
        <row r="1015">
          <cell r="C1015">
            <v>12</v>
          </cell>
          <cell r="F1015" t="str">
            <v/>
          </cell>
          <cell r="G1015" t="str">
            <v/>
          </cell>
          <cell r="H1015" t="str">
            <v>Clo</v>
          </cell>
        </row>
        <row r="1016">
          <cell r="B1016" t="str">
            <v>3503CCA66</v>
          </cell>
          <cell r="D1016">
            <v>371.26</v>
          </cell>
          <cell r="E1016">
            <v>34432.688999999998</v>
          </cell>
          <cell r="F1016" t="str">
            <v>-41676.92</v>
          </cell>
          <cell r="G1016" t="str">
            <v>165388.32</v>
          </cell>
          <cell r="H1016" t="str">
            <v>-</v>
          </cell>
          <cell r="I1016" t="str">
            <v>S</v>
          </cell>
          <cell r="K1016" t="str">
            <v>Rígida</v>
          </cell>
          <cell r="L1016" t="str">
            <v>C859-A</v>
          </cell>
          <cell r="Q1016">
            <v>3.8</v>
          </cell>
          <cell r="S1016" t="str">
            <v>+12</v>
          </cell>
        </row>
        <row r="1017">
          <cell r="C1017">
            <v>12</v>
          </cell>
          <cell r="F1017" t="str">
            <v/>
          </cell>
          <cell r="G1017" t="str">
            <v/>
          </cell>
          <cell r="H1017" t="str">
            <v>Clo</v>
          </cell>
        </row>
        <row r="1018">
          <cell r="B1018" t="str">
            <v>3503CCA68</v>
          </cell>
          <cell r="D1018">
            <v>383.26</v>
          </cell>
          <cell r="E1018">
            <v>34420.688999999998</v>
          </cell>
          <cell r="F1018" t="str">
            <v>-41679.12</v>
          </cell>
          <cell r="G1018" t="str">
            <v>165376.52</v>
          </cell>
          <cell r="H1018" t="str">
            <v>-</v>
          </cell>
          <cell r="I1018" t="str">
            <v>SE</v>
          </cell>
          <cell r="K1018" t="str">
            <v>Rígida</v>
          </cell>
          <cell r="L1018" t="str">
            <v>C860-A</v>
          </cell>
          <cell r="Q1018">
            <v>3.8</v>
          </cell>
          <cell r="S1018">
            <v>-12</v>
          </cell>
          <cell r="T1018" t="str">
            <v>+20</v>
          </cell>
          <cell r="U1018" t="str">
            <v>Cantón 192,4 m</v>
          </cell>
        </row>
        <row r="1019">
          <cell r="C1019">
            <v>6.2</v>
          </cell>
          <cell r="F1019" t="str">
            <v/>
          </cell>
          <cell r="G1019" t="str">
            <v/>
          </cell>
          <cell r="H1019" t="str">
            <v>Clo</v>
          </cell>
          <cell r="U1019" t="str">
            <v>Seccionamento</v>
          </cell>
        </row>
        <row r="1020">
          <cell r="B1020" t="str">
            <v>3503CCA70</v>
          </cell>
          <cell r="D1020">
            <v>389.46</v>
          </cell>
          <cell r="E1020">
            <v>34414.489000000001</v>
          </cell>
          <cell r="F1020" t="str">
            <v>-41680.35</v>
          </cell>
          <cell r="G1020" t="str">
            <v>165370.44</v>
          </cell>
          <cell r="H1020" t="str">
            <v>-</v>
          </cell>
          <cell r="I1020" t="str">
            <v>SE</v>
          </cell>
          <cell r="K1020" t="str">
            <v>Rígida</v>
          </cell>
          <cell r="L1020" t="str">
            <v>C860-A</v>
          </cell>
          <cell r="Q1020">
            <v>3.8</v>
          </cell>
          <cell r="S1020">
            <v>-4</v>
          </cell>
          <cell r="T1020" t="str">
            <v>+20</v>
          </cell>
          <cell r="U1020" t="str">
            <v>Cantón 396,4 m</v>
          </cell>
        </row>
        <row r="1021">
          <cell r="C1021">
            <v>12</v>
          </cell>
          <cell r="F1021" t="str">
            <v/>
          </cell>
          <cell r="G1021" t="str">
            <v/>
          </cell>
          <cell r="H1021" t="str">
            <v>Clo</v>
          </cell>
        </row>
        <row r="1022">
          <cell r="B1022" t="str">
            <v>3503CCA72</v>
          </cell>
          <cell r="D1022">
            <v>401.46</v>
          </cell>
          <cell r="E1022">
            <v>34402.489000000001</v>
          </cell>
          <cell r="F1022" t="str">
            <v>-41682.85</v>
          </cell>
          <cell r="G1022" t="str">
            <v>165358.71</v>
          </cell>
          <cell r="H1022" t="str">
            <v>-</v>
          </cell>
          <cell r="I1022" t="str">
            <v>S</v>
          </cell>
          <cell r="K1022" t="str">
            <v>Rígida</v>
          </cell>
          <cell r="L1022" t="str">
            <v>C859-A</v>
          </cell>
          <cell r="Q1022">
            <v>3.8</v>
          </cell>
          <cell r="S1022" t="str">
            <v>+4</v>
          </cell>
        </row>
        <row r="1023">
          <cell r="C1023">
            <v>12</v>
          </cell>
          <cell r="F1023" t="str">
            <v/>
          </cell>
          <cell r="G1023" t="str">
            <v/>
          </cell>
          <cell r="H1023" t="str">
            <v>Clo</v>
          </cell>
        </row>
        <row r="1024">
          <cell r="B1024" t="str">
            <v>3503CCA74</v>
          </cell>
          <cell r="D1024">
            <v>413.46</v>
          </cell>
          <cell r="E1024">
            <v>34390.489000000001</v>
          </cell>
          <cell r="F1024" t="str">
            <v>-41685.64</v>
          </cell>
          <cell r="G1024" t="str">
            <v>165347.06</v>
          </cell>
          <cell r="H1024" t="str">
            <v>-</v>
          </cell>
          <cell r="I1024" t="str">
            <v>S</v>
          </cell>
          <cell r="K1024" t="str">
            <v>Rígida</v>
          </cell>
          <cell r="L1024" t="str">
            <v>C859-A</v>
          </cell>
          <cell r="Q1024">
            <v>3.8</v>
          </cell>
          <cell r="S1024" t="str">
            <v>+12</v>
          </cell>
        </row>
        <row r="1025">
          <cell r="C1025">
            <v>12</v>
          </cell>
          <cell r="F1025" t="str">
            <v/>
          </cell>
          <cell r="G1025" t="str">
            <v/>
          </cell>
          <cell r="H1025">
            <v>-345</v>
          </cell>
        </row>
        <row r="1026">
          <cell r="B1026" t="str">
            <v>3503CCA76</v>
          </cell>
          <cell r="D1026">
            <v>425.46</v>
          </cell>
          <cell r="E1026">
            <v>34378.489000000001</v>
          </cell>
          <cell r="F1026" t="str">
            <v>-41688.81</v>
          </cell>
          <cell r="G1026" t="str">
            <v>165335.48</v>
          </cell>
          <cell r="H1026" t="str">
            <v>-</v>
          </cell>
          <cell r="I1026" t="str">
            <v>S</v>
          </cell>
          <cell r="K1026" t="str">
            <v>Rígida</v>
          </cell>
          <cell r="L1026" t="str">
            <v>C859-A</v>
          </cell>
          <cell r="Q1026">
            <v>3.8</v>
          </cell>
          <cell r="S1026" t="str">
            <v>+20</v>
          </cell>
        </row>
        <row r="1027">
          <cell r="C1027">
            <v>12</v>
          </cell>
          <cell r="F1027" t="str">
            <v/>
          </cell>
          <cell r="G1027" t="str">
            <v/>
          </cell>
          <cell r="H1027">
            <v>-345</v>
          </cell>
        </row>
        <row r="1028">
          <cell r="B1028" t="str">
            <v>3503CCA78</v>
          </cell>
          <cell r="D1028">
            <v>437.46</v>
          </cell>
          <cell r="E1028">
            <v>34366.489000000001</v>
          </cell>
          <cell r="F1028" t="str">
            <v>-41692.38</v>
          </cell>
          <cell r="G1028" t="str">
            <v>165324.03</v>
          </cell>
          <cell r="H1028" t="str">
            <v>-</v>
          </cell>
          <cell r="I1028" t="str">
            <v>S</v>
          </cell>
          <cell r="K1028" t="str">
            <v>Rígida</v>
          </cell>
          <cell r="L1028" t="str">
            <v>C859-A</v>
          </cell>
          <cell r="Q1028">
            <v>3.8</v>
          </cell>
          <cell r="S1028" t="str">
            <v>+10</v>
          </cell>
        </row>
        <row r="1029">
          <cell r="C1029">
            <v>12</v>
          </cell>
          <cell r="F1029" t="str">
            <v/>
          </cell>
          <cell r="G1029" t="str">
            <v/>
          </cell>
          <cell r="H1029">
            <v>-345</v>
          </cell>
        </row>
        <row r="1030">
          <cell r="B1030" t="str">
            <v>3503CCA80</v>
          </cell>
          <cell r="D1030">
            <v>449.46</v>
          </cell>
          <cell r="E1030">
            <v>34354.489000000001</v>
          </cell>
          <cell r="F1030" t="str">
            <v>-41696.35</v>
          </cell>
          <cell r="G1030" t="str">
            <v>165312.70</v>
          </cell>
          <cell r="H1030" t="str">
            <v>-</v>
          </cell>
          <cell r="I1030" t="str">
            <v>S</v>
          </cell>
          <cell r="K1030" t="str">
            <v>Rígida</v>
          </cell>
          <cell r="L1030" t="str">
            <v>C859-A</v>
          </cell>
          <cell r="Q1030">
            <v>3.8</v>
          </cell>
          <cell r="S1030" t="str">
            <v>+4</v>
          </cell>
        </row>
        <row r="1031">
          <cell r="C1031">
            <v>12</v>
          </cell>
          <cell r="F1031" t="str">
            <v/>
          </cell>
          <cell r="G1031" t="str">
            <v/>
          </cell>
          <cell r="H1031">
            <v>-345</v>
          </cell>
        </row>
        <row r="1032">
          <cell r="B1032" t="str">
            <v>3503CCA82</v>
          </cell>
          <cell r="D1032">
            <v>461.46</v>
          </cell>
          <cell r="E1032">
            <v>34342.489000000001</v>
          </cell>
          <cell r="F1032" t="str">
            <v>-41700.62</v>
          </cell>
          <cell r="G1032" t="str">
            <v>165301.49</v>
          </cell>
          <cell r="H1032" t="str">
            <v>-</v>
          </cell>
          <cell r="I1032" t="str">
            <v>S</v>
          </cell>
          <cell r="K1032" t="str">
            <v>Rígida</v>
          </cell>
          <cell r="L1032" t="str">
            <v>C859-A</v>
          </cell>
          <cell r="Q1032">
            <v>3.8</v>
          </cell>
          <cell r="S1032">
            <v>-4</v>
          </cell>
        </row>
        <row r="1033">
          <cell r="C1033">
            <v>12</v>
          </cell>
          <cell r="F1033" t="str">
            <v/>
          </cell>
          <cell r="G1033" t="str">
            <v/>
          </cell>
          <cell r="H1033">
            <v>-345</v>
          </cell>
        </row>
        <row r="1034">
          <cell r="B1034" t="str">
            <v>3503CCA84</v>
          </cell>
          <cell r="D1034">
            <v>473.46</v>
          </cell>
          <cell r="E1034">
            <v>34330.489000000001</v>
          </cell>
          <cell r="F1034" t="str">
            <v>-41705.39</v>
          </cell>
          <cell r="G1034" t="str">
            <v>165290.48</v>
          </cell>
          <cell r="H1034" t="str">
            <v>-</v>
          </cell>
          <cell r="I1034" t="str">
            <v>S</v>
          </cell>
          <cell r="K1034" t="str">
            <v>Rígida</v>
          </cell>
          <cell r="L1034" t="str">
            <v>C859-A</v>
          </cell>
          <cell r="Q1034">
            <v>3.8</v>
          </cell>
          <cell r="S1034">
            <v>-12</v>
          </cell>
        </row>
        <row r="1035">
          <cell r="C1035">
            <v>12</v>
          </cell>
          <cell r="F1035" t="str">
            <v/>
          </cell>
          <cell r="G1035" t="str">
            <v/>
          </cell>
          <cell r="H1035">
            <v>-345</v>
          </cell>
        </row>
        <row r="1036">
          <cell r="B1036" t="str">
            <v>3503CCA86</v>
          </cell>
          <cell r="D1036">
            <v>485.46</v>
          </cell>
          <cell r="E1036">
            <v>34318.489000000001</v>
          </cell>
          <cell r="F1036" t="str">
            <v>-41710.59</v>
          </cell>
          <cell r="G1036" t="str">
            <v>165279.66</v>
          </cell>
          <cell r="H1036" t="str">
            <v>-</v>
          </cell>
          <cell r="I1036" t="str">
            <v>S</v>
          </cell>
          <cell r="K1036" t="str">
            <v>Rígida</v>
          </cell>
          <cell r="L1036" t="str">
            <v>C859-A</v>
          </cell>
          <cell r="Q1036">
            <v>3.8</v>
          </cell>
          <cell r="S1036">
            <v>-20</v>
          </cell>
        </row>
        <row r="1037">
          <cell r="C1037">
            <v>12</v>
          </cell>
          <cell r="F1037" t="str">
            <v/>
          </cell>
          <cell r="G1037" t="str">
            <v/>
          </cell>
          <cell r="H1037">
            <v>-345</v>
          </cell>
        </row>
        <row r="1038">
          <cell r="B1038" t="str">
            <v>3503CCA88</v>
          </cell>
          <cell r="D1038">
            <v>497.46</v>
          </cell>
          <cell r="E1038">
            <v>34306.489000000001</v>
          </cell>
          <cell r="F1038" t="str">
            <v>-41716.11</v>
          </cell>
          <cell r="G1038" t="str">
            <v>165269.01</v>
          </cell>
          <cell r="H1038" t="str">
            <v>-</v>
          </cell>
          <cell r="I1038" t="str">
            <v>S</v>
          </cell>
          <cell r="K1038" t="str">
            <v>Rígida</v>
          </cell>
          <cell r="L1038" t="str">
            <v>C859-A</v>
          </cell>
          <cell r="Q1038">
            <v>3.8</v>
          </cell>
          <cell r="S1038">
            <v>-12</v>
          </cell>
        </row>
        <row r="1039">
          <cell r="C1039">
            <v>12</v>
          </cell>
          <cell r="F1039" t="str">
            <v/>
          </cell>
          <cell r="G1039" t="str">
            <v/>
          </cell>
          <cell r="H1039">
            <v>-345</v>
          </cell>
        </row>
        <row r="1040">
          <cell r="B1040" t="str">
            <v>3503CCA90</v>
          </cell>
          <cell r="D1040">
            <v>509.46</v>
          </cell>
          <cell r="E1040">
            <v>34294.489000000001</v>
          </cell>
          <cell r="F1040" t="str">
            <v>-41721.99</v>
          </cell>
          <cell r="G1040" t="str">
            <v>165258.55</v>
          </cell>
          <cell r="H1040" t="str">
            <v>-</v>
          </cell>
          <cell r="I1040" t="str">
            <v>S</v>
          </cell>
          <cell r="K1040" t="str">
            <v>Rígida</v>
          </cell>
          <cell r="L1040" t="str">
            <v>C859-A</v>
          </cell>
          <cell r="Q1040">
            <v>3.8</v>
          </cell>
          <cell r="S1040">
            <v>-4</v>
          </cell>
        </row>
        <row r="1041">
          <cell r="C1041">
            <v>12</v>
          </cell>
          <cell r="F1041" t="str">
            <v/>
          </cell>
          <cell r="G1041" t="str">
            <v/>
          </cell>
          <cell r="H1041">
            <v>-345</v>
          </cell>
        </row>
        <row r="1042">
          <cell r="B1042" t="str">
            <v>3503CCA92</v>
          </cell>
          <cell r="D1042">
            <v>521.46</v>
          </cell>
          <cell r="E1042">
            <v>34282.489000000001</v>
          </cell>
          <cell r="F1042" t="str">
            <v>-41728.23</v>
          </cell>
          <cell r="G1042" t="str">
            <v>165248.30</v>
          </cell>
          <cell r="H1042" t="str">
            <v>-</v>
          </cell>
          <cell r="I1042" t="str">
            <v>S</v>
          </cell>
          <cell r="K1042" t="str">
            <v>Rígida</v>
          </cell>
          <cell r="L1042" t="str">
            <v>C859-A</v>
          </cell>
          <cell r="Q1042">
            <v>3.8</v>
          </cell>
          <cell r="S1042" t="str">
            <v>+4</v>
          </cell>
        </row>
        <row r="1043">
          <cell r="C1043">
            <v>12</v>
          </cell>
          <cell r="F1043" t="str">
            <v/>
          </cell>
          <cell r="G1043" t="str">
            <v/>
          </cell>
          <cell r="H1043">
            <v>-345</v>
          </cell>
        </row>
        <row r="1044">
          <cell r="B1044" t="str">
            <v>3503CCA94</v>
          </cell>
          <cell r="D1044">
            <v>533.46</v>
          </cell>
          <cell r="E1044">
            <v>34270.489000000001</v>
          </cell>
          <cell r="F1044" t="str">
            <v>-41734.83</v>
          </cell>
          <cell r="G1044" t="str">
            <v>165238.27</v>
          </cell>
          <cell r="H1044" t="str">
            <v>-</v>
          </cell>
          <cell r="I1044" t="str">
            <v>S</v>
          </cell>
          <cell r="K1044" t="str">
            <v>Rígida</v>
          </cell>
          <cell r="L1044" t="str">
            <v>C859-A</v>
          </cell>
          <cell r="Q1044">
            <v>3.8</v>
          </cell>
          <cell r="S1044" t="str">
            <v>+12</v>
          </cell>
        </row>
        <row r="1045">
          <cell r="C1045">
            <v>12</v>
          </cell>
          <cell r="F1045" t="str">
            <v/>
          </cell>
          <cell r="G1045" t="str">
            <v/>
          </cell>
          <cell r="H1045">
            <v>-345</v>
          </cell>
        </row>
        <row r="1046">
          <cell r="B1046" t="str">
            <v>3503CCA96</v>
          </cell>
          <cell r="D1046">
            <v>545.46</v>
          </cell>
          <cell r="E1046">
            <v>34258.489000000001</v>
          </cell>
          <cell r="F1046" t="str">
            <v>-41741.68</v>
          </cell>
          <cell r="G1046" t="str">
            <v>165228.42</v>
          </cell>
          <cell r="H1046" t="str">
            <v>-</v>
          </cell>
          <cell r="I1046" t="str">
            <v>S</v>
          </cell>
          <cell r="K1046" t="str">
            <v>Rígida</v>
          </cell>
          <cell r="L1046" t="str">
            <v>C859-A</v>
          </cell>
          <cell r="Q1046">
            <v>3.8</v>
          </cell>
          <cell r="S1046" t="str">
            <v>+20</v>
          </cell>
        </row>
        <row r="1047">
          <cell r="C1047">
            <v>12</v>
          </cell>
          <cell r="F1047" t="str">
            <v/>
          </cell>
          <cell r="G1047" t="str">
            <v/>
          </cell>
          <cell r="H1047">
            <v>-345</v>
          </cell>
        </row>
        <row r="1048">
          <cell r="B1048" t="str">
            <v>3503CCA98</v>
          </cell>
          <cell r="D1048">
            <v>557.46</v>
          </cell>
          <cell r="E1048">
            <v>34246.489000000001</v>
          </cell>
          <cell r="F1048" t="str">
            <v>-41749.04</v>
          </cell>
          <cell r="G1048" t="str">
            <v>165218.94</v>
          </cell>
          <cell r="H1048" t="str">
            <v>-</v>
          </cell>
          <cell r="I1048" t="str">
            <v>S</v>
          </cell>
          <cell r="K1048" t="str">
            <v>Rígida</v>
          </cell>
          <cell r="L1048" t="str">
            <v>C859-A</v>
          </cell>
          <cell r="Q1048">
            <v>3.8</v>
          </cell>
          <cell r="S1048" t="str">
            <v>+12</v>
          </cell>
        </row>
        <row r="1049">
          <cell r="C1049">
            <v>12</v>
          </cell>
          <cell r="F1049" t="str">
            <v/>
          </cell>
          <cell r="G1049" t="str">
            <v/>
          </cell>
          <cell r="H1049">
            <v>-345</v>
          </cell>
        </row>
        <row r="1050">
          <cell r="B1050" t="str">
            <v>3503CCA100</v>
          </cell>
          <cell r="D1050">
            <v>569.46</v>
          </cell>
          <cell r="E1050">
            <v>34234.489000000001</v>
          </cell>
          <cell r="F1050" t="str">
            <v>-41756.64</v>
          </cell>
          <cell r="G1050" t="str">
            <v>165209.69</v>
          </cell>
          <cell r="H1050" t="str">
            <v>-</v>
          </cell>
          <cell r="I1050" t="str">
            <v>S</v>
          </cell>
          <cell r="K1050" t="str">
            <v>Rígida</v>
          </cell>
          <cell r="L1050" t="str">
            <v>C859-A</v>
          </cell>
          <cell r="Q1050">
            <v>3.8</v>
          </cell>
          <cell r="S1050" t="str">
            <v>+4</v>
          </cell>
        </row>
        <row r="1051">
          <cell r="C1051">
            <v>12</v>
          </cell>
          <cell r="F1051" t="str">
            <v/>
          </cell>
          <cell r="G1051" t="str">
            <v/>
          </cell>
          <cell r="H1051" t="str">
            <v>Clo</v>
          </cell>
        </row>
        <row r="1052">
          <cell r="B1052" t="str">
            <v>3503CCA102</v>
          </cell>
          <cell r="D1052">
            <v>581.46</v>
          </cell>
          <cell r="E1052">
            <v>34222.489000000001</v>
          </cell>
          <cell r="F1052" t="str">
            <v>-41764.56</v>
          </cell>
          <cell r="G1052" t="str">
            <v>165200.67</v>
          </cell>
          <cell r="H1052" t="str">
            <v>-</v>
          </cell>
          <cell r="I1052" t="str">
            <v>PF</v>
          </cell>
          <cell r="K1052" t="str">
            <v>Rígida</v>
          </cell>
          <cell r="L1052" t="str">
            <v>C863-A</v>
          </cell>
          <cell r="Q1052">
            <v>3.8</v>
          </cell>
          <cell r="S1052">
            <v>-4</v>
          </cell>
        </row>
        <row r="1053">
          <cell r="C1053">
            <v>12</v>
          </cell>
          <cell r="F1053" t="str">
            <v/>
          </cell>
          <cell r="G1053" t="str">
            <v/>
          </cell>
          <cell r="H1053" t="str">
            <v>Clo</v>
          </cell>
        </row>
        <row r="1054">
          <cell r="B1054" t="str">
            <v>3503CCA104</v>
          </cell>
          <cell r="D1054">
            <v>593.46</v>
          </cell>
          <cell r="E1054">
            <v>34210.489000000001</v>
          </cell>
          <cell r="F1054" t="str">
            <v>-41772.83</v>
          </cell>
          <cell r="G1054" t="str">
            <v>165191.86</v>
          </cell>
          <cell r="H1054" t="str">
            <v>-</v>
          </cell>
          <cell r="I1054" t="str">
            <v>S</v>
          </cell>
          <cell r="K1054" t="str">
            <v>Rígida</v>
          </cell>
          <cell r="L1054" t="str">
            <v>C859-A</v>
          </cell>
          <cell r="Q1054">
            <v>3.8</v>
          </cell>
          <cell r="S1054">
            <v>-12</v>
          </cell>
        </row>
        <row r="1055">
          <cell r="C1055">
            <v>12</v>
          </cell>
          <cell r="F1055" t="str">
            <v/>
          </cell>
          <cell r="G1055" t="str">
            <v/>
          </cell>
          <cell r="H1055" t="str">
            <v>Clo</v>
          </cell>
        </row>
        <row r="1056">
          <cell r="B1056" t="str">
            <v>3503CCA106</v>
          </cell>
          <cell r="D1056">
            <v>605.46</v>
          </cell>
          <cell r="E1056">
            <v>34198.489000000001</v>
          </cell>
          <cell r="F1056" t="str">
            <v>-41781.13</v>
          </cell>
          <cell r="G1056" t="str">
            <v>165183.19</v>
          </cell>
          <cell r="H1056" t="str">
            <v>-</v>
          </cell>
          <cell r="I1056" t="str">
            <v>S</v>
          </cell>
          <cell r="K1056" t="str">
            <v>Rígida</v>
          </cell>
          <cell r="L1056" t="str">
            <v>C859-A</v>
          </cell>
          <cell r="Q1056">
            <v>3.8</v>
          </cell>
          <cell r="S1056">
            <v>-20</v>
          </cell>
        </row>
        <row r="1057">
          <cell r="C1057">
            <v>12</v>
          </cell>
          <cell r="F1057" t="str">
            <v/>
          </cell>
          <cell r="G1057" t="str">
            <v/>
          </cell>
          <cell r="H1057" t="str">
            <v>Clo</v>
          </cell>
        </row>
        <row r="1058">
          <cell r="B1058" t="str">
            <v>3503CCA108</v>
          </cell>
          <cell r="D1058">
            <v>617.46</v>
          </cell>
          <cell r="E1058">
            <v>34186.489000000001</v>
          </cell>
          <cell r="F1058" t="str">
            <v>-41789.56</v>
          </cell>
          <cell r="G1058" t="str">
            <v>165174.69</v>
          </cell>
          <cell r="H1058" t="str">
            <v>-</v>
          </cell>
          <cell r="I1058" t="str">
            <v>S</v>
          </cell>
          <cell r="K1058" t="str">
            <v>Rígida</v>
          </cell>
          <cell r="L1058" t="str">
            <v>C859-A</v>
          </cell>
          <cell r="Q1058">
            <v>3.8</v>
          </cell>
          <cell r="S1058">
            <v>-12</v>
          </cell>
        </row>
        <row r="1059">
          <cell r="C1059">
            <v>12</v>
          </cell>
          <cell r="F1059" t="str">
            <v/>
          </cell>
          <cell r="G1059" t="str">
            <v/>
          </cell>
          <cell r="H1059" t="str">
            <v>Clo</v>
          </cell>
        </row>
        <row r="1060">
          <cell r="B1060" t="str">
            <v>3503CCA110</v>
          </cell>
          <cell r="D1060">
            <v>629.36</v>
          </cell>
          <cell r="E1060">
            <v>34174.589</v>
          </cell>
          <cell r="F1060" t="str">
            <v>-41798.03</v>
          </cell>
          <cell r="G1060" t="str">
            <v>165166.25</v>
          </cell>
          <cell r="I1060" t="str">
            <v>S</v>
          </cell>
          <cell r="K1060" t="str">
            <v>Rígida</v>
          </cell>
          <cell r="L1060" t="str">
            <v>C859-A</v>
          </cell>
          <cell r="Q1060">
            <v>3.8</v>
          </cell>
          <cell r="S1060">
            <v>-4</v>
          </cell>
        </row>
        <row r="1061">
          <cell r="C1061">
            <v>12</v>
          </cell>
          <cell r="F1061" t="str">
            <v/>
          </cell>
          <cell r="G1061" t="str">
            <v/>
          </cell>
        </row>
        <row r="1062">
          <cell r="B1062" t="str">
            <v>3503CCA112</v>
          </cell>
          <cell r="D1062">
            <v>641.36</v>
          </cell>
          <cell r="E1062">
            <v>34162.589</v>
          </cell>
          <cell r="F1062" t="str">
            <v>-41806.51</v>
          </cell>
          <cell r="G1062" t="str">
            <v>165157.79</v>
          </cell>
          <cell r="I1062" t="str">
            <v>S</v>
          </cell>
          <cell r="K1062" t="str">
            <v>Rígida</v>
          </cell>
          <cell r="L1062" t="str">
            <v>C859-A</v>
          </cell>
          <cell r="Q1062">
            <v>3.8</v>
          </cell>
          <cell r="S1062" t="str">
            <v>+4</v>
          </cell>
        </row>
        <row r="1063">
          <cell r="C1063">
            <v>12</v>
          </cell>
          <cell r="F1063" t="str">
            <v/>
          </cell>
          <cell r="G1063" t="str">
            <v/>
          </cell>
          <cell r="H1063" t="str">
            <v>Clo</v>
          </cell>
        </row>
        <row r="1064">
          <cell r="B1064" t="str">
            <v>3503CCA114</v>
          </cell>
          <cell r="D1064">
            <v>653.36</v>
          </cell>
          <cell r="E1064">
            <v>34150.589</v>
          </cell>
          <cell r="F1064" t="str">
            <v>-41814.95</v>
          </cell>
          <cell r="G1064" t="str">
            <v>165149.34</v>
          </cell>
          <cell r="H1064" t="str">
            <v>-</v>
          </cell>
          <cell r="I1064" t="str">
            <v>S</v>
          </cell>
          <cell r="K1064" t="str">
            <v>Rígida</v>
          </cell>
          <cell r="L1064" t="str">
            <v>C859-A</v>
          </cell>
          <cell r="Q1064">
            <v>3.8</v>
          </cell>
          <cell r="S1064" t="str">
            <v>+12</v>
          </cell>
        </row>
        <row r="1065">
          <cell r="C1065">
            <v>12</v>
          </cell>
          <cell r="F1065" t="str">
            <v/>
          </cell>
          <cell r="G1065" t="str">
            <v/>
          </cell>
          <cell r="H1065" t="str">
            <v>Clo</v>
          </cell>
        </row>
        <row r="1066">
          <cell r="B1066" t="str">
            <v>3503CCA116</v>
          </cell>
          <cell r="D1066">
            <v>665.36</v>
          </cell>
          <cell r="E1066">
            <v>34138.589</v>
          </cell>
          <cell r="F1066" t="str">
            <v>-41823.36</v>
          </cell>
          <cell r="G1066" t="str">
            <v>165140.86</v>
          </cell>
          <cell r="H1066" t="str">
            <v>-</v>
          </cell>
          <cell r="I1066" t="str">
            <v>S</v>
          </cell>
          <cell r="K1066" t="str">
            <v>Rígida</v>
          </cell>
          <cell r="L1066" t="str">
            <v>C859-A</v>
          </cell>
          <cell r="Q1066">
            <v>3.8</v>
          </cell>
          <cell r="S1066" t="str">
            <v>+20</v>
          </cell>
        </row>
        <row r="1067">
          <cell r="C1067">
            <v>12</v>
          </cell>
          <cell r="F1067" t="str">
            <v/>
          </cell>
          <cell r="G1067" t="str">
            <v/>
          </cell>
          <cell r="H1067" t="str">
            <v>Clo</v>
          </cell>
        </row>
        <row r="1068">
          <cell r="B1068" t="str">
            <v>3503CCA118</v>
          </cell>
          <cell r="D1068">
            <v>677.36</v>
          </cell>
          <cell r="E1068">
            <v>34126.589</v>
          </cell>
          <cell r="F1068" t="str">
            <v>-41831.52</v>
          </cell>
          <cell r="G1068" t="str">
            <v>165132.12</v>
          </cell>
          <cell r="H1068" t="str">
            <v>-</v>
          </cell>
          <cell r="I1068" t="str">
            <v>S</v>
          </cell>
          <cell r="K1068" t="str">
            <v>Rígida</v>
          </cell>
          <cell r="L1068" t="str">
            <v>C859-A</v>
          </cell>
          <cell r="Q1068">
            <v>3.8</v>
          </cell>
          <cell r="S1068" t="str">
            <v>+12</v>
          </cell>
        </row>
        <row r="1069">
          <cell r="C1069">
            <v>12</v>
          </cell>
          <cell r="F1069" t="str">
            <v/>
          </cell>
          <cell r="G1069" t="str">
            <v/>
          </cell>
          <cell r="H1069" t="str">
            <v>Clo</v>
          </cell>
        </row>
        <row r="1070">
          <cell r="B1070" t="str">
            <v>3503CCA120</v>
          </cell>
          <cell r="D1070">
            <v>689.36</v>
          </cell>
          <cell r="E1070">
            <v>34114.589</v>
          </cell>
          <cell r="F1070" t="str">
            <v>-41839.58</v>
          </cell>
          <cell r="G1070" t="str">
            <v>165123.29</v>
          </cell>
          <cell r="H1070" t="str">
            <v>-</v>
          </cell>
          <cell r="I1070" t="str">
            <v>S</v>
          </cell>
          <cell r="K1070" t="str">
            <v>Rígida</v>
          </cell>
          <cell r="L1070" t="str">
            <v>C859-A</v>
          </cell>
          <cell r="Q1070">
            <v>3.8</v>
          </cell>
          <cell r="S1070" t="str">
            <v>+4</v>
          </cell>
        </row>
        <row r="1071">
          <cell r="C1071">
            <v>12</v>
          </cell>
          <cell r="F1071" t="str">
            <v/>
          </cell>
          <cell r="G1071" t="str">
            <v/>
          </cell>
          <cell r="H1071" t="str">
            <v>Clo</v>
          </cell>
        </row>
        <row r="1072">
          <cell r="B1072" t="str">
            <v>3503CCA122</v>
          </cell>
          <cell r="D1072">
            <v>701.36</v>
          </cell>
          <cell r="E1072">
            <v>34102.589</v>
          </cell>
          <cell r="F1072" t="str">
            <v>-41847.26</v>
          </cell>
          <cell r="G1072" t="str">
            <v>165114.16</v>
          </cell>
          <cell r="H1072" t="str">
            <v>-</v>
          </cell>
          <cell r="I1072" t="str">
            <v>S</v>
          </cell>
          <cell r="K1072" t="str">
            <v>Rígida</v>
          </cell>
          <cell r="L1072" t="str">
            <v>C859-A</v>
          </cell>
          <cell r="Q1072">
            <v>3.8</v>
          </cell>
          <cell r="S1072">
            <v>-4</v>
          </cell>
        </row>
        <row r="1073">
          <cell r="C1073">
            <v>12</v>
          </cell>
          <cell r="F1073" t="str">
            <v/>
          </cell>
          <cell r="G1073" t="str">
            <v/>
          </cell>
          <cell r="H1073">
            <v>345</v>
          </cell>
        </row>
        <row r="1074">
          <cell r="B1074" t="str">
            <v>3503CCA124</v>
          </cell>
          <cell r="D1074">
            <v>713.36</v>
          </cell>
          <cell r="E1074">
            <v>34090.589</v>
          </cell>
          <cell r="F1074" t="str">
            <v>-41854.70</v>
          </cell>
          <cell r="G1074" t="str">
            <v>165104.81</v>
          </cell>
          <cell r="H1074" t="str">
            <v>-</v>
          </cell>
          <cell r="I1074" t="str">
            <v>S</v>
          </cell>
          <cell r="K1074" t="str">
            <v>Rígida</v>
          </cell>
          <cell r="L1074" t="str">
            <v>C859-A</v>
          </cell>
          <cell r="Q1074">
            <v>3.8</v>
          </cell>
          <cell r="S1074">
            <v>-12</v>
          </cell>
        </row>
        <row r="1075">
          <cell r="C1075">
            <v>12</v>
          </cell>
          <cell r="F1075" t="str">
            <v/>
          </cell>
          <cell r="G1075" t="str">
            <v/>
          </cell>
          <cell r="H1075">
            <v>345</v>
          </cell>
        </row>
        <row r="1076">
          <cell r="B1076" t="str">
            <v>3503CCA126</v>
          </cell>
          <cell r="D1076">
            <v>725.36</v>
          </cell>
          <cell r="E1076">
            <v>34078.589</v>
          </cell>
          <cell r="F1076" t="str">
            <v>-41861.66</v>
          </cell>
          <cell r="G1076" t="str">
            <v>165095.18</v>
          </cell>
          <cell r="H1076" t="str">
            <v>-</v>
          </cell>
          <cell r="I1076" t="str">
            <v>S</v>
          </cell>
          <cell r="K1076" t="str">
            <v>Rígida</v>
          </cell>
          <cell r="L1076" t="str">
            <v>C859-A</v>
          </cell>
          <cell r="Q1076">
            <v>3.8</v>
          </cell>
          <cell r="S1076">
            <v>-20</v>
          </cell>
        </row>
        <row r="1077">
          <cell r="C1077">
            <v>12</v>
          </cell>
          <cell r="F1077" t="str">
            <v/>
          </cell>
          <cell r="G1077" t="str">
            <v/>
          </cell>
          <cell r="H1077">
            <v>345</v>
          </cell>
        </row>
        <row r="1078">
          <cell r="B1078" t="str">
            <v>3503CCA128</v>
          </cell>
          <cell r="D1078">
            <v>737.36</v>
          </cell>
          <cell r="E1078">
            <v>34066.589</v>
          </cell>
          <cell r="F1078" t="str">
            <v>-41868.48</v>
          </cell>
          <cell r="G1078" t="str">
            <v>165085.28</v>
          </cell>
          <cell r="H1078" t="str">
            <v>-</v>
          </cell>
          <cell r="I1078" t="str">
            <v>S</v>
          </cell>
          <cell r="K1078" t="str">
            <v>Rígida</v>
          </cell>
          <cell r="L1078" t="str">
            <v>C859-A</v>
          </cell>
          <cell r="Q1078">
            <v>3.8</v>
          </cell>
          <cell r="S1078">
            <v>-12</v>
          </cell>
        </row>
        <row r="1079">
          <cell r="C1079">
            <v>12</v>
          </cell>
          <cell r="F1079" t="str">
            <v/>
          </cell>
          <cell r="G1079" t="str">
            <v/>
          </cell>
          <cell r="H1079" t="str">
            <v>Clo</v>
          </cell>
        </row>
        <row r="1080">
          <cell r="B1080" t="str">
            <v>3503CCA130</v>
          </cell>
          <cell r="D1080">
            <v>749.36</v>
          </cell>
          <cell r="E1080">
            <v>34054.589</v>
          </cell>
          <cell r="F1080" t="str">
            <v>-41874.89</v>
          </cell>
          <cell r="G1080" t="str">
            <v>165075.19</v>
          </cell>
          <cell r="H1080" t="str">
            <v>-</v>
          </cell>
          <cell r="I1080" t="str">
            <v>S</v>
          </cell>
          <cell r="K1080" t="str">
            <v>Rígida</v>
          </cell>
          <cell r="L1080" t="str">
            <v>C859-A</v>
          </cell>
          <cell r="Q1080">
            <v>3.8</v>
          </cell>
          <cell r="S1080">
            <v>-4</v>
          </cell>
        </row>
        <row r="1081">
          <cell r="C1081">
            <v>12</v>
          </cell>
          <cell r="F1081" t="str">
            <v/>
          </cell>
          <cell r="G1081" t="str">
            <v/>
          </cell>
          <cell r="H1081" t="str">
            <v>Clo</v>
          </cell>
        </row>
        <row r="1082">
          <cell r="B1082" t="str">
            <v>3503CCA132</v>
          </cell>
          <cell r="D1082">
            <v>761.36</v>
          </cell>
          <cell r="E1082">
            <v>34042.589</v>
          </cell>
          <cell r="F1082" t="str">
            <v>-41881.02</v>
          </cell>
          <cell r="G1082" t="str">
            <v>165064.87</v>
          </cell>
          <cell r="H1082" t="str">
            <v>-</v>
          </cell>
          <cell r="I1082" t="str">
            <v>S</v>
          </cell>
          <cell r="K1082" t="str">
            <v>Rígida</v>
          </cell>
          <cell r="L1082" t="str">
            <v>C859-A</v>
          </cell>
          <cell r="Q1082">
            <v>3.8</v>
          </cell>
          <cell r="S1082" t="str">
            <v>+4</v>
          </cell>
        </row>
        <row r="1083">
          <cell r="C1083">
            <v>12</v>
          </cell>
          <cell r="F1083" t="str">
            <v/>
          </cell>
          <cell r="G1083" t="str">
            <v/>
          </cell>
          <cell r="H1083" t="str">
            <v>Clo</v>
          </cell>
        </row>
        <row r="1084">
          <cell r="B1084" t="str">
            <v>3503CCA134</v>
          </cell>
          <cell r="D1084">
            <v>773.36</v>
          </cell>
          <cell r="E1084">
            <v>34030.589</v>
          </cell>
          <cell r="F1084" t="str">
            <v>-41886.99</v>
          </cell>
          <cell r="G1084" t="str">
            <v>165054.42</v>
          </cell>
          <cell r="H1084" t="str">
            <v>-</v>
          </cell>
          <cell r="I1084" t="str">
            <v>SE</v>
          </cell>
          <cell r="K1084" t="str">
            <v>Rígida</v>
          </cell>
          <cell r="L1084" t="str">
            <v>C860-A</v>
          </cell>
          <cell r="Q1084">
            <v>3.8</v>
          </cell>
          <cell r="S1084">
            <v>-12</v>
          </cell>
          <cell r="T1084" t="str">
            <v>+12</v>
          </cell>
          <cell r="U1084" t="str">
            <v>Cantón 396,4 m</v>
          </cell>
          <cell r="X1084" t="str">
            <v>FA</v>
          </cell>
        </row>
        <row r="1085">
          <cell r="C1085">
            <v>6.2</v>
          </cell>
          <cell r="F1085" t="str">
            <v/>
          </cell>
          <cell r="G1085" t="str">
            <v/>
          </cell>
          <cell r="H1085" t="str">
            <v>Clo</v>
          </cell>
          <cell r="U1085" t="str">
            <v>Seccionamento</v>
          </cell>
        </row>
        <row r="1086">
          <cell r="B1086" t="str">
            <v>3503CCA136</v>
          </cell>
          <cell r="D1086">
            <v>779.56000000000006</v>
          </cell>
          <cell r="E1086">
            <v>34024.389000000003</v>
          </cell>
          <cell r="F1086" t="str">
            <v>-41890.02</v>
          </cell>
          <cell r="G1086" t="str">
            <v>165049.01</v>
          </cell>
          <cell r="H1086" t="str">
            <v>-</v>
          </cell>
          <cell r="I1086" t="str">
            <v>SE</v>
          </cell>
          <cell r="K1086" t="str">
            <v>Rígida</v>
          </cell>
          <cell r="L1086" t="str">
            <v>C860-A</v>
          </cell>
          <cell r="Q1086">
            <v>3.8</v>
          </cell>
          <cell r="S1086">
            <v>-20</v>
          </cell>
          <cell r="T1086" t="str">
            <v>+20</v>
          </cell>
          <cell r="U1086" t="str">
            <v>Cantón 260 m</v>
          </cell>
          <cell r="V1086" t="str">
            <v>Caix. Secc. e Con.</v>
          </cell>
          <cell r="W1086" t="str">
            <v>Caix. Imped.</v>
          </cell>
        </row>
        <row r="1087">
          <cell r="C1087">
            <v>11.6</v>
          </cell>
          <cell r="F1087" t="str">
            <v/>
          </cell>
          <cell r="G1087" t="str">
            <v/>
          </cell>
          <cell r="H1087" t="str">
            <v>Clo</v>
          </cell>
        </row>
        <row r="1088">
          <cell r="B1088" t="str">
            <v>3503CCA138</v>
          </cell>
          <cell r="D1088">
            <v>791.16000000000008</v>
          </cell>
          <cell r="E1088">
            <v>34012.788999999997</v>
          </cell>
          <cell r="F1088" t="str">
            <v>-41895.78</v>
          </cell>
          <cell r="G1088" t="str">
            <v>165038.48</v>
          </cell>
          <cell r="I1088" t="str">
            <v>S</v>
          </cell>
          <cell r="K1088" t="str">
            <v>Rígida</v>
          </cell>
          <cell r="L1088" t="str">
            <v>C859-A</v>
          </cell>
          <cell r="Q1088">
            <v>3.8</v>
          </cell>
          <cell r="S1088">
            <v>-12</v>
          </cell>
        </row>
        <row r="1089">
          <cell r="C1089">
            <v>12</v>
          </cell>
          <cell r="F1089" t="str">
            <v/>
          </cell>
          <cell r="G1089" t="str">
            <v/>
          </cell>
        </row>
        <row r="1090">
          <cell r="B1090" t="str">
            <v>3503CCA140</v>
          </cell>
          <cell r="D1090">
            <v>803.16000000000008</v>
          </cell>
          <cell r="E1090">
            <v>34000.788999999997</v>
          </cell>
          <cell r="F1090" t="str">
            <v>-41901.55</v>
          </cell>
          <cell r="G1090" t="str">
            <v>165027.96</v>
          </cell>
          <cell r="I1090" t="str">
            <v>S</v>
          </cell>
          <cell r="K1090" t="str">
            <v>Rígida</v>
          </cell>
          <cell r="L1090" t="str">
            <v>C859-A</v>
          </cell>
          <cell r="Q1090">
            <v>3.8</v>
          </cell>
          <cell r="S1090">
            <v>-4</v>
          </cell>
        </row>
        <row r="1091">
          <cell r="C1091">
            <v>12</v>
          </cell>
          <cell r="F1091" t="str">
            <v/>
          </cell>
          <cell r="G1091" t="str">
            <v/>
          </cell>
        </row>
        <row r="1092">
          <cell r="B1092" t="str">
            <v>3503CCA142</v>
          </cell>
          <cell r="D1092">
            <v>815.16000000000008</v>
          </cell>
          <cell r="E1092">
            <v>33988.788999999997</v>
          </cell>
          <cell r="F1092" t="str">
            <v>-41907.30</v>
          </cell>
          <cell r="G1092" t="str">
            <v>165017.43</v>
          </cell>
          <cell r="I1092" t="str">
            <v>S</v>
          </cell>
          <cell r="K1092" t="str">
            <v>Rígida</v>
          </cell>
          <cell r="L1092" t="str">
            <v>C859-A</v>
          </cell>
          <cell r="Q1092">
            <v>3.8</v>
          </cell>
          <cell r="S1092" t="str">
            <v>+4</v>
          </cell>
        </row>
        <row r="1093">
          <cell r="C1093">
            <v>12</v>
          </cell>
          <cell r="F1093" t="str">
            <v/>
          </cell>
          <cell r="G1093" t="str">
            <v/>
          </cell>
        </row>
        <row r="1094">
          <cell r="B1094" t="str">
            <v>3503CCA144</v>
          </cell>
          <cell r="D1094">
            <v>827.16000000000008</v>
          </cell>
          <cell r="E1094">
            <v>33976.788999999997</v>
          </cell>
          <cell r="F1094" t="str">
            <v>-41913.06</v>
          </cell>
          <cell r="G1094" t="str">
            <v>165006.90</v>
          </cell>
          <cell r="I1094" t="str">
            <v>S</v>
          </cell>
          <cell r="K1094" t="str">
            <v>Rígida</v>
          </cell>
          <cell r="L1094" t="str">
            <v>C859-A</v>
          </cell>
          <cell r="Q1094">
            <v>3.8</v>
          </cell>
          <cell r="S1094" t="str">
            <v>+12</v>
          </cell>
        </row>
        <row r="1095">
          <cell r="C1095">
            <v>12</v>
          </cell>
          <cell r="F1095" t="str">
            <v/>
          </cell>
          <cell r="G1095" t="str">
            <v/>
          </cell>
        </row>
        <row r="1096">
          <cell r="B1096" t="str">
            <v>3503CCA146</v>
          </cell>
          <cell r="D1096">
            <v>839.16000000000008</v>
          </cell>
          <cell r="E1096">
            <v>33964.788999999997</v>
          </cell>
          <cell r="F1096" t="str">
            <v>-41918.81</v>
          </cell>
          <cell r="G1096" t="str">
            <v>164996.37</v>
          </cell>
          <cell r="I1096" t="str">
            <v>S</v>
          </cell>
          <cell r="K1096" t="str">
            <v>Rígida</v>
          </cell>
          <cell r="L1096" t="str">
            <v>C859-A</v>
          </cell>
          <cell r="Q1096">
            <v>3.8</v>
          </cell>
          <cell r="S1096" t="str">
            <v>+20</v>
          </cell>
        </row>
        <row r="1097">
          <cell r="C1097">
            <v>12</v>
          </cell>
          <cell r="F1097" t="str">
            <v/>
          </cell>
          <cell r="G1097" t="str">
            <v/>
          </cell>
        </row>
        <row r="1098">
          <cell r="B1098" t="str">
            <v>3503CCA148</v>
          </cell>
          <cell r="D1098">
            <v>851.16000000000008</v>
          </cell>
          <cell r="E1098">
            <v>33952.788999999997</v>
          </cell>
          <cell r="F1098" t="str">
            <v>-41924.57</v>
          </cell>
          <cell r="G1098" t="str">
            <v>164985.84</v>
          </cell>
          <cell r="I1098" t="str">
            <v>S</v>
          </cell>
          <cell r="K1098" t="str">
            <v>Rígida</v>
          </cell>
          <cell r="L1098" t="str">
            <v>C859-A</v>
          </cell>
          <cell r="Q1098">
            <v>3.8</v>
          </cell>
          <cell r="S1098" t="str">
            <v>+12</v>
          </cell>
        </row>
        <row r="1099">
          <cell r="C1099">
            <v>12</v>
          </cell>
          <cell r="F1099" t="str">
            <v/>
          </cell>
          <cell r="G1099" t="str">
            <v/>
          </cell>
        </row>
        <row r="1100">
          <cell r="B1100" t="str">
            <v>3503CCA150</v>
          </cell>
          <cell r="D1100">
            <v>863.16000000000008</v>
          </cell>
          <cell r="E1100">
            <v>33940.788999999997</v>
          </cell>
          <cell r="F1100" t="str">
            <v>-41930.33</v>
          </cell>
          <cell r="G1100" t="str">
            <v>164975.31</v>
          </cell>
          <cell r="I1100" t="str">
            <v>S</v>
          </cell>
          <cell r="K1100" t="str">
            <v>Rígida</v>
          </cell>
          <cell r="L1100" t="str">
            <v>C859-A</v>
          </cell>
          <cell r="Q1100">
            <v>3.8</v>
          </cell>
          <cell r="S1100" t="str">
            <v>+4</v>
          </cell>
        </row>
        <row r="1101">
          <cell r="C1101">
            <v>12</v>
          </cell>
          <cell r="F1101" t="str">
            <v/>
          </cell>
          <cell r="G1101" t="str">
            <v/>
          </cell>
        </row>
        <row r="1102">
          <cell r="B1102" t="str">
            <v>3503CCA152</v>
          </cell>
          <cell r="D1102">
            <v>875.16000000000008</v>
          </cell>
          <cell r="E1102">
            <v>33928.788999999997</v>
          </cell>
          <cell r="F1102" t="str">
            <v>-41936.08</v>
          </cell>
          <cell r="G1102" t="str">
            <v>164964.78</v>
          </cell>
          <cell r="I1102" t="str">
            <v>S</v>
          </cell>
          <cell r="K1102" t="str">
            <v>Rígida</v>
          </cell>
          <cell r="L1102" t="str">
            <v>C859-A</v>
          </cell>
          <cell r="Q1102">
            <v>3.8</v>
          </cell>
          <cell r="S1102">
            <v>-4</v>
          </cell>
        </row>
        <row r="1103">
          <cell r="C1103">
            <v>12</v>
          </cell>
          <cell r="F1103" t="str">
            <v/>
          </cell>
          <cell r="G1103" t="str">
            <v/>
          </cell>
        </row>
        <row r="1104">
          <cell r="B1104" t="str">
            <v>3503CCA154</v>
          </cell>
          <cell r="D1104">
            <v>887.16000000000008</v>
          </cell>
          <cell r="E1104">
            <v>33916.788999999997</v>
          </cell>
          <cell r="F1104" t="str">
            <v>-41941.84</v>
          </cell>
          <cell r="G1104" t="str">
            <v>164954.25</v>
          </cell>
          <cell r="I1104" t="str">
            <v>S</v>
          </cell>
          <cell r="K1104" t="str">
            <v>Rígida</v>
          </cell>
          <cell r="L1104" t="str">
            <v>C859-A</v>
          </cell>
          <cell r="Q1104">
            <v>3.8</v>
          </cell>
          <cell r="S1104">
            <v>-12</v>
          </cell>
        </row>
        <row r="1105">
          <cell r="C1105">
            <v>12</v>
          </cell>
          <cell r="F1105" t="str">
            <v/>
          </cell>
          <cell r="G1105" t="str">
            <v/>
          </cell>
        </row>
        <row r="1106">
          <cell r="B1106" t="str">
            <v>3503CCA156</v>
          </cell>
          <cell r="D1106">
            <v>899.16000000000008</v>
          </cell>
          <cell r="E1106">
            <v>33904.788999999997</v>
          </cell>
          <cell r="F1106" t="str">
            <v>-41947.59</v>
          </cell>
          <cell r="G1106" t="str">
            <v>164943.72</v>
          </cell>
          <cell r="I1106" t="str">
            <v>S</v>
          </cell>
          <cell r="K1106" t="str">
            <v>Rígida</v>
          </cell>
          <cell r="L1106" t="str">
            <v>C859-A</v>
          </cell>
          <cell r="Q1106">
            <v>3.8</v>
          </cell>
          <cell r="S1106">
            <v>-20</v>
          </cell>
        </row>
        <row r="1107">
          <cell r="C1107">
            <v>12</v>
          </cell>
          <cell r="F1107" t="str">
            <v/>
          </cell>
          <cell r="G1107" t="str">
            <v/>
          </cell>
        </row>
        <row r="1108">
          <cell r="B1108" t="str">
            <v>3503CCA158</v>
          </cell>
          <cell r="D1108">
            <v>911.16000000000008</v>
          </cell>
          <cell r="E1108">
            <v>33892.788999999997</v>
          </cell>
          <cell r="F1108" t="str">
            <v>-41953.35</v>
          </cell>
          <cell r="G1108" t="str">
            <v>164933.19</v>
          </cell>
          <cell r="I1108" t="str">
            <v>S</v>
          </cell>
          <cell r="K1108" t="str">
            <v>Rígida</v>
          </cell>
          <cell r="L1108" t="str">
            <v>C859-A</v>
          </cell>
          <cell r="Q1108">
            <v>3.8</v>
          </cell>
          <cell r="S1108">
            <v>-12</v>
          </cell>
        </row>
        <row r="1109">
          <cell r="C1109">
            <v>12</v>
          </cell>
          <cell r="F1109" t="str">
            <v/>
          </cell>
          <cell r="G1109" t="str">
            <v/>
          </cell>
        </row>
        <row r="1110">
          <cell r="B1110" t="str">
            <v>3503CCA160</v>
          </cell>
          <cell r="D1110">
            <v>923.16000000000008</v>
          </cell>
          <cell r="E1110">
            <v>33880.788999999997</v>
          </cell>
          <cell r="F1110" t="str">
            <v>-41959.10</v>
          </cell>
          <cell r="G1110" t="str">
            <v>164922.66</v>
          </cell>
          <cell r="I1110" t="str">
            <v>PF</v>
          </cell>
          <cell r="K1110" t="str">
            <v>Rígida</v>
          </cell>
          <cell r="L1110" t="str">
            <v>C863-A</v>
          </cell>
          <cell r="Q1110">
            <v>3.8</v>
          </cell>
          <cell r="S1110">
            <v>-4</v>
          </cell>
        </row>
        <row r="1111">
          <cell r="C1111">
            <v>12</v>
          </cell>
          <cell r="F1111" t="str">
            <v/>
          </cell>
          <cell r="G1111" t="str">
            <v/>
          </cell>
        </row>
        <row r="1112">
          <cell r="B1112" t="str">
            <v>3503CCA162</v>
          </cell>
          <cell r="D1112">
            <v>935.16000000000008</v>
          </cell>
          <cell r="E1112">
            <v>33868.788999999997</v>
          </cell>
          <cell r="F1112" t="str">
            <v>-41964.86</v>
          </cell>
          <cell r="G1112" t="str">
            <v>164912.13</v>
          </cell>
          <cell r="I1112" t="str">
            <v>S</v>
          </cell>
          <cell r="K1112" t="str">
            <v>Rígida</v>
          </cell>
          <cell r="L1112" t="str">
            <v>C859-A</v>
          </cell>
          <cell r="Q1112">
            <v>3.8</v>
          </cell>
          <cell r="S1112" t="str">
            <v>+4</v>
          </cell>
        </row>
        <row r="1113">
          <cell r="C1113">
            <v>12</v>
          </cell>
          <cell r="F1113" t="str">
            <v/>
          </cell>
          <cell r="G1113" t="str">
            <v/>
          </cell>
          <cell r="H1113" t="str">
            <v/>
          </cell>
        </row>
        <row r="1114">
          <cell r="B1114" t="str">
            <v>3503CCA164</v>
          </cell>
          <cell r="D1114">
            <v>947.16000000000008</v>
          </cell>
          <cell r="E1114">
            <v>33856.788999999997</v>
          </cell>
          <cell r="F1114" t="str">
            <v>-41970.61</v>
          </cell>
          <cell r="G1114" t="str">
            <v>164901.60</v>
          </cell>
          <cell r="I1114" t="str">
            <v>S</v>
          </cell>
          <cell r="K1114" t="str">
            <v>Rígida</v>
          </cell>
          <cell r="L1114" t="str">
            <v>C859-A</v>
          </cell>
          <cell r="Q1114">
            <v>3.8</v>
          </cell>
          <cell r="S1114" t="str">
            <v>+12</v>
          </cell>
        </row>
        <row r="1115">
          <cell r="C1115">
            <v>12</v>
          </cell>
          <cell r="F1115" t="str">
            <v/>
          </cell>
          <cell r="G1115" t="str">
            <v/>
          </cell>
        </row>
        <row r="1116">
          <cell r="B1116" t="str">
            <v>3503CCA166</v>
          </cell>
          <cell r="D1116">
            <v>959.16000000000008</v>
          </cell>
          <cell r="E1116">
            <v>33844.788999999997</v>
          </cell>
          <cell r="F1116" t="str">
            <v>-41976.37</v>
          </cell>
          <cell r="G1116" t="str">
            <v>164891.07</v>
          </cell>
          <cell r="I1116" t="str">
            <v>S</v>
          </cell>
          <cell r="K1116" t="str">
            <v>Rígida</v>
          </cell>
          <cell r="L1116" t="str">
            <v>C859-A</v>
          </cell>
          <cell r="Q1116">
            <v>3.8</v>
          </cell>
          <cell r="S1116" t="str">
            <v>+20</v>
          </cell>
        </row>
        <row r="1117">
          <cell r="B1117" t="str">
            <v>Inic. Est. Campo Alegre (00+966)</v>
          </cell>
          <cell r="C1117">
            <v>10</v>
          </cell>
        </row>
        <row r="1118">
          <cell r="B1118" t="str">
            <v>3504CCA02</v>
          </cell>
          <cell r="D1118">
            <v>969.2</v>
          </cell>
          <cell r="E1118">
            <v>33834.788999999997</v>
          </cell>
          <cell r="F1118">
            <v>-4198153</v>
          </cell>
          <cell r="G1118" t="str">
            <v>164881.64</v>
          </cell>
          <cell r="I1118" t="str">
            <v>S</v>
          </cell>
          <cell r="K1118" t="str">
            <v>Rígida</v>
          </cell>
          <cell r="L1118" t="str">
            <v>C859-A</v>
          </cell>
          <cell r="Q1118">
            <v>3.8</v>
          </cell>
          <cell r="S1118" t="str">
            <v>+12</v>
          </cell>
        </row>
        <row r="1119">
          <cell r="C1119">
            <v>10</v>
          </cell>
          <cell r="F1119" t="str">
            <v/>
          </cell>
          <cell r="G1119" t="str">
            <v/>
          </cell>
          <cell r="L1119" t="str">
            <v/>
          </cell>
        </row>
        <row r="1120">
          <cell r="B1120" t="str">
            <v>3504CCA04</v>
          </cell>
          <cell r="D1120">
            <v>979.2</v>
          </cell>
          <cell r="E1120">
            <v>33824.788999999997</v>
          </cell>
          <cell r="F1120" t="str">
            <v>-41986.32</v>
          </cell>
          <cell r="G1120" t="str">
            <v>164872.86</v>
          </cell>
          <cell r="I1120" t="str">
            <v>S</v>
          </cell>
          <cell r="K1120" t="str">
            <v>Rígida</v>
          </cell>
          <cell r="L1120" t="str">
            <v>C859-A</v>
          </cell>
          <cell r="Q1120">
            <v>3.8</v>
          </cell>
          <cell r="S1120" t="str">
            <v>+4</v>
          </cell>
        </row>
        <row r="1121">
          <cell r="B1121" t="str">
            <v>Inic. Anden Campo Alegre</v>
          </cell>
          <cell r="C1121">
            <v>10</v>
          </cell>
          <cell r="L1121" t="str">
            <v/>
          </cell>
        </row>
        <row r="1122">
          <cell r="B1122" t="str">
            <v>3504CCA06</v>
          </cell>
          <cell r="D1122">
            <v>989.2</v>
          </cell>
          <cell r="E1122">
            <v>33814.788999999997</v>
          </cell>
          <cell r="F1122" t="str">
            <v>-41991.12</v>
          </cell>
          <cell r="G1122" t="str">
            <v>164864.09</v>
          </cell>
          <cell r="I1122" t="str">
            <v>S</v>
          </cell>
          <cell r="K1122" t="str">
            <v>Rígida</v>
          </cell>
          <cell r="L1122" t="str">
            <v>Parafil</v>
          </cell>
          <cell r="Q1122">
            <v>3.8</v>
          </cell>
          <cell r="S1122">
            <v>-4</v>
          </cell>
        </row>
        <row r="1123">
          <cell r="C1123">
            <v>10</v>
          </cell>
          <cell r="F1123" t="str">
            <v/>
          </cell>
          <cell r="G1123" t="str">
            <v/>
          </cell>
        </row>
        <row r="1124">
          <cell r="B1124" t="str">
            <v>3504CCA08</v>
          </cell>
          <cell r="D1124">
            <v>999.16</v>
          </cell>
          <cell r="E1124">
            <v>33804.788999999997</v>
          </cell>
          <cell r="F1124" t="str">
            <v>-41995.92</v>
          </cell>
          <cell r="G1124" t="str">
            <v>164855.31</v>
          </cell>
          <cell r="I1124" t="str">
            <v>S</v>
          </cell>
          <cell r="K1124" t="str">
            <v>Rígida</v>
          </cell>
          <cell r="L1124" t="str">
            <v>Parafil</v>
          </cell>
          <cell r="Q1124">
            <v>3.8</v>
          </cell>
          <cell r="S1124">
            <v>-12</v>
          </cell>
        </row>
        <row r="1125">
          <cell r="C1125">
            <v>10</v>
          </cell>
          <cell r="F1125" t="str">
            <v/>
          </cell>
          <cell r="G1125" t="str">
            <v/>
          </cell>
        </row>
        <row r="1126">
          <cell r="B1126" t="str">
            <v>3504CCA10</v>
          </cell>
          <cell r="D1126">
            <v>1009.16</v>
          </cell>
          <cell r="E1126">
            <v>33794.788999999997</v>
          </cell>
          <cell r="F1126" t="str">
            <v>-42000.71</v>
          </cell>
          <cell r="G1126" t="str">
            <v>164846.54</v>
          </cell>
          <cell r="I1126" t="str">
            <v>S</v>
          </cell>
          <cell r="K1126" t="str">
            <v>Rígida</v>
          </cell>
          <cell r="L1126" t="str">
            <v>Parafil</v>
          </cell>
          <cell r="Q1126">
            <v>3.8</v>
          </cell>
          <cell r="S1126">
            <v>-20</v>
          </cell>
        </row>
        <row r="1127">
          <cell r="C1127">
            <v>10</v>
          </cell>
          <cell r="F1127" t="str">
            <v/>
          </cell>
          <cell r="G1127" t="str">
            <v/>
          </cell>
        </row>
        <row r="1128">
          <cell r="B1128" t="str">
            <v>3504CCA12</v>
          </cell>
          <cell r="D1128">
            <v>1019.16</v>
          </cell>
          <cell r="E1128">
            <v>33784.788999999997</v>
          </cell>
          <cell r="F1128" t="str">
            <v>-42005.51</v>
          </cell>
          <cell r="G1128" t="str">
            <v>164837.76</v>
          </cell>
          <cell r="I1128" t="str">
            <v>S</v>
          </cell>
          <cell r="K1128" t="str">
            <v>Rígida</v>
          </cell>
          <cell r="L1128" t="str">
            <v>Parafil</v>
          </cell>
          <cell r="Q1128">
            <v>3.8</v>
          </cell>
          <cell r="S1128">
            <v>-12</v>
          </cell>
        </row>
        <row r="1129">
          <cell r="C1129">
            <v>10</v>
          </cell>
          <cell r="F1129" t="str">
            <v/>
          </cell>
          <cell r="G1129" t="str">
            <v/>
          </cell>
        </row>
        <row r="1130">
          <cell r="B1130" t="str">
            <v>3504CCA14</v>
          </cell>
          <cell r="D1130">
            <v>1029.1600000000001</v>
          </cell>
          <cell r="E1130">
            <v>33774.788999999997</v>
          </cell>
          <cell r="F1130" t="str">
            <v>-42010.31</v>
          </cell>
          <cell r="G1130" t="str">
            <v>164828.99</v>
          </cell>
          <cell r="I1130" t="str">
            <v>S</v>
          </cell>
          <cell r="K1130" t="str">
            <v>Rígida</v>
          </cell>
          <cell r="L1130" t="str">
            <v>Parafil</v>
          </cell>
          <cell r="Q1130">
            <v>3.8</v>
          </cell>
          <cell r="S1130">
            <v>-4</v>
          </cell>
        </row>
        <row r="1131">
          <cell r="C1131">
            <v>10</v>
          </cell>
          <cell r="F1131" t="str">
            <v/>
          </cell>
          <cell r="G1131" t="str">
            <v/>
          </cell>
        </row>
        <row r="1132">
          <cell r="B1132" t="str">
            <v>3504CCA16</v>
          </cell>
          <cell r="D1132">
            <v>1039.2</v>
          </cell>
          <cell r="E1132">
            <v>33764.788999999997</v>
          </cell>
          <cell r="F1132" t="str">
            <v>-42015.10</v>
          </cell>
          <cell r="G1132" t="str">
            <v>164820.22</v>
          </cell>
          <cell r="I1132" t="str">
            <v>S</v>
          </cell>
          <cell r="K1132" t="str">
            <v>Rígida</v>
          </cell>
          <cell r="L1132" t="str">
            <v>Parafil</v>
          </cell>
          <cell r="Q1132">
            <v>3.8</v>
          </cell>
          <cell r="S1132" t="str">
            <v>+4</v>
          </cell>
        </row>
        <row r="1133">
          <cell r="C1133">
            <v>10</v>
          </cell>
          <cell r="F1133" t="str">
            <v/>
          </cell>
          <cell r="G1133" t="str">
            <v/>
          </cell>
        </row>
        <row r="1134">
          <cell r="B1134" t="str">
            <v>3504CCA18</v>
          </cell>
          <cell r="D1134">
            <v>1049.2</v>
          </cell>
          <cell r="E1134">
            <v>33754.788999999997</v>
          </cell>
          <cell r="F1134" t="str">
            <v>-42019.90</v>
          </cell>
          <cell r="G1134" t="str">
            <v>164811.44</v>
          </cell>
          <cell r="I1134" t="str">
            <v>S</v>
          </cell>
          <cell r="K1134" t="str">
            <v>Rígida</v>
          </cell>
          <cell r="L1134" t="str">
            <v>Parafil</v>
          </cell>
          <cell r="Q1134">
            <v>3.8</v>
          </cell>
          <cell r="S1134" t="str">
            <v>+12</v>
          </cell>
        </row>
        <row r="1135">
          <cell r="B1135" t="str">
            <v>Fin. Anden Campo Alegre</v>
          </cell>
          <cell r="C1135">
            <v>10</v>
          </cell>
          <cell r="L1135" t="str">
            <v/>
          </cell>
        </row>
        <row r="1136">
          <cell r="B1136" t="str">
            <v>3504CCA20</v>
          </cell>
          <cell r="D1136">
            <v>1059.2</v>
          </cell>
          <cell r="E1136">
            <v>33744.788999999997</v>
          </cell>
          <cell r="F1136" t="str">
            <v>-42024.70</v>
          </cell>
          <cell r="G1136" t="str">
            <v>164802.67</v>
          </cell>
          <cell r="I1136" t="str">
            <v>SE</v>
          </cell>
          <cell r="K1136" t="str">
            <v>Rígida</v>
          </cell>
          <cell r="L1136" t="str">
            <v>C860-A</v>
          </cell>
          <cell r="Q1136">
            <v>3.8</v>
          </cell>
          <cell r="S1136">
            <v>-12</v>
          </cell>
          <cell r="T1136" t="str">
            <v>+20</v>
          </cell>
          <cell r="U1136" t="str">
            <v>Cantón 290 m</v>
          </cell>
        </row>
        <row r="1137">
          <cell r="C1137">
            <v>10</v>
          </cell>
          <cell r="F1137" t="str">
            <v/>
          </cell>
          <cell r="G1137" t="str">
            <v/>
          </cell>
          <cell r="L1137" t="str">
            <v/>
          </cell>
          <cell r="U1137" t="str">
            <v>Seccionamento</v>
          </cell>
        </row>
        <row r="1138">
          <cell r="B1138" t="str">
            <v>3504CCA22</v>
          </cell>
          <cell r="D1138">
            <v>1069.2</v>
          </cell>
          <cell r="E1138">
            <v>33734.788999999997</v>
          </cell>
          <cell r="F1138" t="str">
            <v>-42029.49</v>
          </cell>
          <cell r="G1138" t="str">
            <v>164793.90</v>
          </cell>
          <cell r="I1138" t="str">
            <v>SE</v>
          </cell>
          <cell r="K1138" t="str">
            <v>Rígida</v>
          </cell>
          <cell r="L1138" t="str">
            <v>C860-A</v>
          </cell>
          <cell r="Q1138">
            <v>3.8</v>
          </cell>
          <cell r="S1138">
            <v>-20</v>
          </cell>
          <cell r="T1138" t="str">
            <v>+12</v>
          </cell>
          <cell r="U1138" t="str">
            <v>Cantón 456,8 m</v>
          </cell>
        </row>
        <row r="1139">
          <cell r="C1139">
            <v>10</v>
          </cell>
          <cell r="F1139" t="str">
            <v/>
          </cell>
          <cell r="G1139" t="str">
            <v/>
          </cell>
          <cell r="N1139" t="str">
            <v/>
          </cell>
        </row>
        <row r="1140">
          <cell r="B1140" t="str">
            <v>3504CCA24</v>
          </cell>
          <cell r="D1140">
            <v>1080</v>
          </cell>
          <cell r="E1140">
            <v>33724.788999999997</v>
          </cell>
          <cell r="F1140" t="str">
            <v>-42034.29</v>
          </cell>
          <cell r="G1140">
            <v>164785.12</v>
          </cell>
          <cell r="I1140" t="str">
            <v>S</v>
          </cell>
          <cell r="K1140" t="str">
            <v>Rígida</v>
          </cell>
          <cell r="L1140" t="str">
            <v>C859-A</v>
          </cell>
          <cell r="Q1140">
            <v>3.8</v>
          </cell>
          <cell r="S1140">
            <v>-12</v>
          </cell>
        </row>
        <row r="1141">
          <cell r="C1141">
            <v>8.6999999999999993</v>
          </cell>
          <cell r="F1141" t="str">
            <v/>
          </cell>
          <cell r="G1141" t="str">
            <v/>
          </cell>
          <cell r="L1141" t="str">
            <v/>
          </cell>
        </row>
        <row r="1142">
          <cell r="B1142" t="str">
            <v>3504CCA26</v>
          </cell>
          <cell r="D1142">
            <v>1088.7</v>
          </cell>
          <cell r="E1142">
            <v>33716.089</v>
          </cell>
          <cell r="F1142" t="str">
            <v>-42038.48</v>
          </cell>
          <cell r="G1142" t="str">
            <v>164777.45</v>
          </cell>
          <cell r="I1142" t="str">
            <v>S</v>
          </cell>
          <cell r="K1142" t="str">
            <v>Rígida</v>
          </cell>
          <cell r="L1142" t="str">
            <v>C859-A</v>
          </cell>
          <cell r="Q1142">
            <v>3.8</v>
          </cell>
          <cell r="S1142">
            <v>-20</v>
          </cell>
        </row>
        <row r="1143">
          <cell r="C1143">
            <v>8.6999999999999993</v>
          </cell>
          <cell r="L1143" t="str">
            <v/>
          </cell>
        </row>
        <row r="1144">
          <cell r="B1144" t="str">
            <v>3504CCA28</v>
          </cell>
          <cell r="D1144">
            <v>1097.3599999999999</v>
          </cell>
          <cell r="E1144">
            <v>33707.389000000003</v>
          </cell>
          <cell r="F1144" t="str">
            <v>-42042.65</v>
          </cell>
          <cell r="G1144" t="str">
            <v>164769.81</v>
          </cell>
          <cell r="I1144" t="str">
            <v>S</v>
          </cell>
          <cell r="K1144" t="str">
            <v>Rígida</v>
          </cell>
          <cell r="L1144" t="str">
            <v>C859-A</v>
          </cell>
          <cell r="Q1144">
            <v>3.8</v>
          </cell>
          <cell r="S1144">
            <v>-12</v>
          </cell>
        </row>
        <row r="1145">
          <cell r="C1145">
            <v>10.8</v>
          </cell>
          <cell r="L1145" t="str">
            <v/>
          </cell>
        </row>
        <row r="1146">
          <cell r="B1146" t="str">
            <v>3504CCA30</v>
          </cell>
          <cell r="D1146">
            <v>1108.2</v>
          </cell>
          <cell r="E1146">
            <v>33696.589</v>
          </cell>
          <cell r="F1146" t="str">
            <v>-42048.32</v>
          </cell>
          <cell r="G1146" t="str">
            <v>164760.58</v>
          </cell>
          <cell r="I1146" t="str">
            <v>A/S</v>
          </cell>
          <cell r="K1146" t="str">
            <v>Rígida</v>
          </cell>
          <cell r="L1146" t="str">
            <v>C859-A</v>
          </cell>
          <cell r="Q1146">
            <v>3.8</v>
          </cell>
          <cell r="R1146">
            <v>4.5</v>
          </cell>
          <cell r="S1146">
            <v>-4</v>
          </cell>
        </row>
        <row r="1147">
          <cell r="B1147" t="str">
            <v>Fin. Est. Campo Alegre (01+110) (Fin. Soterra.)</v>
          </cell>
          <cell r="C1147">
            <v>10.6</v>
          </cell>
          <cell r="L1147" t="str">
            <v/>
          </cell>
          <cell r="U1147" t="str">
            <v>Transição Catenaria</v>
          </cell>
          <cell r="V1147" t="str">
            <v>Disp. Transic.</v>
          </cell>
        </row>
        <row r="1148">
          <cell r="B1148" t="str">
            <v>3505CCA02</v>
          </cell>
          <cell r="D1148" t="str">
            <v>1+118,8</v>
          </cell>
          <cell r="E1148">
            <v>33685.989000000001</v>
          </cell>
          <cell r="F1148" t="str">
            <v>-42054.21</v>
          </cell>
          <cell r="G1148" t="str">
            <v>164751.70</v>
          </cell>
          <cell r="I1148" t="str">
            <v>S</v>
          </cell>
          <cell r="J1148" t="str">
            <v>1,5</v>
          </cell>
          <cell r="K1148" t="str">
            <v>Consola</v>
          </cell>
          <cell r="L1148" t="str">
            <v>Pendulo 140</v>
          </cell>
          <cell r="M1148" t="str">
            <v>Anc. Sot.</v>
          </cell>
          <cell r="N1148" t="str">
            <v>B. Fun.</v>
          </cell>
          <cell r="Q1148">
            <v>3.8</v>
          </cell>
          <cell r="S1148">
            <v>-10</v>
          </cell>
        </row>
        <row r="1149">
          <cell r="C1149">
            <v>10.6</v>
          </cell>
        </row>
        <row r="1150">
          <cell r="B1150" t="str">
            <v>3505CCA04</v>
          </cell>
          <cell r="D1150">
            <v>1129.3600000000001</v>
          </cell>
          <cell r="E1150">
            <v>33675.389000000003</v>
          </cell>
          <cell r="F1150" t="str">
            <v>-42059.21</v>
          </cell>
          <cell r="G1150" t="str">
            <v>164742.43</v>
          </cell>
          <cell r="I1150" t="str">
            <v>S</v>
          </cell>
          <cell r="J1150" t="str">
            <v>1,5</v>
          </cell>
          <cell r="K1150" t="str">
            <v>Consola</v>
          </cell>
          <cell r="L1150" t="str">
            <v>Pendulo 140</v>
          </cell>
          <cell r="M1150" t="str">
            <v>Anc. Sot.</v>
          </cell>
          <cell r="N1150" t="str">
            <v>B. Fun.</v>
          </cell>
          <cell r="Q1150">
            <v>3.8</v>
          </cell>
          <cell r="S1150">
            <v>-5</v>
          </cell>
        </row>
        <row r="1151">
          <cell r="C1151">
            <v>7.9</v>
          </cell>
        </row>
        <row r="1152">
          <cell r="B1152" t="str">
            <v>3505CCA06</v>
          </cell>
          <cell r="D1152">
            <v>1137.2600000000002</v>
          </cell>
          <cell r="E1152">
            <v>33667.489000000001</v>
          </cell>
          <cell r="F1152" t="str">
            <v>-42064.13</v>
          </cell>
          <cell r="G1152" t="str">
            <v>164736.04</v>
          </cell>
          <cell r="I1152" t="str">
            <v>Aislad.</v>
          </cell>
          <cell r="J1152" t="str">
            <v>2,65</v>
          </cell>
          <cell r="K1152" t="str">
            <v>Funicular</v>
          </cell>
          <cell r="L1152" t="str">
            <v>-</v>
          </cell>
          <cell r="M1152" t="str">
            <v>Fixação Muro</v>
          </cell>
          <cell r="N1152" t="str">
            <v>Delta</v>
          </cell>
          <cell r="Q1152">
            <v>3.8</v>
          </cell>
          <cell r="Z1152" t="str">
            <v>3505CCA05</v>
          </cell>
          <cell r="AA1152" t="str">
            <v>Ø300/Ø180/e16</v>
          </cell>
          <cell r="AB1152" t="str">
            <v>3505CCA06</v>
          </cell>
          <cell r="AC1152" t="str">
            <v>Ø300/Ø180/e16</v>
          </cell>
          <cell r="AD1152" t="str">
            <v>2,65</v>
          </cell>
          <cell r="AE1152" t="str">
            <v>3,1</v>
          </cell>
          <cell r="AF1152" t="str">
            <v>2,65</v>
          </cell>
          <cell r="AG1152" t="str">
            <v>3,80</v>
          </cell>
          <cell r="AK1152">
            <v>4400</v>
          </cell>
          <cell r="AL1152">
            <v>4400</v>
          </cell>
          <cell r="BD1152">
            <v>7510</v>
          </cell>
          <cell r="BW1152" t="str">
            <v>C.F.23</v>
          </cell>
        </row>
        <row r="1153">
          <cell r="C1153">
            <v>7.9</v>
          </cell>
        </row>
        <row r="1154">
          <cell r="B1154" t="str">
            <v>3505CCA08</v>
          </cell>
          <cell r="D1154">
            <v>1145.1600000000003</v>
          </cell>
          <cell r="E1154">
            <v>33659.589</v>
          </cell>
          <cell r="F1154" t="str">
            <v>-42067.94</v>
          </cell>
          <cell r="G1154" t="str">
            <v>164729.08</v>
          </cell>
          <cell r="I1154" t="str">
            <v>PA30</v>
          </cell>
          <cell r="J1154" t="str">
            <v>2,65</v>
          </cell>
          <cell r="K1154" t="str">
            <v>Funicular</v>
          </cell>
          <cell r="L1154" t="str">
            <v>-</v>
          </cell>
          <cell r="M1154" t="str">
            <v>Fixação Muro</v>
          </cell>
          <cell r="N1154" t="str">
            <v>Delta</v>
          </cell>
          <cell r="O1154" t="str">
            <v>B. Fun.</v>
          </cell>
          <cell r="Q1154">
            <v>3.8</v>
          </cell>
          <cell r="R1154">
            <v>3.8</v>
          </cell>
          <cell r="S1154" t="str">
            <v>+20</v>
          </cell>
          <cell r="T1154" t="str">
            <v>+10</v>
          </cell>
          <cell r="Z1154" t="str">
            <v>3505CCA07</v>
          </cell>
          <cell r="AA1154" t="str">
            <v>Fixagao Muro</v>
          </cell>
          <cell r="AB1154" t="str">
            <v>3505CCA08</v>
          </cell>
          <cell r="AC1154" t="str">
            <v>Fixagao Muro</v>
          </cell>
          <cell r="AD1154" t="str">
            <v>2,65</v>
          </cell>
          <cell r="AE1154" t="str">
            <v>3,1</v>
          </cell>
          <cell r="AF1154" t="str">
            <v>2,65</v>
          </cell>
          <cell r="AG1154" t="str">
            <v>3,80</v>
          </cell>
          <cell r="AH1154" t="str">
            <v>3,80</v>
          </cell>
          <cell r="AI1154">
            <v>0.2</v>
          </cell>
          <cell r="AJ1154">
            <v>10</v>
          </cell>
          <cell r="AK1154">
            <v>4183</v>
          </cell>
          <cell r="AL1154">
            <v>4189</v>
          </cell>
          <cell r="AM1154">
            <v>2371</v>
          </cell>
          <cell r="AN1154">
            <v>3350</v>
          </cell>
          <cell r="AO1154" t="str">
            <v>2,52</v>
          </cell>
          <cell r="AP1154" t="str">
            <v>7,13%</v>
          </cell>
          <cell r="AQ1154" t="str">
            <v>7,13%</v>
          </cell>
          <cell r="AS1154" t="str">
            <v>3,80</v>
          </cell>
          <cell r="AU1154" t="str">
            <v>0,10</v>
          </cell>
          <cell r="AV1154">
            <v>4356</v>
          </cell>
          <cell r="AW1154">
            <v>4039</v>
          </cell>
          <cell r="AX1154">
            <v>5445</v>
          </cell>
          <cell r="AZ1154" t="str">
            <v>0,085</v>
          </cell>
          <cell r="BA1154" t="str">
            <v>15,00%</v>
          </cell>
          <cell r="BB1154" t="str">
            <v>8,25%</v>
          </cell>
          <cell r="BC1154" t="str">
            <v>SIM</v>
          </cell>
          <cell r="BW1154" t="str">
            <v>C.F.9</v>
          </cell>
        </row>
        <row r="1155">
          <cell r="C1155">
            <v>11</v>
          </cell>
        </row>
        <row r="1156">
          <cell r="B1156" t="str">
            <v>3505CCA10</v>
          </cell>
          <cell r="D1156">
            <v>1156.2</v>
          </cell>
          <cell r="E1156">
            <v>33648.589</v>
          </cell>
          <cell r="F1156" t="str">
            <v>-42072.97</v>
          </cell>
          <cell r="G1156" t="str">
            <v>164719.27</v>
          </cell>
          <cell r="H1156" t="str">
            <v>Clo</v>
          </cell>
          <cell r="I1156" t="str">
            <v>Elev.</v>
          </cell>
          <cell r="J1156" t="str">
            <v>2,2</v>
          </cell>
          <cell r="K1156" t="str">
            <v>Funicular</v>
          </cell>
          <cell r="L1156" t="str">
            <v>HEA 240</v>
          </cell>
          <cell r="M1156" t="str">
            <v>Poste parede</v>
          </cell>
          <cell r="N1156" t="str">
            <v>Delta</v>
          </cell>
          <cell r="O1156" t="str">
            <v>Delta</v>
          </cell>
          <cell r="Q1156">
            <v>3.8</v>
          </cell>
          <cell r="R1156">
            <v>3.84</v>
          </cell>
          <cell r="S1156">
            <v>-5</v>
          </cell>
          <cell r="T1156">
            <v>-15</v>
          </cell>
          <cell r="Z1156" t="str">
            <v>3505CCA09</v>
          </cell>
          <cell r="AA1156" t="str">
            <v>Poste parede</v>
          </cell>
          <cell r="AB1156" t="str">
            <v>3505CCA10</v>
          </cell>
          <cell r="AC1156" t="str">
            <v>Poste parede</v>
          </cell>
          <cell r="AD1156" t="str">
            <v>2,35</v>
          </cell>
          <cell r="AE1156" t="str">
            <v>3,1</v>
          </cell>
          <cell r="AF1156" t="str">
            <v>2,35</v>
          </cell>
          <cell r="AG1156" t="str">
            <v>3,80</v>
          </cell>
          <cell r="AH1156" t="str">
            <v>3,80</v>
          </cell>
          <cell r="AI1156" t="str">
            <v>-0,05</v>
          </cell>
          <cell r="AJ1156" t="str">
            <v>-0,05</v>
          </cell>
          <cell r="AK1156">
            <v>4222</v>
          </cell>
          <cell r="AL1156">
            <v>4230</v>
          </cell>
          <cell r="AM1156">
            <v>2080</v>
          </cell>
          <cell r="AN1156">
            <v>3350</v>
          </cell>
          <cell r="AO1156">
            <v>2161</v>
          </cell>
          <cell r="AP1156" t="str">
            <v>9,89%</v>
          </cell>
          <cell r="AQ1156" t="str">
            <v>9,89%</v>
          </cell>
          <cell r="AS1156" t="str">
            <v>3,84</v>
          </cell>
          <cell r="AU1156" t="str">
            <v>-0,15</v>
          </cell>
          <cell r="AV1156">
            <v>4362</v>
          </cell>
          <cell r="AW1156">
            <v>4270</v>
          </cell>
          <cell r="AX1156">
            <v>4886</v>
          </cell>
          <cell r="AZ1156">
            <v>1775</v>
          </cell>
          <cell r="BA1156" t="str">
            <v>15,00%</v>
          </cell>
          <cell r="BB1156" t="str">
            <v>15,00%</v>
          </cell>
          <cell r="BW1156" t="str">
            <v>C.F.8.A</v>
          </cell>
        </row>
        <row r="1157">
          <cell r="C1157">
            <v>16</v>
          </cell>
        </row>
        <row r="1158">
          <cell r="B1158" t="str">
            <v>3505CCA12</v>
          </cell>
          <cell r="D1158">
            <v>1172.2</v>
          </cell>
          <cell r="E1158">
            <v>33632.589</v>
          </cell>
          <cell r="F1158" t="str">
            <v>-42080.48</v>
          </cell>
          <cell r="G1158" t="str">
            <v>164705.02</v>
          </cell>
          <cell r="H1158">
            <v>180</v>
          </cell>
          <cell r="I1158" t="str">
            <v>Elev.</v>
          </cell>
          <cell r="J1158" t="str">
            <v>2,2</v>
          </cell>
          <cell r="K1158" t="str">
            <v>Funicular</v>
          </cell>
          <cell r="L1158" t="str">
            <v>HEA 240</v>
          </cell>
          <cell r="M1158" t="str">
            <v>Poste parede</v>
          </cell>
          <cell r="N1158" t="str">
            <v>B. Fun.</v>
          </cell>
          <cell r="O1158" t="str">
            <v>B. Fun.</v>
          </cell>
          <cell r="Q1158">
            <v>3.84</v>
          </cell>
          <cell r="R1158">
            <v>3.94</v>
          </cell>
          <cell r="S1158">
            <v>-20</v>
          </cell>
          <cell r="T1158">
            <v>-30</v>
          </cell>
          <cell r="Z1158" t="str">
            <v>3505CCA11</v>
          </cell>
          <cell r="AA1158" t="str">
            <v>HEA240</v>
          </cell>
          <cell r="AB1158" t="str">
            <v>3505CCA12</v>
          </cell>
          <cell r="AC1158" t="str">
            <v>HEA240</v>
          </cell>
          <cell r="AD1158" t="str">
            <v>2,2</v>
          </cell>
          <cell r="AE1158" t="str">
            <v>3,1</v>
          </cell>
          <cell r="AF1158" t="str">
            <v>2,2</v>
          </cell>
          <cell r="AG1158" t="str">
            <v>3,84</v>
          </cell>
          <cell r="AH1158" t="str">
            <v>3,84</v>
          </cell>
          <cell r="AI1158" t="str">
            <v>-0,20</v>
          </cell>
          <cell r="AJ1158" t="str">
            <v>-0,20</v>
          </cell>
          <cell r="AK1158">
            <v>4636</v>
          </cell>
          <cell r="AL1158">
            <v>4046</v>
          </cell>
          <cell r="AM1158">
            <v>2459</v>
          </cell>
          <cell r="AN1158">
            <v>2859</v>
          </cell>
          <cell r="AO1158" t="str">
            <v>0,401</v>
          </cell>
          <cell r="AP1158" t="str">
            <v>30,00%</v>
          </cell>
          <cell r="AQ1158" t="str">
            <v>10,64%</v>
          </cell>
          <cell r="AS1158" t="str">
            <v>3,89</v>
          </cell>
          <cell r="AU1158" t="str">
            <v>-0,30</v>
          </cell>
          <cell r="AV1158" t="str">
            <v>4,80</v>
          </cell>
          <cell r="AW1158" t="str">
            <v>4,12</v>
          </cell>
          <cell r="AX1158">
            <v>5369</v>
          </cell>
          <cell r="AZ1158" t="str">
            <v>0,311</v>
          </cell>
          <cell r="BA1158" t="str">
            <v>15,00%</v>
          </cell>
          <cell r="BB1158" t="str">
            <v>18,92%</v>
          </cell>
          <cell r="BW1158" t="str">
            <v>C.F.16.B</v>
          </cell>
        </row>
        <row r="1159">
          <cell r="C1159">
            <v>20</v>
          </cell>
          <cell r="L1159" t="str">
            <v/>
          </cell>
        </row>
        <row r="1160">
          <cell r="B1160" t="str">
            <v>3505CCA14</v>
          </cell>
          <cell r="D1160">
            <v>1192.1600000000003</v>
          </cell>
          <cell r="E1160">
            <v>33612.589</v>
          </cell>
          <cell r="F1160" t="str">
            <v>-42088.00</v>
          </cell>
          <cell r="G1160" t="str">
            <v>164686.08</v>
          </cell>
          <cell r="H1160">
            <v>180</v>
          </cell>
          <cell r="I1160" t="str">
            <v>A/S</v>
          </cell>
          <cell r="J1160" t="str">
            <v>2,2</v>
          </cell>
          <cell r="K1160" t="str">
            <v>Funicular</v>
          </cell>
          <cell r="L1160" t="str">
            <v>Ø300/Ø180/e16</v>
          </cell>
          <cell r="M1160" t="str">
            <v>M7</v>
          </cell>
          <cell r="N1160" t="str">
            <v>B. Fun.</v>
          </cell>
          <cell r="Q1160">
            <v>3.96</v>
          </cell>
          <cell r="R1160">
            <v>4.0599999999999996</v>
          </cell>
          <cell r="S1160">
            <v>-20</v>
          </cell>
          <cell r="Z1160" t="str">
            <v>3505CCA13</v>
          </cell>
          <cell r="AA1160" t="str">
            <v>Ø300/Ø180/e16</v>
          </cell>
          <cell r="AB1160" t="str">
            <v>3505CCA14</v>
          </cell>
          <cell r="AC1160" t="str">
            <v>Ø300/Ø180/e16</v>
          </cell>
          <cell r="AD1160" t="str">
            <v>2,2</v>
          </cell>
          <cell r="AE1160" t="str">
            <v>3,1</v>
          </cell>
          <cell r="AF1160" t="str">
            <v>2,2</v>
          </cell>
          <cell r="AG1160" t="str">
            <v>3,96</v>
          </cell>
          <cell r="AH1160" t="str">
            <v>3,96</v>
          </cell>
          <cell r="AI1160" t="str">
            <v>0,20</v>
          </cell>
          <cell r="AJ1160" t="str">
            <v>0,20</v>
          </cell>
          <cell r="AK1160">
            <v>4595</v>
          </cell>
          <cell r="AL1160">
            <v>4144</v>
          </cell>
          <cell r="AM1160">
            <v>2201</v>
          </cell>
          <cell r="AN1160">
            <v>2859</v>
          </cell>
          <cell r="AO1160" t="str">
            <v>0,655</v>
          </cell>
          <cell r="AP1160" t="str">
            <v>25,00%</v>
          </cell>
          <cell r="AQ1160" t="str">
            <v>10,29%</v>
          </cell>
          <cell r="AV1160" t="str">
            <v>-</v>
          </cell>
          <cell r="AW1160">
            <v>4060</v>
          </cell>
          <cell r="BW1160" t="str">
            <v>C.F.7.B</v>
          </cell>
        </row>
        <row r="1161">
          <cell r="C1161">
            <v>20.100000000000001</v>
          </cell>
          <cell r="F1161" t="str">
            <v/>
          </cell>
          <cell r="G1161" t="str">
            <v/>
          </cell>
          <cell r="L1161" t="str">
            <v/>
          </cell>
        </row>
        <row r="1162">
          <cell r="B1162" t="str">
            <v>3505CCA16</v>
          </cell>
          <cell r="D1162">
            <v>1212.5600000000002</v>
          </cell>
          <cell r="E1162">
            <v>33592.489000000001</v>
          </cell>
          <cell r="F1162" t="str">
            <v>-42093.76</v>
          </cell>
          <cell r="G1162" t="str">
            <v>164666.66</v>
          </cell>
          <cell r="H1162" t="str">
            <v>Clo</v>
          </cell>
          <cell r="I1162" t="str">
            <v>S</v>
          </cell>
          <cell r="J1162" t="str">
            <v>2,2</v>
          </cell>
          <cell r="K1162" t="str">
            <v>Funicular</v>
          </cell>
          <cell r="L1162" t="str">
            <v>Ø300/Ø180/e16</v>
          </cell>
          <cell r="M1162" t="str">
            <v>M2</v>
          </cell>
          <cell r="N1162" t="str">
            <v>B. Fun.</v>
          </cell>
          <cell r="Q1162">
            <v>4.08</v>
          </cell>
          <cell r="S1162">
            <v>-20</v>
          </cell>
          <cell r="Z1162" t="str">
            <v>3505CCA15</v>
          </cell>
          <cell r="AA1162" t="str">
            <v>Ø300/Ø180/e16</v>
          </cell>
          <cell r="AB1162" t="str">
            <v>3505CCA16</v>
          </cell>
          <cell r="AC1162" t="str">
            <v>Ø300/Ø180/e16</v>
          </cell>
          <cell r="AD1162" t="str">
            <v>2,2</v>
          </cell>
          <cell r="AE1162" t="str">
            <v>3,1</v>
          </cell>
          <cell r="AF1162" t="str">
            <v>2,2</v>
          </cell>
          <cell r="AG1162" t="str">
            <v>4,08</v>
          </cell>
          <cell r="AH1162" t="str">
            <v>4,08</v>
          </cell>
          <cell r="AI1162" t="str">
            <v>-0,20</v>
          </cell>
          <cell r="AJ1162" t="str">
            <v>-0,20</v>
          </cell>
          <cell r="AK1162">
            <v>4609</v>
          </cell>
          <cell r="AL1162">
            <v>4274</v>
          </cell>
          <cell r="AM1162">
            <v>2155</v>
          </cell>
          <cell r="AN1162">
            <v>2859</v>
          </cell>
          <cell r="AO1162" t="str">
            <v>0,656</v>
          </cell>
          <cell r="AP1162" t="str">
            <v>20,00%</v>
          </cell>
          <cell r="AQ1162" t="str">
            <v>11,63%</v>
          </cell>
          <cell r="BW1162" t="str">
            <v>C.F.5.B</v>
          </cell>
        </row>
        <row r="1163">
          <cell r="B1163" t="str">
            <v>Inic. Ponte (01+225)</v>
          </cell>
          <cell r="C1163">
            <v>20</v>
          </cell>
          <cell r="L1163" t="str">
            <v/>
          </cell>
        </row>
        <row r="1164">
          <cell r="B1164" t="str">
            <v>3600CCA02</v>
          </cell>
          <cell r="D1164">
            <v>1232.5600000000002</v>
          </cell>
          <cell r="E1164">
            <v>33572.489000000001</v>
          </cell>
          <cell r="F1164" t="str">
            <v>-42098.96</v>
          </cell>
          <cell r="G1164" t="str">
            <v>164647.33</v>
          </cell>
          <cell r="H1164" t="str">
            <v>Clo</v>
          </cell>
          <cell r="I1164" t="str">
            <v>S</v>
          </cell>
          <cell r="J1164">
            <v>1.77</v>
          </cell>
          <cell r="K1164" t="str">
            <v>Funicular</v>
          </cell>
          <cell r="L1164" t="str">
            <v>Ø300/Ø180/e16</v>
          </cell>
          <cell r="M1164" t="str">
            <v>Anc. Corrente</v>
          </cell>
          <cell r="N1164" t="str">
            <v>Delta</v>
          </cell>
          <cell r="Q1164">
            <v>4.2</v>
          </cell>
          <cell r="S1164" t="str">
            <v>+20</v>
          </cell>
          <cell r="Z1164" t="str">
            <v>3600CCA01</v>
          </cell>
          <cell r="AA1164" t="str">
            <v>Ø300/Ø180/e16</v>
          </cell>
          <cell r="AB1164" t="str">
            <v>3600CCA02</v>
          </cell>
          <cell r="AC1164" t="str">
            <v>Ø300/Ø180/e16</v>
          </cell>
          <cell r="AD1164" t="str">
            <v>1,77</v>
          </cell>
          <cell r="AE1164" t="str">
            <v>3,1</v>
          </cell>
          <cell r="AF1164" t="str">
            <v>1,77</v>
          </cell>
          <cell r="AG1164" t="str">
            <v>4,20</v>
          </cell>
          <cell r="AH1164" t="str">
            <v>4,20</v>
          </cell>
          <cell r="AI1164" t="str">
            <v>0,20</v>
          </cell>
          <cell r="AJ1164" t="str">
            <v>0,20</v>
          </cell>
          <cell r="AK1164">
            <v>4581</v>
          </cell>
          <cell r="AL1164">
            <v>4637</v>
          </cell>
          <cell r="AM1164">
            <v>1205</v>
          </cell>
          <cell r="AN1164">
            <v>3350</v>
          </cell>
          <cell r="AO1164">
            <v>1593</v>
          </cell>
          <cell r="AP1164" t="str">
            <v>14,22%</v>
          </cell>
          <cell r="AQ1164" t="str">
            <v>14,28%</v>
          </cell>
          <cell r="BW1164" t="str">
            <v>C.F.1</v>
          </cell>
        </row>
        <row r="1165">
          <cell r="C1165">
            <v>20.100000000000001</v>
          </cell>
          <cell r="F1165" t="str">
            <v/>
          </cell>
          <cell r="G1165" t="str">
            <v/>
          </cell>
          <cell r="L1165" t="str">
            <v/>
          </cell>
          <cell r="N1165" t="str">
            <v/>
          </cell>
        </row>
        <row r="1166">
          <cell r="B1166" t="str">
            <v>3600CCA04</v>
          </cell>
          <cell r="D1166">
            <v>1252.6600000000001</v>
          </cell>
          <cell r="E1166">
            <v>33552.389000000003</v>
          </cell>
          <cell r="F1166" t="str">
            <v>-42103.56</v>
          </cell>
          <cell r="G1166" t="str">
            <v>164627.60</v>
          </cell>
          <cell r="H1166">
            <v>180</v>
          </cell>
          <cell r="I1166" t="str">
            <v>S</v>
          </cell>
          <cell r="J1166">
            <v>1.77</v>
          </cell>
          <cell r="K1166" t="str">
            <v>Funicular</v>
          </cell>
          <cell r="L1166" t="str">
            <v>Ø300/Ø180/e16</v>
          </cell>
          <cell r="M1166" t="str">
            <v>Anc. Corrente</v>
          </cell>
          <cell r="N1166" t="str">
            <v>B. Fun.</v>
          </cell>
          <cell r="Q1166">
            <v>4.3099999999999996</v>
          </cell>
          <cell r="S1166">
            <v>-20</v>
          </cell>
          <cell r="Z1166" t="str">
            <v>3600CCA03</v>
          </cell>
          <cell r="AA1166" t="str">
            <v>Ø300/Ø180/e16</v>
          </cell>
          <cell r="AB1166" t="str">
            <v>3600CCA04</v>
          </cell>
          <cell r="AC1166" t="str">
            <v>Ø300/Ø180/e16</v>
          </cell>
          <cell r="AD1166" t="str">
            <v>1,77</v>
          </cell>
          <cell r="AE1166" t="str">
            <v>3,1</v>
          </cell>
          <cell r="AF1166" t="str">
            <v>1,77</v>
          </cell>
          <cell r="AG1166" t="str">
            <v>4,31</v>
          </cell>
          <cell r="AH1166" t="str">
            <v>4,31</v>
          </cell>
          <cell r="AI1166" t="str">
            <v>-0,20</v>
          </cell>
          <cell r="AJ1166" t="str">
            <v>-0,20</v>
          </cell>
          <cell r="AK1166">
            <v>5090</v>
          </cell>
          <cell r="AL1166">
            <v>4449</v>
          </cell>
          <cell r="AM1166">
            <v>1909</v>
          </cell>
          <cell r="AN1166">
            <v>2859</v>
          </cell>
          <cell r="AO1166" t="str">
            <v>0,223</v>
          </cell>
          <cell r="AP1166" t="str">
            <v>40,00%</v>
          </cell>
          <cell r="AQ1166" t="str">
            <v>10,10%</v>
          </cell>
          <cell r="BW1166" t="str">
            <v>C.F.5.B</v>
          </cell>
        </row>
        <row r="1167">
          <cell r="C1167">
            <v>20.2</v>
          </cell>
          <cell r="F1167" t="str">
            <v/>
          </cell>
          <cell r="G1167" t="str">
            <v/>
          </cell>
          <cell r="L1167" t="str">
            <v/>
          </cell>
          <cell r="N1167" t="str">
            <v/>
          </cell>
        </row>
        <row r="1168">
          <cell r="B1168" t="str">
            <v>3600CCA06</v>
          </cell>
          <cell r="D1168">
            <v>1272.8600000000001</v>
          </cell>
          <cell r="E1168">
            <v>33532.189000000006</v>
          </cell>
          <cell r="F1168" t="str">
            <v>-42106.10</v>
          </cell>
          <cell r="G1168" t="str">
            <v>164607.39</v>
          </cell>
          <cell r="H1168">
            <v>180</v>
          </cell>
          <cell r="I1168" t="str">
            <v>S</v>
          </cell>
          <cell r="J1168">
            <v>1.77</v>
          </cell>
          <cell r="K1168" t="str">
            <v>Funicular</v>
          </cell>
          <cell r="L1168" t="str">
            <v>Ø300/Ø180/e16</v>
          </cell>
          <cell r="M1168" t="str">
            <v>Anc. Corrente</v>
          </cell>
          <cell r="N1168" t="str">
            <v>B. Fun.</v>
          </cell>
          <cell r="Q1168">
            <v>4.42</v>
          </cell>
          <cell r="S1168">
            <v>-20</v>
          </cell>
          <cell r="Z1168" t="str">
            <v>3600CCA05</v>
          </cell>
          <cell r="AA1168" t="str">
            <v>Ø300/Ø180/e16</v>
          </cell>
          <cell r="AB1168" t="str">
            <v>3600CCA06</v>
          </cell>
          <cell r="AC1168" t="str">
            <v>Ø300/Ø180/e16</v>
          </cell>
          <cell r="AD1168" t="str">
            <v>1,77</v>
          </cell>
          <cell r="AE1168" t="str">
            <v>3,1</v>
          </cell>
          <cell r="AF1168" t="str">
            <v>1,77</v>
          </cell>
          <cell r="AG1168" t="str">
            <v>4,42</v>
          </cell>
          <cell r="AH1168" t="str">
            <v>4,42</v>
          </cell>
          <cell r="AI1168" t="str">
            <v>-0,20</v>
          </cell>
          <cell r="AJ1168" t="str">
            <v>-0,20</v>
          </cell>
          <cell r="AK1168">
            <v>5284</v>
          </cell>
          <cell r="AL1168">
            <v>4559</v>
          </cell>
          <cell r="AM1168">
            <v>1980</v>
          </cell>
          <cell r="AN1168">
            <v>2859</v>
          </cell>
          <cell r="AO1168" t="str">
            <v>0,223</v>
          </cell>
          <cell r="AP1168" t="str">
            <v>45,00%</v>
          </cell>
          <cell r="AQ1168" t="str">
            <v>10,09%</v>
          </cell>
          <cell r="BW1168" t="str">
            <v>C.F.5.B</v>
          </cell>
        </row>
        <row r="1169">
          <cell r="C1169">
            <v>20.2</v>
          </cell>
          <cell r="F1169" t="str">
            <v/>
          </cell>
          <cell r="G1169" t="str">
            <v/>
          </cell>
          <cell r="L1169" t="str">
            <v/>
          </cell>
          <cell r="N1169" t="str">
            <v/>
          </cell>
        </row>
        <row r="1170">
          <cell r="B1170" t="str">
            <v>3600CCA08</v>
          </cell>
          <cell r="D1170">
            <v>1293.0600000000002</v>
          </cell>
          <cell r="E1170">
            <v>33511.989000000009</v>
          </cell>
          <cell r="F1170" t="str">
            <v>-42106.39</v>
          </cell>
          <cell r="G1170" t="str">
            <v>164587.02</v>
          </cell>
          <cell r="H1170">
            <v>180</v>
          </cell>
          <cell r="I1170" t="str">
            <v>S</v>
          </cell>
          <cell r="J1170">
            <v>1.77</v>
          </cell>
          <cell r="K1170" t="str">
            <v>Funicular</v>
          </cell>
          <cell r="L1170" t="str">
            <v>Ø300/Ø180/e16</v>
          </cell>
          <cell r="M1170" t="str">
            <v>Anc. Corrente</v>
          </cell>
          <cell r="N1170" t="str">
            <v>B. Fun.</v>
          </cell>
          <cell r="Q1170">
            <v>4.53</v>
          </cell>
          <cell r="S1170">
            <v>-20</v>
          </cell>
          <cell r="Z1170" t="str">
            <v>3600CCA07</v>
          </cell>
          <cell r="AA1170" t="str">
            <v>Ø300/Ø180/e16</v>
          </cell>
          <cell r="AB1170" t="str">
            <v>3600CCA08</v>
          </cell>
          <cell r="AC1170" t="str">
            <v>Ø300/Ø180/e16</v>
          </cell>
          <cell r="AD1170" t="str">
            <v>1,77</v>
          </cell>
          <cell r="AE1170" t="str">
            <v>3,1</v>
          </cell>
          <cell r="AF1170" t="str">
            <v>1,77</v>
          </cell>
          <cell r="AG1170" t="str">
            <v>4,53</v>
          </cell>
          <cell r="AH1170" t="str">
            <v>4,53</v>
          </cell>
          <cell r="AI1170" t="str">
            <v>-0,20</v>
          </cell>
          <cell r="AJ1170" t="str">
            <v>-0,20</v>
          </cell>
          <cell r="AK1170">
            <v>5310</v>
          </cell>
          <cell r="AL1170">
            <v>4670</v>
          </cell>
          <cell r="AM1170">
            <v>1909</v>
          </cell>
          <cell r="AN1170">
            <v>2859</v>
          </cell>
          <cell r="AO1170" t="str">
            <v>0,223</v>
          </cell>
          <cell r="AP1170" t="str">
            <v>40,00%</v>
          </cell>
          <cell r="AQ1170" t="str">
            <v>10,46%</v>
          </cell>
          <cell r="BW1170" t="str">
            <v>C.F.5.B</v>
          </cell>
        </row>
        <row r="1171">
          <cell r="C1171">
            <v>20.100000000000001</v>
          </cell>
          <cell r="F1171" t="str">
            <v/>
          </cell>
          <cell r="G1171" t="str">
            <v/>
          </cell>
          <cell r="L1171" t="str">
            <v/>
          </cell>
          <cell r="N1171" t="str">
            <v/>
          </cell>
        </row>
        <row r="1172">
          <cell r="B1172" t="str">
            <v>3600CCA10</v>
          </cell>
          <cell r="D1172">
            <v>1313.16</v>
          </cell>
          <cell r="E1172">
            <v>33491.88900000001</v>
          </cell>
          <cell r="F1172" t="str">
            <v>-42104.53</v>
          </cell>
          <cell r="G1172" t="str">
            <v>164566.81</v>
          </cell>
          <cell r="H1172" t="str">
            <v>Clo</v>
          </cell>
          <cell r="I1172" t="str">
            <v>S</v>
          </cell>
          <cell r="J1172">
            <v>1.77</v>
          </cell>
          <cell r="K1172" t="str">
            <v>Funicular</v>
          </cell>
          <cell r="L1172" t="str">
            <v>Ø300/Ø180/e16</v>
          </cell>
          <cell r="M1172" t="str">
            <v>Anc. Corrente</v>
          </cell>
          <cell r="N1172" t="str">
            <v>B. Fun.</v>
          </cell>
          <cell r="Q1172">
            <v>4.6399999999999997</v>
          </cell>
          <cell r="S1172" t="str">
            <v>-10</v>
          </cell>
          <cell r="Z1172" t="str">
            <v>3600CCA09</v>
          </cell>
          <cell r="AA1172" t="str">
            <v>Ø300/Ø180/e16</v>
          </cell>
          <cell r="AB1172" t="str">
            <v>3600CCA10</v>
          </cell>
          <cell r="AC1172" t="str">
            <v>Ø300/Ø180/e16</v>
          </cell>
          <cell r="AD1172" t="str">
            <v>1,77</v>
          </cell>
          <cell r="AE1172" t="str">
            <v>3,1</v>
          </cell>
          <cell r="AF1172" t="str">
            <v>1,77</v>
          </cell>
          <cell r="AG1172" t="str">
            <v>4,64</v>
          </cell>
          <cell r="AH1172" t="str">
            <v>4,64</v>
          </cell>
          <cell r="AI1172" t="str">
            <v>-0,10</v>
          </cell>
          <cell r="AJ1172" t="str">
            <v>-0,10</v>
          </cell>
          <cell r="AK1172">
            <v>5063</v>
          </cell>
          <cell r="AL1172">
            <v>4797</v>
          </cell>
          <cell r="AM1172">
            <v>1606</v>
          </cell>
          <cell r="AN1172">
            <v>2859</v>
          </cell>
          <cell r="AO1172" t="str">
            <v>0,324</v>
          </cell>
          <cell r="AP1172" t="str">
            <v>20,00%</v>
          </cell>
          <cell r="AQ1172" t="str">
            <v>12,07%</v>
          </cell>
          <cell r="BW1172" t="str">
            <v>C.F.5.B</v>
          </cell>
        </row>
        <row r="1173">
          <cell r="C1173">
            <v>20</v>
          </cell>
          <cell r="F1173" t="str">
            <v/>
          </cell>
          <cell r="G1173" t="str">
            <v/>
          </cell>
          <cell r="L1173" t="str">
            <v/>
          </cell>
          <cell r="N1173" t="str">
            <v/>
          </cell>
        </row>
        <row r="1174">
          <cell r="B1174" t="str">
            <v>3600CCA12</v>
          </cell>
          <cell r="D1174">
            <v>1333.16</v>
          </cell>
          <cell r="E1174">
            <v>33471.88900000001</v>
          </cell>
          <cell r="F1174" t="str">
            <v>-42101.91</v>
          </cell>
          <cell r="G1174" t="str">
            <v>164546.98</v>
          </cell>
          <cell r="I1174" t="str">
            <v>S</v>
          </cell>
          <cell r="J1174">
            <v>1.77</v>
          </cell>
          <cell r="K1174" t="str">
            <v>Funicular</v>
          </cell>
          <cell r="L1174" t="str">
            <v>Ø300/Ø180/e16</v>
          </cell>
          <cell r="M1174" t="str">
            <v>Anc. Corrente</v>
          </cell>
          <cell r="N1174" t="str">
            <v>Delta</v>
          </cell>
          <cell r="Q1174">
            <v>4.76</v>
          </cell>
          <cell r="S1174" t="str">
            <v>+10</v>
          </cell>
          <cell r="Z1174" t="str">
            <v>3600CCA11</v>
          </cell>
          <cell r="AA1174" t="str">
            <v>Ø300/Ø180/e16</v>
          </cell>
          <cell r="AB1174" t="str">
            <v>3600CCA12</v>
          </cell>
          <cell r="AC1174" t="str">
            <v>Ø300/Ø180/e16</v>
          </cell>
          <cell r="AD1174" t="str">
            <v>1,77</v>
          </cell>
          <cell r="AE1174" t="str">
            <v>3,1</v>
          </cell>
          <cell r="AF1174" t="str">
            <v>1,77</v>
          </cell>
          <cell r="AG1174" t="str">
            <v>4,76</v>
          </cell>
          <cell r="AH1174" t="str">
            <v>4,76</v>
          </cell>
          <cell r="AI1174" t="str">
            <v>0,10</v>
          </cell>
          <cell r="AJ1174" t="str">
            <v>0,10</v>
          </cell>
          <cell r="AK1174">
            <v>5153</v>
          </cell>
          <cell r="AL1174">
            <v>5185</v>
          </cell>
          <cell r="AM1174">
            <v>1287</v>
          </cell>
          <cell r="AN1174">
            <v>3350</v>
          </cell>
          <cell r="AO1174">
            <v>1511</v>
          </cell>
          <cell r="AP1174" t="str">
            <v>14,28%</v>
          </cell>
          <cell r="AQ1174" t="str">
            <v>14,25%</v>
          </cell>
          <cell r="BW1174" t="str">
            <v>C.F.1</v>
          </cell>
        </row>
        <row r="1175">
          <cell r="C1175">
            <v>20</v>
          </cell>
          <cell r="F1175" t="str">
            <v/>
          </cell>
          <cell r="G1175" t="str">
            <v/>
          </cell>
          <cell r="L1175" t="str">
            <v/>
          </cell>
          <cell r="N1175" t="str">
            <v/>
          </cell>
        </row>
        <row r="1176">
          <cell r="B1176" t="str">
            <v>3600CCA14</v>
          </cell>
          <cell r="D1176">
            <v>1353.16</v>
          </cell>
          <cell r="E1176">
            <v>33451.88900000001</v>
          </cell>
          <cell r="F1176" t="str">
            <v>-42099.54</v>
          </cell>
          <cell r="G1176" t="str">
            <v>164527.23</v>
          </cell>
          <cell r="H1176" t="str">
            <v>Clo</v>
          </cell>
          <cell r="I1176" t="str">
            <v>S</v>
          </cell>
          <cell r="J1176">
            <v>1.77</v>
          </cell>
          <cell r="K1176" t="str">
            <v>Funicular</v>
          </cell>
          <cell r="L1176" t="str">
            <v>Ø300/Ø180/e16</v>
          </cell>
          <cell r="M1176" t="str">
            <v>Anc. Corrente</v>
          </cell>
          <cell r="N1176" t="str">
            <v>B. Fun.</v>
          </cell>
          <cell r="Q1176">
            <v>4.88</v>
          </cell>
          <cell r="S1176" t="str">
            <v>+20</v>
          </cell>
          <cell r="Z1176" t="str">
            <v>3600CCA13</v>
          </cell>
          <cell r="AA1176" t="str">
            <v>Ø300/Ø180/e16</v>
          </cell>
          <cell r="AB1176" t="str">
            <v>3600CCA14</v>
          </cell>
          <cell r="AC1176" t="str">
            <v>Ø300/Ø180/e16</v>
          </cell>
          <cell r="AD1176" t="str">
            <v>1,77</v>
          </cell>
          <cell r="AE1176" t="str">
            <v>3,1</v>
          </cell>
          <cell r="AF1176" t="str">
            <v>1,77</v>
          </cell>
          <cell r="AG1176" t="str">
            <v>4,88</v>
          </cell>
          <cell r="AH1176" t="str">
            <v>4,88</v>
          </cell>
          <cell r="AI1176" t="str">
            <v>0,20</v>
          </cell>
          <cell r="AJ1176" t="str">
            <v>0,20</v>
          </cell>
          <cell r="AK1176">
            <v>5021</v>
          </cell>
          <cell r="AL1176">
            <v>5407</v>
          </cell>
          <cell r="AM1176" t="str">
            <v>0,224</v>
          </cell>
          <cell r="AN1176">
            <v>2859</v>
          </cell>
          <cell r="AO1176">
            <v>1695</v>
          </cell>
          <cell r="AP1176" t="str">
            <v>10,84%</v>
          </cell>
          <cell r="AQ1176" t="str">
            <v>25,00%</v>
          </cell>
          <cell r="BW1176" t="str">
            <v>C.F.4.B</v>
          </cell>
        </row>
        <row r="1177">
          <cell r="C1177">
            <v>19.899999999999999</v>
          </cell>
          <cell r="F1177" t="str">
            <v/>
          </cell>
          <cell r="G1177" t="str">
            <v/>
          </cell>
          <cell r="L1177" t="str">
            <v/>
          </cell>
          <cell r="N1177" t="str">
            <v/>
          </cell>
        </row>
        <row r="1178">
          <cell r="B1178" t="str">
            <v>3600CCA16</v>
          </cell>
          <cell r="D1178">
            <v>1373.0600000000002</v>
          </cell>
          <cell r="E1178">
            <v>33431.989000000009</v>
          </cell>
          <cell r="F1178" t="str">
            <v>-42098.42</v>
          </cell>
          <cell r="G1178" t="str">
            <v>164507.56</v>
          </cell>
          <cell r="H1178">
            <v>-200</v>
          </cell>
          <cell r="I1178" t="str">
            <v>S</v>
          </cell>
          <cell r="J1178">
            <v>1.77</v>
          </cell>
          <cell r="K1178" t="str">
            <v>Funicular</v>
          </cell>
          <cell r="L1178" t="str">
            <v>Ø300/Ø180/e16</v>
          </cell>
          <cell r="M1178" t="str">
            <v>Anc. Corrente</v>
          </cell>
          <cell r="N1178" t="str">
            <v>B. Fun.</v>
          </cell>
          <cell r="Q1178">
            <v>5</v>
          </cell>
          <cell r="S1178" t="str">
            <v>+20</v>
          </cell>
          <cell r="Z1178" t="str">
            <v>3600CCA15</v>
          </cell>
          <cell r="AA1178" t="str">
            <v>Ø300/Ø180/e16</v>
          </cell>
          <cell r="AB1178" t="str">
            <v>3600CCA16</v>
          </cell>
          <cell r="AC1178" t="str">
            <v>Ø300/Ø180/e16</v>
          </cell>
          <cell r="AD1178" t="str">
            <v>1,77</v>
          </cell>
          <cell r="AE1178" t="str">
            <v>3,1</v>
          </cell>
          <cell r="AF1178" t="str">
            <v>1,77</v>
          </cell>
          <cell r="AG1178" t="str">
            <v>5,00</v>
          </cell>
          <cell r="AH1178" t="str">
            <v>5,00</v>
          </cell>
          <cell r="AI1178" t="str">
            <v>0,20</v>
          </cell>
          <cell r="AJ1178" t="str">
            <v>0,20</v>
          </cell>
          <cell r="AK1178">
            <v>5141</v>
          </cell>
          <cell r="AL1178">
            <v>5695</v>
          </cell>
          <cell r="AM1178" t="str">
            <v>0,224</v>
          </cell>
          <cell r="AN1178">
            <v>2859</v>
          </cell>
          <cell r="AO1178">
            <v>1743</v>
          </cell>
          <cell r="AP1178" t="str">
            <v>10,62%</v>
          </cell>
          <cell r="AQ1178" t="str">
            <v>35,00%</v>
          </cell>
          <cell r="BW1178" t="str">
            <v>C.F.4.B</v>
          </cell>
        </row>
        <row r="1179">
          <cell r="C1179">
            <v>19.8</v>
          </cell>
          <cell r="F1179" t="str">
            <v/>
          </cell>
          <cell r="G1179" t="str">
            <v/>
          </cell>
          <cell r="L1179" t="str">
            <v/>
          </cell>
          <cell r="N1179" t="str">
            <v/>
          </cell>
          <cell r="X1179" t="str">
            <v>1PEAD D110mm ou 2PEAD D63mm+ 1PEAD 32mm</v>
          </cell>
        </row>
        <row r="1180">
          <cell r="B1180" t="str">
            <v>3600CCA18</v>
          </cell>
          <cell r="D1180">
            <v>1392.8600000000001</v>
          </cell>
          <cell r="E1180">
            <v>33412.189000000006</v>
          </cell>
          <cell r="F1180" t="str">
            <v>-42099.25</v>
          </cell>
          <cell r="G1180" t="str">
            <v>164487.92</v>
          </cell>
          <cell r="H1180">
            <v>-200</v>
          </cell>
          <cell r="I1180" t="str">
            <v>S</v>
          </cell>
          <cell r="J1180">
            <v>1.77</v>
          </cell>
          <cell r="K1180" t="str">
            <v>Funicular</v>
          </cell>
          <cell r="L1180" t="str">
            <v>Ø300/Ø180/e16</v>
          </cell>
          <cell r="M1180" t="str">
            <v>Anc. Corrente</v>
          </cell>
          <cell r="N1180" t="str">
            <v>B. Fun.</v>
          </cell>
          <cell r="Q1180">
            <v>5.12</v>
          </cell>
          <cell r="S1180" t="str">
            <v>+20</v>
          </cell>
          <cell r="X1180" t="str">
            <v>FR</v>
          </cell>
          <cell r="Z1180" t="str">
            <v>3600CCA17</v>
          </cell>
          <cell r="AA1180" t="str">
            <v>Ø300/Ø180/e16</v>
          </cell>
          <cell r="AB1180" t="str">
            <v>3600CCA18</v>
          </cell>
          <cell r="AC1180" t="str">
            <v>Ø300/Ø180/e16</v>
          </cell>
          <cell r="AD1180" t="str">
            <v>1,77</v>
          </cell>
          <cell r="AE1180" t="str">
            <v>3,1</v>
          </cell>
          <cell r="AF1180" t="str">
            <v>1,77</v>
          </cell>
          <cell r="AG1180" t="str">
            <v>5,12</v>
          </cell>
          <cell r="AH1180" t="str">
            <v>5,12</v>
          </cell>
          <cell r="AI1180" t="str">
            <v>0,20</v>
          </cell>
          <cell r="AJ1180" t="str">
            <v>0,20</v>
          </cell>
          <cell r="AK1180">
            <v>5261</v>
          </cell>
          <cell r="AL1180">
            <v>5647</v>
          </cell>
          <cell r="AM1180" t="str">
            <v>0,224</v>
          </cell>
          <cell r="AN1180">
            <v>2859</v>
          </cell>
          <cell r="AO1180">
            <v>1695</v>
          </cell>
          <cell r="AP1180" t="str">
            <v>10,75%</v>
          </cell>
          <cell r="AQ1180" t="str">
            <v>25,00%</v>
          </cell>
          <cell r="BW1180" t="str">
            <v>C.F.4.B</v>
          </cell>
        </row>
        <row r="1181">
          <cell r="C1181">
            <v>19.899999999999999</v>
          </cell>
          <cell r="F1181" t="str">
            <v/>
          </cell>
          <cell r="G1181" t="str">
            <v/>
          </cell>
          <cell r="L1181" t="str">
            <v/>
          </cell>
          <cell r="N1181" t="str">
            <v/>
          </cell>
          <cell r="X1181" t="str">
            <v>1PEAD D110mm ou 2PEAD D63mm</v>
          </cell>
        </row>
        <row r="1182">
          <cell r="B1182" t="str">
            <v>3600CCA20</v>
          </cell>
          <cell r="D1182">
            <v>1412.7600000000002</v>
          </cell>
          <cell r="E1182">
            <v>33392.289000000004</v>
          </cell>
          <cell r="F1182" t="str">
            <v>-42102.02</v>
          </cell>
          <cell r="G1182" t="str">
            <v>164468.41</v>
          </cell>
          <cell r="H1182" t="str">
            <v>Clo</v>
          </cell>
          <cell r="I1182" t="str">
            <v>S</v>
          </cell>
          <cell r="J1182">
            <v>1.77</v>
          </cell>
          <cell r="K1182" t="str">
            <v>Funicular</v>
          </cell>
          <cell r="L1182" t="str">
            <v>Ø300/Ø180/e16</v>
          </cell>
          <cell r="M1182" t="str">
            <v>Anc. Corrente</v>
          </cell>
          <cell r="N1182" t="str">
            <v>B. Fun.</v>
          </cell>
          <cell r="Q1182">
            <v>5.26</v>
          </cell>
          <cell r="S1182" t="str">
            <v>+20</v>
          </cell>
          <cell r="Z1182" t="str">
            <v>3600CCA19</v>
          </cell>
          <cell r="AA1182" t="str">
            <v>Ø300/Ø180/e16</v>
          </cell>
          <cell r="AB1182" t="str">
            <v>3600CCA20</v>
          </cell>
          <cell r="AC1182" t="str">
            <v>Ø300/Ø180/e16</v>
          </cell>
          <cell r="AD1182" t="str">
            <v>1,77</v>
          </cell>
          <cell r="AE1182" t="str">
            <v>3,1</v>
          </cell>
          <cell r="AF1182" t="str">
            <v>1,77</v>
          </cell>
          <cell r="AG1182" t="str">
            <v>5,26</v>
          </cell>
          <cell r="AH1182" t="str">
            <v>5,26</v>
          </cell>
          <cell r="AI1182" t="str">
            <v>0,20</v>
          </cell>
          <cell r="AJ1182" t="str">
            <v>0,20</v>
          </cell>
          <cell r="AK1182">
            <v>5403</v>
          </cell>
          <cell r="AL1182">
            <v>5703</v>
          </cell>
          <cell r="AM1182" t="str">
            <v>0,225</v>
          </cell>
          <cell r="AN1182">
            <v>2859</v>
          </cell>
          <cell r="AO1182">
            <v>1676</v>
          </cell>
          <cell r="AP1182" t="str">
            <v>11,36%</v>
          </cell>
          <cell r="AQ1182" t="str">
            <v>20,00%</v>
          </cell>
          <cell r="BW1182" t="str">
            <v>C.F.4.B</v>
          </cell>
        </row>
        <row r="1183">
          <cell r="C1183">
            <v>19.899999999999999</v>
          </cell>
          <cell r="F1183" t="str">
            <v/>
          </cell>
          <cell r="G1183" t="str">
            <v/>
          </cell>
          <cell r="L1183" t="str">
            <v/>
          </cell>
          <cell r="N1183" t="str">
            <v/>
          </cell>
        </row>
        <row r="1184">
          <cell r="B1184" t="str">
            <v>3600CCA22</v>
          </cell>
          <cell r="D1184">
            <v>1432.6600000000003</v>
          </cell>
          <cell r="E1184">
            <v>33372.389000000003</v>
          </cell>
          <cell r="F1184" t="str">
            <v>-42106.10</v>
          </cell>
          <cell r="G1184" t="str">
            <v>164448.94</v>
          </cell>
          <cell r="H1184" t="str">
            <v>Clo</v>
          </cell>
          <cell r="I1184" t="str">
            <v>A/S</v>
          </cell>
          <cell r="J1184">
            <v>1.77</v>
          </cell>
          <cell r="K1184" t="str">
            <v>Funicular</v>
          </cell>
          <cell r="L1184" t="str">
            <v>Ø300/Ø180/e16</v>
          </cell>
          <cell r="M1184" t="str">
            <v>Anc. Ancoragem.</v>
          </cell>
          <cell r="N1184" t="str">
            <v>B. Fun.</v>
          </cell>
          <cell r="Q1184">
            <v>5.38</v>
          </cell>
          <cell r="R1184">
            <v>5.62</v>
          </cell>
          <cell r="S1184" t="str">
            <v>+20</v>
          </cell>
          <cell r="V1184" t="str">
            <v>Ancoraem 1HC</v>
          </cell>
          <cell r="Z1184" t="str">
            <v>3600CCA21</v>
          </cell>
          <cell r="AA1184" t="str">
            <v>Ø300/Ø180/e16</v>
          </cell>
          <cell r="AB1184" t="str">
            <v>3600CCA22</v>
          </cell>
          <cell r="AC1184" t="str">
            <v>Ø300/Ø180/e16</v>
          </cell>
          <cell r="AD1184" t="str">
            <v>1,77</v>
          </cell>
          <cell r="AE1184" t="str">
            <v>3,1</v>
          </cell>
          <cell r="AF1184" t="str">
            <v>1,77</v>
          </cell>
          <cell r="AG1184" t="str">
            <v>5,38</v>
          </cell>
          <cell r="AH1184" t="str">
            <v>5,38</v>
          </cell>
          <cell r="AI1184" t="str">
            <v>0,20</v>
          </cell>
          <cell r="AJ1184" t="str">
            <v>0,20</v>
          </cell>
          <cell r="AK1184">
            <v>5758</v>
          </cell>
          <cell r="AL1184">
            <v>5819</v>
          </cell>
          <cell r="AM1184">
            <v>1184</v>
          </cell>
          <cell r="AN1184">
            <v>3350</v>
          </cell>
          <cell r="AO1184">
            <v>1613</v>
          </cell>
          <cell r="AP1184" t="str">
            <v>14,32%</v>
          </cell>
          <cell r="AQ1184" t="str">
            <v>14,25%</v>
          </cell>
          <cell r="AV1184">
            <v>5620</v>
          </cell>
          <cell r="AW1184">
            <v>5620</v>
          </cell>
          <cell r="BW1184" t="str">
            <v>C.F.6</v>
          </cell>
        </row>
        <row r="1185">
          <cell r="C1185">
            <v>20</v>
          </cell>
          <cell r="F1185" t="str">
            <v/>
          </cell>
          <cell r="G1185" t="str">
            <v/>
          </cell>
          <cell r="L1185" t="str">
            <v/>
          </cell>
          <cell r="N1185" t="str">
            <v/>
          </cell>
          <cell r="U1185" t="str">
            <v>Cantón 486,8 m</v>
          </cell>
        </row>
        <row r="1186">
          <cell r="B1186" t="str">
            <v>3600CCA24</v>
          </cell>
          <cell r="D1186">
            <v>1452.6600000000003</v>
          </cell>
          <cell r="E1186">
            <v>33352.389000000003</v>
          </cell>
          <cell r="F1186" t="str">
            <v>-42110.43</v>
          </cell>
          <cell r="G1186" t="str">
            <v>164429.42</v>
          </cell>
          <cell r="I1186" t="str">
            <v>S/E A/S</v>
          </cell>
          <cell r="J1186">
            <v>1.77</v>
          </cell>
          <cell r="K1186" t="str">
            <v>Funicular</v>
          </cell>
          <cell r="L1186" t="str">
            <v>Ø300/Ø180/e16</v>
          </cell>
          <cell r="M1186" t="str">
            <v>Anc. Ancoragem.</v>
          </cell>
          <cell r="N1186" t="str">
            <v>B. Fun.</v>
          </cell>
          <cell r="O1186" t="str">
            <v>Delta</v>
          </cell>
          <cell r="Q1186">
            <v>5.44</v>
          </cell>
          <cell r="R1186">
            <v>5.5</v>
          </cell>
          <cell r="S1186">
            <v>0</v>
          </cell>
          <cell r="T1186">
            <v>-20</v>
          </cell>
          <cell r="V1186" t="str">
            <v>Ancoraem 1HC</v>
          </cell>
          <cell r="Z1186" t="str">
            <v>3600CCA23</v>
          </cell>
          <cell r="AA1186" t="str">
            <v>Ø300/Ø180/e16</v>
          </cell>
          <cell r="AB1186" t="str">
            <v>3600CCA24</v>
          </cell>
          <cell r="AC1186" t="str">
            <v>Ø300/Ø180/e16</v>
          </cell>
          <cell r="AD1186" t="str">
            <v>1,77</v>
          </cell>
          <cell r="AE1186" t="str">
            <v>3,1</v>
          </cell>
          <cell r="AF1186" t="str">
            <v>1,77</v>
          </cell>
          <cell r="AG1186" t="str">
            <v>5,44</v>
          </cell>
          <cell r="AH1186" t="str">
            <v>5,44</v>
          </cell>
          <cell r="AI1186" t="str">
            <v>-0,20</v>
          </cell>
          <cell r="AJ1186" t="str">
            <v>-0,20</v>
          </cell>
          <cell r="AK1186">
            <v>5879</v>
          </cell>
          <cell r="AL1186">
            <v>5818</v>
          </cell>
          <cell r="AM1186">
            <v>1613</v>
          </cell>
          <cell r="AN1186">
            <v>3350</v>
          </cell>
          <cell r="AO1186">
            <v>1184</v>
          </cell>
          <cell r="AP1186" t="str">
            <v>14,28%</v>
          </cell>
          <cell r="AQ1186" t="str">
            <v>14,25%</v>
          </cell>
          <cell r="AR1186" t="str">
            <v>5,50</v>
          </cell>
          <cell r="AS1186" t="str">
            <v>5,50</v>
          </cell>
          <cell r="AT1186" t="str">
            <v>0,00</v>
          </cell>
          <cell r="AU1186" t="str">
            <v>0,00</v>
          </cell>
          <cell r="AV1186">
            <v>5961</v>
          </cell>
          <cell r="AW1186">
            <v>5961</v>
          </cell>
          <cell r="AX1186">
            <v>1489</v>
          </cell>
          <cell r="AY1186" t="str">
            <v>0,980</v>
          </cell>
          <cell r="AZ1186">
            <v>1489</v>
          </cell>
          <cell r="BA1186" t="str">
            <v>14,45%</v>
          </cell>
          <cell r="BB1186" t="str">
            <v>14,45%</v>
          </cell>
          <cell r="BW1186" t="str">
            <v>C.F.17</v>
          </cell>
        </row>
        <row r="1187">
          <cell r="C1187">
            <v>20</v>
          </cell>
          <cell r="F1187" t="str">
            <v/>
          </cell>
          <cell r="G1187" t="str">
            <v/>
          </cell>
          <cell r="L1187" t="str">
            <v/>
          </cell>
          <cell r="N1187" t="str">
            <v/>
          </cell>
        </row>
        <row r="1188">
          <cell r="B1188" t="str">
            <v>3600CCA26</v>
          </cell>
          <cell r="D1188">
            <v>1472.6600000000003</v>
          </cell>
          <cell r="E1188">
            <v>33332.389000000003</v>
          </cell>
          <cell r="F1188" t="str">
            <v>-42114.77</v>
          </cell>
          <cell r="G1188" t="str">
            <v>164409.90</v>
          </cell>
          <cell r="I1188" t="str">
            <v>E</v>
          </cell>
          <cell r="J1188">
            <v>1.77</v>
          </cell>
          <cell r="K1188" t="str">
            <v>Funicular</v>
          </cell>
          <cell r="L1188" t="str">
            <v>Ø300/Ø180/e16</v>
          </cell>
          <cell r="M1188" t="str">
            <v>Anc. Ancoragem.</v>
          </cell>
          <cell r="N1188" t="str">
            <v>Delta</v>
          </cell>
          <cell r="O1188" t="str">
            <v>B. Fun.</v>
          </cell>
          <cell r="Q1188">
            <v>5.44</v>
          </cell>
          <cell r="R1188">
            <v>5.44</v>
          </cell>
          <cell r="S1188" t="str">
            <v>+20</v>
          </cell>
          <cell r="T1188">
            <v>0</v>
          </cell>
          <cell r="U1188" t="str">
            <v>Seccionamento</v>
          </cell>
          <cell r="Z1188" t="str">
            <v>3600CCA25</v>
          </cell>
          <cell r="AA1188" t="str">
            <v>Ø300/Ø180/e16</v>
          </cell>
          <cell r="AB1188" t="str">
            <v>3600CCA26</v>
          </cell>
          <cell r="AC1188" t="str">
            <v>Ø300/Ø180/e16</v>
          </cell>
          <cell r="AD1188">
            <v>77</v>
          </cell>
          <cell r="AE1188" t="str">
            <v>3,1</v>
          </cell>
          <cell r="AF1188" t="str">
            <v>1,77</v>
          </cell>
          <cell r="AG1188" t="str">
            <v>5,48</v>
          </cell>
          <cell r="AH1188" t="str">
            <v>5,44</v>
          </cell>
          <cell r="AI1188" t="str">
            <v>0,00</v>
          </cell>
          <cell r="AJ1188" t="str">
            <v>0,00</v>
          </cell>
          <cell r="AK1188">
            <v>5854</v>
          </cell>
          <cell r="AL1188">
            <v>5866</v>
          </cell>
          <cell r="AM1188">
            <v>1358</v>
          </cell>
          <cell r="AN1188">
            <v>3350</v>
          </cell>
          <cell r="AO1188">
            <v>1440</v>
          </cell>
          <cell r="AP1188" t="str">
            <v>14,25%</v>
          </cell>
          <cell r="AQ1188" t="str">
            <v>14,25%</v>
          </cell>
          <cell r="AR1188" t="str">
            <v>5,48</v>
          </cell>
          <cell r="AS1188" t="str">
            <v>5,44</v>
          </cell>
          <cell r="AT1188" t="str">
            <v>0,20</v>
          </cell>
          <cell r="AU1188" t="str">
            <v>-0,20</v>
          </cell>
          <cell r="AV1188">
            <v>5877</v>
          </cell>
          <cell r="AW1188">
            <v>5851</v>
          </cell>
          <cell r="AX1188">
            <v>1490</v>
          </cell>
          <cell r="AY1188" t="str">
            <v>0,980</v>
          </cell>
          <cell r="AZ1188">
            <v>1225</v>
          </cell>
          <cell r="BA1188" t="str">
            <v>14,45%</v>
          </cell>
          <cell r="BB1188" t="str">
            <v>14,45%</v>
          </cell>
          <cell r="BW1188" t="str">
            <v>C.F.18.B</v>
          </cell>
        </row>
        <row r="1189">
          <cell r="C1189">
            <v>20</v>
          </cell>
          <cell r="F1189" t="str">
            <v/>
          </cell>
          <cell r="G1189" t="str">
            <v/>
          </cell>
          <cell r="L1189" t="str">
            <v/>
          </cell>
          <cell r="N1189" t="str">
            <v/>
          </cell>
        </row>
        <row r="1190">
          <cell r="B1190" t="str">
            <v>3600CCA28</v>
          </cell>
          <cell r="D1190">
            <v>1492.6600000000003</v>
          </cell>
          <cell r="E1190">
            <v>33312.389000000003</v>
          </cell>
          <cell r="F1190" t="str">
            <v>-42119.10</v>
          </cell>
          <cell r="G1190" t="str">
            <v>164390.37</v>
          </cell>
          <cell r="I1190" t="str">
            <v>E</v>
          </cell>
          <cell r="J1190">
            <v>1.77</v>
          </cell>
          <cell r="K1190" t="str">
            <v>Funicular</v>
          </cell>
          <cell r="L1190" t="str">
            <v>Ø300/Ø180/e16</v>
          </cell>
          <cell r="M1190" t="str">
            <v>Anc. Ancoragem.</v>
          </cell>
          <cell r="N1190" t="str">
            <v>Delta</v>
          </cell>
          <cell r="O1190" t="str">
            <v>B. Fun.</v>
          </cell>
          <cell r="Q1190">
            <v>5.44</v>
          </cell>
          <cell r="R1190">
            <v>5.44</v>
          </cell>
          <cell r="S1190">
            <v>0</v>
          </cell>
          <cell r="T1190">
            <v>-20</v>
          </cell>
          <cell r="Z1190" t="str">
            <v>3600CCA27</v>
          </cell>
          <cell r="AA1190" t="str">
            <v>Ø300/Ø180/e16</v>
          </cell>
          <cell r="AB1190" t="str">
            <v>3600CCA29</v>
          </cell>
          <cell r="AC1190" t="str">
            <v>Ø300/Ø180/e16</v>
          </cell>
          <cell r="AD1190">
            <v>177</v>
          </cell>
          <cell r="AE1190" t="str">
            <v>3,1</v>
          </cell>
          <cell r="AF1190" t="str">
            <v>1,77</v>
          </cell>
          <cell r="AG1190" t="str">
            <v>5,44</v>
          </cell>
          <cell r="AH1190" t="str">
            <v>5,44</v>
          </cell>
          <cell r="AI1190" t="str">
            <v>0,00</v>
          </cell>
          <cell r="AJ1190" t="str">
            <v>0,00</v>
          </cell>
          <cell r="AK1190">
            <v>5854</v>
          </cell>
          <cell r="AL1190">
            <v>5866</v>
          </cell>
          <cell r="AM1190">
            <v>1358</v>
          </cell>
          <cell r="AN1190">
            <v>3350</v>
          </cell>
          <cell r="AO1190">
            <v>1440</v>
          </cell>
          <cell r="AP1190" t="str">
            <v>14,25%</v>
          </cell>
          <cell r="AQ1190" t="str">
            <v>14,25%</v>
          </cell>
          <cell r="AR1190" t="str">
            <v>5,44</v>
          </cell>
          <cell r="AS1190" t="str">
            <v>5,44</v>
          </cell>
          <cell r="AT1190" t="str">
            <v>0,20</v>
          </cell>
          <cell r="AU1190" t="str">
            <v>0,20</v>
          </cell>
          <cell r="AV1190">
            <v>5851</v>
          </cell>
          <cell r="AW1190">
            <v>5877</v>
          </cell>
          <cell r="AX1190">
            <v>1225</v>
          </cell>
          <cell r="AY1190" t="str">
            <v>0,980</v>
          </cell>
          <cell r="AZ1190">
            <v>1490</v>
          </cell>
          <cell r="BA1190" t="str">
            <v>14,45%</v>
          </cell>
          <cell r="BB1190" t="str">
            <v>14,45%</v>
          </cell>
          <cell r="BW1190" t="str">
            <v>C.F.18.B</v>
          </cell>
        </row>
        <row r="1191">
          <cell r="C1191">
            <v>20</v>
          </cell>
          <cell r="F1191" t="str">
            <v/>
          </cell>
          <cell r="G1191" t="str">
            <v/>
          </cell>
          <cell r="L1191" t="str">
            <v/>
          </cell>
          <cell r="N1191" t="str">
            <v/>
          </cell>
        </row>
        <row r="1192">
          <cell r="B1192" t="str">
            <v>3600CCA30</v>
          </cell>
          <cell r="D1192">
            <v>1512.6600000000003</v>
          </cell>
          <cell r="E1192">
            <v>33292.389000000003</v>
          </cell>
          <cell r="F1192" t="str">
            <v>-42123.44</v>
          </cell>
          <cell r="G1192" t="str">
            <v>164370.85</v>
          </cell>
          <cell r="I1192" t="str">
            <v>S/E A/S</v>
          </cell>
          <cell r="J1192">
            <v>1.77</v>
          </cell>
          <cell r="K1192" t="str">
            <v>Funicular</v>
          </cell>
          <cell r="L1192" t="str">
            <v>Ø300/Ø180/e16</v>
          </cell>
          <cell r="M1192" t="str">
            <v>Anc. Ancoragem.</v>
          </cell>
          <cell r="N1192" t="str">
            <v>Delta</v>
          </cell>
          <cell r="O1192" t="str">
            <v>B. Fun.</v>
          </cell>
          <cell r="Q1192">
            <v>5.44</v>
          </cell>
          <cell r="R1192">
            <v>5.5</v>
          </cell>
          <cell r="S1192" t="str">
            <v>+20</v>
          </cell>
          <cell r="T1192">
            <v>0</v>
          </cell>
          <cell r="V1192" t="str">
            <v>Ancoraem 1HC</v>
          </cell>
          <cell r="Z1192" t="str">
            <v>3600CCA29</v>
          </cell>
          <cell r="AA1192" t="str">
            <v>Ø300/Ø180/e16</v>
          </cell>
          <cell r="AB1192" t="str">
            <v>3600CCA30</v>
          </cell>
          <cell r="AC1192" t="str">
            <v>Ø300/Ø180/e16</v>
          </cell>
          <cell r="AD1192" t="str">
            <v>1,77</v>
          </cell>
          <cell r="AE1192" t="str">
            <v>3,1</v>
          </cell>
          <cell r="AF1192" t="str">
            <v>1,77</v>
          </cell>
          <cell r="AG1192" t="str">
            <v>5,44</v>
          </cell>
          <cell r="AH1192" t="str">
            <v>5,48</v>
          </cell>
          <cell r="AI1192" t="str">
            <v>0,20</v>
          </cell>
          <cell r="AJ1192" t="str">
            <v>0,20</v>
          </cell>
          <cell r="AK1192">
            <v>5818</v>
          </cell>
          <cell r="AL1192">
            <v>5879</v>
          </cell>
          <cell r="AM1192">
            <v>1172</v>
          </cell>
          <cell r="AN1192">
            <v>3350</v>
          </cell>
          <cell r="AO1192">
            <v>1514</v>
          </cell>
          <cell r="AP1192" t="str">
            <v>14,25%</v>
          </cell>
          <cell r="AQ1192" t="str">
            <v>14,25%</v>
          </cell>
          <cell r="AR1192" t="str">
            <v>5,50</v>
          </cell>
          <cell r="AS1192" t="str">
            <v>5,50</v>
          </cell>
          <cell r="AT1192" t="str">
            <v>0,00</v>
          </cell>
          <cell r="AU1192" t="str">
            <v>0,00</v>
          </cell>
          <cell r="AV1192">
            <v>5861</v>
          </cell>
          <cell r="AW1192">
            <v>5861</v>
          </cell>
          <cell r="AX1192">
            <v>1489</v>
          </cell>
          <cell r="AY1192" t="str">
            <v>0,980</v>
          </cell>
          <cell r="AZ1192">
            <v>1489</v>
          </cell>
          <cell r="BA1192" t="str">
            <v>14,45%</v>
          </cell>
          <cell r="BB1192" t="str">
            <v>14,45%</v>
          </cell>
          <cell r="BW1192" t="str">
            <v>C.F.18.A</v>
          </cell>
        </row>
        <row r="1193">
          <cell r="C1193">
            <v>20</v>
          </cell>
          <cell r="F1193" t="str">
            <v/>
          </cell>
          <cell r="G1193" t="str">
            <v/>
          </cell>
          <cell r="L1193" t="str">
            <v/>
          </cell>
          <cell r="N1193" t="str">
            <v/>
          </cell>
          <cell r="U1193" t="str">
            <v>Cantón 420 m</v>
          </cell>
        </row>
        <row r="1194">
          <cell r="B1194" t="str">
            <v>3600CCA32</v>
          </cell>
          <cell r="D1194">
            <v>1532.6600000000003</v>
          </cell>
          <cell r="E1194">
            <v>33272.389000000003</v>
          </cell>
          <cell r="F1194" t="str">
            <v>-42127.77</v>
          </cell>
          <cell r="G1194" t="str">
            <v>164351.33</v>
          </cell>
          <cell r="I1194" t="str">
            <v>A/S</v>
          </cell>
          <cell r="J1194">
            <v>1.77</v>
          </cell>
          <cell r="K1194" t="str">
            <v>Funicular</v>
          </cell>
          <cell r="L1194" t="str">
            <v>Ø300/Ø180/e16</v>
          </cell>
          <cell r="M1194" t="str">
            <v>Anc. Ancoragem.</v>
          </cell>
          <cell r="N1194" t="str">
            <v>Delta</v>
          </cell>
          <cell r="Q1194">
            <v>5.5</v>
          </cell>
          <cell r="R1194">
            <v>5.62</v>
          </cell>
          <cell r="S1194" t="str">
            <v>-20</v>
          </cell>
          <cell r="V1194" t="str">
            <v>Ancoraem 1HC</v>
          </cell>
          <cell r="BW1194" t="str">
            <v>C.F.1</v>
          </cell>
        </row>
        <row r="1195">
          <cell r="C1195">
            <v>20</v>
          </cell>
          <cell r="F1195" t="str">
            <v/>
          </cell>
          <cell r="G1195" t="str">
            <v/>
          </cell>
          <cell r="L1195" t="str">
            <v/>
          </cell>
          <cell r="N1195" t="str">
            <v/>
          </cell>
        </row>
        <row r="1196">
          <cell r="B1196" t="str">
            <v>3600CCA34</v>
          </cell>
          <cell r="D1196">
            <v>1552.6600000000003</v>
          </cell>
          <cell r="E1196">
            <v>33252.389000000003</v>
          </cell>
          <cell r="F1196" t="str">
            <v>-42132.10</v>
          </cell>
          <cell r="G1196" t="str">
            <v>164331.80</v>
          </cell>
          <cell r="I1196" t="str">
            <v>S</v>
          </cell>
          <cell r="J1196">
            <v>1.77</v>
          </cell>
          <cell r="K1196" t="str">
            <v>Funicular</v>
          </cell>
          <cell r="L1196" t="str">
            <v>Ø300/Ø180/e16</v>
          </cell>
          <cell r="M1196" t="str">
            <v>Anc. Corrente</v>
          </cell>
          <cell r="N1196" t="str">
            <v>Delta</v>
          </cell>
          <cell r="Q1196">
            <v>5.56</v>
          </cell>
          <cell r="S1196" t="str">
            <v>+20</v>
          </cell>
          <cell r="Z1196" t="str">
            <v>3600CCA33</v>
          </cell>
          <cell r="AA1196" t="str">
            <v>Ø300/Ø180/e16</v>
          </cell>
          <cell r="AB1196" t="str">
            <v>3600CCA34</v>
          </cell>
          <cell r="AC1196" t="str">
            <v>Ø300/Ø180/e16</v>
          </cell>
          <cell r="AD1196" t="str">
            <v>1,77</v>
          </cell>
          <cell r="AE1196" t="str">
            <v>3,1</v>
          </cell>
          <cell r="AF1196" t="str">
            <v>1,77</v>
          </cell>
          <cell r="AG1196" t="str">
            <v>5,50</v>
          </cell>
          <cell r="AH1196" t="str">
            <v>5,60</v>
          </cell>
          <cell r="AI1196" t="str">
            <v>0,20</v>
          </cell>
          <cell r="AJ1196" t="str">
            <v>0,20</v>
          </cell>
          <cell r="AK1196">
            <v>5920</v>
          </cell>
          <cell r="AL1196">
            <v>6095</v>
          </cell>
          <cell r="AM1196">
            <v>1198</v>
          </cell>
          <cell r="AN1196">
            <v>3350</v>
          </cell>
          <cell r="AO1196">
            <v>1631</v>
          </cell>
          <cell r="AP1196" t="str">
            <v>11,00%</v>
          </cell>
          <cell r="AQ1196" t="str">
            <v>17,35%</v>
          </cell>
          <cell r="BW1196" t="str">
            <v>C.F.1</v>
          </cell>
        </row>
        <row r="1197">
          <cell r="C1197">
            <v>20</v>
          </cell>
          <cell r="F1197" t="str">
            <v/>
          </cell>
          <cell r="G1197" t="str">
            <v/>
          </cell>
          <cell r="L1197" t="str">
            <v/>
          </cell>
          <cell r="N1197" t="str">
            <v/>
          </cell>
        </row>
        <row r="1198">
          <cell r="B1198" t="str">
            <v>3600CCA36</v>
          </cell>
          <cell r="D1198">
            <v>1572.6600000000003</v>
          </cell>
          <cell r="E1198">
            <v>33232.389000000003</v>
          </cell>
          <cell r="F1198" t="str">
            <v>-42136.44</v>
          </cell>
          <cell r="G1198" t="str">
            <v>164312.28</v>
          </cell>
          <cell r="I1198" t="str">
            <v>S</v>
          </cell>
          <cell r="J1198">
            <v>1.77</v>
          </cell>
          <cell r="K1198" t="str">
            <v>Funicular</v>
          </cell>
          <cell r="L1198" t="str">
            <v>Ø300/Ø180/e16</v>
          </cell>
          <cell r="M1198" t="str">
            <v>Anc. Corrente</v>
          </cell>
          <cell r="N1198" t="str">
            <v>Delta</v>
          </cell>
          <cell r="Q1198">
            <v>5.6</v>
          </cell>
          <cell r="S1198">
            <v>-20</v>
          </cell>
          <cell r="Z1198" t="str">
            <v>3600CCA35</v>
          </cell>
          <cell r="AA1198" t="str">
            <v>Ø300/Ø180/e16</v>
          </cell>
          <cell r="AB1198" t="str">
            <v>3600CCA36</v>
          </cell>
          <cell r="AC1198" t="str">
            <v>Ø300/Ø180/e16</v>
          </cell>
          <cell r="AD1198" t="str">
            <v>1,77</v>
          </cell>
          <cell r="AE1198" t="str">
            <v>3,1</v>
          </cell>
          <cell r="AF1198" t="str">
            <v>1,77</v>
          </cell>
          <cell r="AG1198" t="str">
            <v>5,60</v>
          </cell>
          <cell r="AH1198" t="str">
            <v>5,60</v>
          </cell>
          <cell r="AI1198" t="str">
            <v>-0,20</v>
          </cell>
          <cell r="AJ1198" t="str">
            <v>-0,20</v>
          </cell>
          <cell r="AK1198">
            <v>6039</v>
          </cell>
          <cell r="AL1198">
            <v>5978</v>
          </cell>
          <cell r="AM1198">
            <v>1613</v>
          </cell>
          <cell r="AN1198">
            <v>3350</v>
          </cell>
          <cell r="AO1198">
            <v>1184</v>
          </cell>
          <cell r="AP1198" t="str">
            <v>14,25%</v>
          </cell>
          <cell r="AQ1198" t="str">
            <v>14,25%</v>
          </cell>
          <cell r="BW1198" t="str">
            <v>C.F.2</v>
          </cell>
        </row>
        <row r="1199">
          <cell r="C1199">
            <v>20</v>
          </cell>
          <cell r="F1199" t="str">
            <v/>
          </cell>
          <cell r="G1199" t="str">
            <v/>
          </cell>
          <cell r="L1199" t="str">
            <v/>
          </cell>
          <cell r="N1199" t="str">
            <v/>
          </cell>
          <cell r="X1199" t="str">
            <v>1PEAD D110mm ou 2PEAD D63mm+ 1PEAD 32mm</v>
          </cell>
        </row>
        <row r="1200">
          <cell r="B1200" t="str">
            <v>3600CCA38</v>
          </cell>
          <cell r="D1200">
            <v>1592.6600000000003</v>
          </cell>
          <cell r="E1200">
            <v>33212.389000000003</v>
          </cell>
          <cell r="F1200" t="str">
            <v>-42140.77</v>
          </cell>
          <cell r="G1200" t="str">
            <v>164292.75</v>
          </cell>
          <cell r="I1200" t="str">
            <v>S</v>
          </cell>
          <cell r="J1200">
            <v>1.77</v>
          </cell>
          <cell r="K1200" t="str">
            <v>Funicular</v>
          </cell>
          <cell r="L1200" t="str">
            <v>Ø300/Ø180/e16</v>
          </cell>
          <cell r="M1200" t="str">
            <v>Anc. Corrente</v>
          </cell>
          <cell r="N1200" t="str">
            <v>Delta</v>
          </cell>
          <cell r="Q1200">
            <v>5.6</v>
          </cell>
          <cell r="S1200" t="str">
            <v>+20</v>
          </cell>
          <cell r="X1200" t="str">
            <v>FR</v>
          </cell>
          <cell r="Z1200" t="str">
            <v>3600CCA37</v>
          </cell>
          <cell r="AA1200" t="str">
            <v>Ø300/Ø180/e16</v>
          </cell>
          <cell r="AB1200" t="str">
            <v>3600CCA38</v>
          </cell>
          <cell r="AC1200" t="str">
            <v>Ø300/Ø180/e16</v>
          </cell>
          <cell r="AD1200" t="str">
            <v>1,77</v>
          </cell>
          <cell r="AE1200" t="str">
            <v>3,1</v>
          </cell>
          <cell r="AF1200" t="str">
            <v>1,77</v>
          </cell>
          <cell r="AG1200" t="str">
            <v>5,60</v>
          </cell>
          <cell r="AH1200" t="str">
            <v>5,60</v>
          </cell>
          <cell r="AI1200" t="str">
            <v>0,20</v>
          </cell>
          <cell r="AJ1200" t="str">
            <v>0,20</v>
          </cell>
          <cell r="AK1200">
            <v>5978</v>
          </cell>
          <cell r="AL1200">
            <v>6039</v>
          </cell>
          <cell r="AM1200">
            <v>1184</v>
          </cell>
          <cell r="AN1200">
            <v>3350</v>
          </cell>
          <cell r="AO1200">
            <v>1613</v>
          </cell>
          <cell r="AP1200" t="str">
            <v>14,25%</v>
          </cell>
          <cell r="AQ1200" t="str">
            <v>14,25%</v>
          </cell>
          <cell r="BW1200" t="str">
            <v>C.F.1</v>
          </cell>
        </row>
        <row r="1201">
          <cell r="C1201">
            <v>20</v>
          </cell>
          <cell r="F1201" t="str">
            <v/>
          </cell>
          <cell r="G1201" t="str">
            <v/>
          </cell>
          <cell r="L1201" t="str">
            <v/>
          </cell>
          <cell r="N1201" t="str">
            <v/>
          </cell>
          <cell r="X1201" t="str">
            <v>1PEAD D110mm ou 2PEAD D63mm</v>
          </cell>
        </row>
        <row r="1202">
          <cell r="B1202" t="str">
            <v>3600CCA40</v>
          </cell>
          <cell r="D1202">
            <v>1612.6600000000003</v>
          </cell>
          <cell r="E1202">
            <v>33192.389000000003</v>
          </cell>
          <cell r="F1202" t="str">
            <v>-42145.11</v>
          </cell>
          <cell r="G1202" t="str">
            <v>164273.23</v>
          </cell>
          <cell r="I1202" t="str">
            <v>S</v>
          </cell>
          <cell r="J1202">
            <v>1.77</v>
          </cell>
          <cell r="K1202" t="str">
            <v>Funicular</v>
          </cell>
          <cell r="L1202" t="str">
            <v>Ø300/Ø180/e16</v>
          </cell>
          <cell r="M1202" t="str">
            <v>Anc. Corrente</v>
          </cell>
          <cell r="N1202" t="str">
            <v>Delta</v>
          </cell>
          <cell r="Q1202">
            <v>5.6</v>
          </cell>
          <cell r="S1202" t="str">
            <v>-20</v>
          </cell>
          <cell r="Z1202" t="str">
            <v>3600CCA39</v>
          </cell>
          <cell r="AA1202" t="str">
            <v>Ø300/Ø180/e16</v>
          </cell>
          <cell r="AB1202" t="str">
            <v>3600CCA40</v>
          </cell>
          <cell r="AC1202" t="str">
            <v>Ø300/Ø180/e16</v>
          </cell>
          <cell r="AD1202" t="str">
            <v>1,77</v>
          </cell>
          <cell r="AE1202" t="str">
            <v>3,1</v>
          </cell>
          <cell r="AF1202" t="str">
            <v>1,77</v>
          </cell>
          <cell r="AG1202" t="str">
            <v>5,60</v>
          </cell>
          <cell r="AH1202" t="str">
            <v>5,60</v>
          </cell>
          <cell r="AI1202" t="str">
            <v>-0,20</v>
          </cell>
          <cell r="AJ1202" t="str">
            <v>-0,20</v>
          </cell>
          <cell r="AK1202">
            <v>6039</v>
          </cell>
          <cell r="AL1202">
            <v>5978</v>
          </cell>
          <cell r="AM1202">
            <v>1613</v>
          </cell>
          <cell r="AN1202">
            <v>3350</v>
          </cell>
          <cell r="AO1202">
            <v>1184</v>
          </cell>
          <cell r="AP1202" t="str">
            <v>14,25%</v>
          </cell>
          <cell r="AQ1202" t="str">
            <v>14,25%</v>
          </cell>
          <cell r="BW1202" t="str">
            <v>C.F.2</v>
          </cell>
        </row>
        <row r="1203">
          <cell r="C1203">
            <v>20</v>
          </cell>
          <cell r="F1203" t="str">
            <v/>
          </cell>
          <cell r="G1203" t="str">
            <v/>
          </cell>
          <cell r="L1203" t="str">
            <v/>
          </cell>
          <cell r="N1203" t="str">
            <v/>
          </cell>
        </row>
        <row r="1204">
          <cell r="B1204" t="str">
            <v>3600CCA42</v>
          </cell>
          <cell r="D1204">
            <v>1632.6600000000003</v>
          </cell>
          <cell r="E1204">
            <v>33172.389000000003</v>
          </cell>
          <cell r="F1204" t="str">
            <v>-42149.44</v>
          </cell>
          <cell r="G1204" t="str">
            <v>164253.70</v>
          </cell>
          <cell r="I1204" t="str">
            <v>S</v>
          </cell>
          <cell r="J1204">
            <v>1.77</v>
          </cell>
          <cell r="K1204" t="str">
            <v>Funicular</v>
          </cell>
          <cell r="L1204" t="str">
            <v>Ø300/Ø180/e16</v>
          </cell>
          <cell r="M1204" t="str">
            <v>Anc. Corrente</v>
          </cell>
          <cell r="N1204" t="str">
            <v>Delta</v>
          </cell>
          <cell r="Q1204">
            <v>5.6</v>
          </cell>
          <cell r="S1204" t="str">
            <v>+20</v>
          </cell>
          <cell r="Z1204" t="str">
            <v>3600CCA41</v>
          </cell>
          <cell r="AA1204" t="str">
            <v>Ø300/Ø180/e16</v>
          </cell>
          <cell r="AB1204" t="str">
            <v>3600CCA42</v>
          </cell>
          <cell r="AC1204" t="str">
            <v>Ø300/Ø180/e16</v>
          </cell>
          <cell r="AD1204" t="str">
            <v>1,77</v>
          </cell>
          <cell r="AE1204" t="str">
            <v>3,1</v>
          </cell>
          <cell r="AF1204" t="str">
            <v>1,77</v>
          </cell>
          <cell r="AG1204" t="str">
            <v>5,60</v>
          </cell>
          <cell r="AH1204" t="str">
            <v>5,60</v>
          </cell>
          <cell r="AI1204" t="str">
            <v>0,20</v>
          </cell>
          <cell r="AJ1204" t="str">
            <v>0,20</v>
          </cell>
          <cell r="AK1204">
            <v>5978</v>
          </cell>
          <cell r="AL1204">
            <v>6039</v>
          </cell>
          <cell r="AM1204">
            <v>1184</v>
          </cell>
          <cell r="AN1204">
            <v>3350</v>
          </cell>
          <cell r="AO1204">
            <v>1613</v>
          </cell>
          <cell r="AP1204" t="str">
            <v>14,25%</v>
          </cell>
          <cell r="AQ1204" t="str">
            <v>14,25%</v>
          </cell>
          <cell r="BW1204" t="str">
            <v>C.F.1</v>
          </cell>
        </row>
        <row r="1205">
          <cell r="C1205">
            <v>20</v>
          </cell>
          <cell r="F1205" t="str">
            <v/>
          </cell>
          <cell r="G1205" t="str">
            <v/>
          </cell>
          <cell r="L1205" t="str">
            <v/>
          </cell>
          <cell r="N1205" t="str">
            <v/>
          </cell>
        </row>
        <row r="1206">
          <cell r="B1206" t="str">
            <v>3600CCA44</v>
          </cell>
          <cell r="D1206">
            <v>1652.6600000000003</v>
          </cell>
          <cell r="E1206">
            <v>33152.389000000003</v>
          </cell>
          <cell r="F1206" t="str">
            <v>-42153,77</v>
          </cell>
          <cell r="G1206" t="str">
            <v>164234.18</v>
          </cell>
          <cell r="I1206" t="str">
            <v>S</v>
          </cell>
          <cell r="J1206">
            <v>1.77</v>
          </cell>
          <cell r="K1206" t="str">
            <v>Funicular</v>
          </cell>
          <cell r="L1206" t="str">
            <v>Ø300/Ø180/e16</v>
          </cell>
          <cell r="M1206" t="str">
            <v>Anc. Corrente</v>
          </cell>
          <cell r="N1206" t="str">
            <v>Delta</v>
          </cell>
          <cell r="Q1206">
            <v>5.6</v>
          </cell>
          <cell r="S1206">
            <v>-20</v>
          </cell>
          <cell r="Z1206" t="str">
            <v>3600CCA43</v>
          </cell>
          <cell r="AA1206" t="str">
            <v>Ø300/Ø180/e16</v>
          </cell>
          <cell r="AB1206" t="str">
            <v>3600CCA44</v>
          </cell>
          <cell r="AC1206" t="str">
            <v>Ø300/Ø180/e16</v>
          </cell>
          <cell r="AD1206" t="str">
            <v>1,77</v>
          </cell>
          <cell r="AE1206" t="str">
            <v>3,1</v>
          </cell>
          <cell r="AF1206" t="str">
            <v>1,77</v>
          </cell>
          <cell r="AG1206" t="str">
            <v>5,60</v>
          </cell>
          <cell r="AH1206" t="str">
            <v>5,60</v>
          </cell>
          <cell r="AI1206" t="str">
            <v>-0,20</v>
          </cell>
          <cell r="AJ1206" t="str">
            <v>-0,20</v>
          </cell>
          <cell r="AK1206">
            <v>6039</v>
          </cell>
          <cell r="AL1206">
            <v>5978</v>
          </cell>
          <cell r="AM1206">
            <v>1613</v>
          </cell>
          <cell r="AN1206">
            <v>3350</v>
          </cell>
          <cell r="AO1206">
            <v>1184</v>
          </cell>
          <cell r="AP1206" t="str">
            <v>14,25%</v>
          </cell>
          <cell r="AQ1206" t="str">
            <v>14,25%</v>
          </cell>
          <cell r="BW1206" t="str">
            <v>C.F.2</v>
          </cell>
        </row>
        <row r="1207">
          <cell r="C1207">
            <v>20</v>
          </cell>
          <cell r="F1207" t="str">
            <v/>
          </cell>
          <cell r="G1207" t="str">
            <v/>
          </cell>
          <cell r="L1207" t="str">
            <v/>
          </cell>
          <cell r="N1207" t="str">
            <v/>
          </cell>
        </row>
        <row r="1208">
          <cell r="B1208" t="str">
            <v>3600CCA46</v>
          </cell>
          <cell r="D1208">
            <v>1672.6600000000003</v>
          </cell>
          <cell r="E1208">
            <v>33132.389000000003</v>
          </cell>
          <cell r="F1208" t="str">
            <v>-42158.11</v>
          </cell>
          <cell r="G1208" t="str">
            <v>164214.65</v>
          </cell>
          <cell r="I1208" t="str">
            <v>S</v>
          </cell>
          <cell r="J1208">
            <v>1.77</v>
          </cell>
          <cell r="K1208" t="str">
            <v>Funicular</v>
          </cell>
          <cell r="L1208" t="str">
            <v>Ø300/Ø180/e16</v>
          </cell>
          <cell r="M1208" t="str">
            <v>Anc. Corrente</v>
          </cell>
          <cell r="N1208" t="str">
            <v>Delta</v>
          </cell>
          <cell r="Q1208">
            <v>5.6</v>
          </cell>
          <cell r="S1208" t="str">
            <v>+20</v>
          </cell>
          <cell r="Z1208" t="str">
            <v>3600CCA45</v>
          </cell>
          <cell r="AA1208" t="str">
            <v>Ø300/Ø180/e16</v>
          </cell>
          <cell r="AB1208" t="str">
            <v>3600CCA46</v>
          </cell>
          <cell r="AC1208" t="str">
            <v>Ø300/Ø180/e16</v>
          </cell>
          <cell r="AD1208" t="str">
            <v>1,77</v>
          </cell>
          <cell r="AE1208" t="str">
            <v>3,1</v>
          </cell>
          <cell r="AF1208" t="str">
            <v>1,77</v>
          </cell>
          <cell r="AG1208" t="str">
            <v>5,60</v>
          </cell>
          <cell r="AH1208" t="str">
            <v>5,60</v>
          </cell>
          <cell r="AI1208" t="str">
            <v>0,20</v>
          </cell>
          <cell r="AJ1208" t="str">
            <v>0,20</v>
          </cell>
          <cell r="AK1208">
            <v>5978</v>
          </cell>
          <cell r="AL1208">
            <v>6039</v>
          </cell>
          <cell r="AM1208">
            <v>1184</v>
          </cell>
          <cell r="AN1208">
            <v>3350</v>
          </cell>
          <cell r="AO1208">
            <v>1613</v>
          </cell>
          <cell r="AP1208" t="str">
            <v>14,25%</v>
          </cell>
          <cell r="AQ1208" t="str">
            <v>14,25%</v>
          </cell>
          <cell r="BW1208" t="str">
            <v>C.F.1</v>
          </cell>
        </row>
        <row r="1209">
          <cell r="C1209">
            <v>20</v>
          </cell>
          <cell r="F1209" t="str">
            <v/>
          </cell>
          <cell r="G1209" t="str">
            <v/>
          </cell>
          <cell r="L1209" t="str">
            <v/>
          </cell>
          <cell r="N1209" t="str">
            <v/>
          </cell>
        </row>
        <row r="1210">
          <cell r="B1210" t="str">
            <v>3600CCA48</v>
          </cell>
          <cell r="D1210">
            <v>1692.6600000000003</v>
          </cell>
          <cell r="E1210">
            <v>33112.389000000003</v>
          </cell>
          <cell r="F1210" t="str">
            <v>-42162.44</v>
          </cell>
          <cell r="G1210" t="str">
            <v>164195.13</v>
          </cell>
          <cell r="I1210" t="str">
            <v>S</v>
          </cell>
          <cell r="J1210">
            <v>1.77</v>
          </cell>
          <cell r="K1210" t="str">
            <v>Funicular</v>
          </cell>
          <cell r="L1210" t="str">
            <v>Ø300/Ø180/e16</v>
          </cell>
          <cell r="M1210" t="str">
            <v>Anc. Corrente</v>
          </cell>
          <cell r="N1210" t="str">
            <v>Delta</v>
          </cell>
          <cell r="Q1210">
            <v>5.6</v>
          </cell>
          <cell r="S1210" t="str">
            <v>-20</v>
          </cell>
          <cell r="Z1210" t="str">
            <v>3600CCA47</v>
          </cell>
          <cell r="AA1210" t="str">
            <v>Ø300/Ø180/e16</v>
          </cell>
          <cell r="AB1210" t="str">
            <v>3600CCA48</v>
          </cell>
          <cell r="AC1210" t="str">
            <v>Ø300/Ø180/e16</v>
          </cell>
          <cell r="AD1210" t="str">
            <v>1,77</v>
          </cell>
          <cell r="AE1210" t="str">
            <v>3,1</v>
          </cell>
          <cell r="AF1210" t="str">
            <v>1,77</v>
          </cell>
          <cell r="AG1210" t="str">
            <v>5,60</v>
          </cell>
          <cell r="AH1210" t="str">
            <v>5,60</v>
          </cell>
          <cell r="AI1210" t="str">
            <v>-0,20</v>
          </cell>
          <cell r="AJ1210" t="str">
            <v>-0,20</v>
          </cell>
          <cell r="AK1210">
            <v>6039</v>
          </cell>
          <cell r="AL1210">
            <v>5978</v>
          </cell>
          <cell r="AM1210">
            <v>1613</v>
          </cell>
          <cell r="AN1210">
            <v>3350</v>
          </cell>
          <cell r="AO1210">
            <v>1184</v>
          </cell>
          <cell r="AP1210" t="str">
            <v>14,25%</v>
          </cell>
          <cell r="AQ1210" t="str">
            <v>14,25%</v>
          </cell>
          <cell r="BW1210" t="str">
            <v>C.F.2</v>
          </cell>
        </row>
        <row r="1211">
          <cell r="C1211">
            <v>20</v>
          </cell>
          <cell r="F1211" t="str">
            <v/>
          </cell>
          <cell r="G1211" t="str">
            <v/>
          </cell>
          <cell r="L1211" t="str">
            <v/>
          </cell>
          <cell r="N1211" t="str">
            <v/>
          </cell>
        </row>
        <row r="1212">
          <cell r="B1212" t="str">
            <v>3600CCA50</v>
          </cell>
          <cell r="D1212">
            <v>1712.6600000000003</v>
          </cell>
          <cell r="E1212">
            <v>33092.389000000003</v>
          </cell>
          <cell r="F1212" t="str">
            <v>-42166.78</v>
          </cell>
          <cell r="G1212" t="str">
            <v>164175.60</v>
          </cell>
          <cell r="I1212" t="str">
            <v>S</v>
          </cell>
          <cell r="J1212">
            <v>1.77</v>
          </cell>
          <cell r="K1212" t="str">
            <v>Funicular</v>
          </cell>
          <cell r="L1212" t="str">
            <v>Ø300/Ø180/e16</v>
          </cell>
          <cell r="M1212" t="str">
            <v>Anc. Corrente</v>
          </cell>
          <cell r="N1212" t="str">
            <v>Delta</v>
          </cell>
          <cell r="Q1212">
            <v>5.6</v>
          </cell>
          <cell r="S1212" t="str">
            <v>+20</v>
          </cell>
          <cell r="Z1212" t="str">
            <v>3600CCA49</v>
          </cell>
          <cell r="AA1212" t="str">
            <v>Ø300/Ø180/e16</v>
          </cell>
          <cell r="AB1212" t="str">
            <v>3600CCA50</v>
          </cell>
          <cell r="AC1212" t="str">
            <v>Ø300/Ø180/e16</v>
          </cell>
          <cell r="AD1212" t="str">
            <v>1,77</v>
          </cell>
          <cell r="AE1212" t="str">
            <v>3,1</v>
          </cell>
          <cell r="AF1212" t="str">
            <v>1,77</v>
          </cell>
          <cell r="AG1212" t="str">
            <v>5,60</v>
          </cell>
          <cell r="AH1212" t="str">
            <v>5,60</v>
          </cell>
          <cell r="AI1212" t="str">
            <v>0,20</v>
          </cell>
          <cell r="AJ1212" t="str">
            <v>0,20</v>
          </cell>
          <cell r="AK1212">
            <v>5978</v>
          </cell>
          <cell r="AL1212">
            <v>6039</v>
          </cell>
          <cell r="AM1212">
            <v>1184</v>
          </cell>
          <cell r="AN1212">
            <v>3350</v>
          </cell>
          <cell r="AO1212">
            <v>1613</v>
          </cell>
          <cell r="AP1212" t="str">
            <v>14,25%</v>
          </cell>
          <cell r="AQ1212" t="str">
            <v>14,25%</v>
          </cell>
          <cell r="BW1212" t="str">
            <v>C.F.1</v>
          </cell>
        </row>
        <row r="1213">
          <cell r="C1213">
            <v>20</v>
          </cell>
          <cell r="F1213" t="str">
            <v/>
          </cell>
          <cell r="G1213" t="str">
            <v/>
          </cell>
          <cell r="L1213" t="str">
            <v/>
          </cell>
          <cell r="N1213" t="str">
            <v/>
          </cell>
        </row>
        <row r="1214">
          <cell r="B1214" t="str">
            <v>3600CCA52</v>
          </cell>
          <cell r="D1214">
            <v>1732.6600000000003</v>
          </cell>
          <cell r="E1214">
            <v>33072.389000000003</v>
          </cell>
          <cell r="F1214" t="str">
            <v>-42171.11</v>
          </cell>
          <cell r="G1214" t="str">
            <v>164156.08</v>
          </cell>
          <cell r="I1214" t="str">
            <v>S</v>
          </cell>
          <cell r="J1214">
            <v>1.77</v>
          </cell>
          <cell r="K1214" t="str">
            <v>Funicular</v>
          </cell>
          <cell r="L1214" t="str">
            <v>Ø300/Ø180/e16</v>
          </cell>
          <cell r="M1214" t="str">
            <v>Anc. Corrente</v>
          </cell>
          <cell r="N1214" t="str">
            <v>Delta</v>
          </cell>
          <cell r="Q1214">
            <v>5.6</v>
          </cell>
          <cell r="S1214">
            <v>-20</v>
          </cell>
          <cell r="Z1214" t="str">
            <v>3600CCA51</v>
          </cell>
          <cell r="AA1214" t="str">
            <v>Ø300/Ø180/e16</v>
          </cell>
          <cell r="AB1214" t="str">
            <v>3600CCA52</v>
          </cell>
          <cell r="AC1214" t="str">
            <v>Ø300/Ø180/e16</v>
          </cell>
          <cell r="AD1214" t="str">
            <v>1,77</v>
          </cell>
          <cell r="AE1214" t="str">
            <v>3,1</v>
          </cell>
          <cell r="AF1214" t="str">
            <v>1,77</v>
          </cell>
          <cell r="AG1214" t="str">
            <v>5,60</v>
          </cell>
          <cell r="AH1214" t="str">
            <v>5,60</v>
          </cell>
          <cell r="AI1214" t="str">
            <v>-0,20</v>
          </cell>
          <cell r="AJ1214" t="str">
            <v>-0,20</v>
          </cell>
          <cell r="AK1214">
            <v>6039</v>
          </cell>
          <cell r="AL1214">
            <v>5978</v>
          </cell>
          <cell r="AM1214">
            <v>1613</v>
          </cell>
          <cell r="AN1214">
            <v>3350</v>
          </cell>
          <cell r="AO1214">
            <v>1184</v>
          </cell>
          <cell r="AP1214" t="str">
            <v>14,25%</v>
          </cell>
          <cell r="AQ1214" t="str">
            <v>14,25%</v>
          </cell>
          <cell r="BW1214" t="str">
            <v>C.F.2</v>
          </cell>
        </row>
        <row r="1215">
          <cell r="C1215">
            <v>20</v>
          </cell>
          <cell r="F1215" t="str">
            <v/>
          </cell>
          <cell r="G1215" t="str">
            <v/>
          </cell>
          <cell r="L1215" t="str">
            <v/>
          </cell>
          <cell r="N1215" t="str">
            <v/>
          </cell>
          <cell r="X1215" t="str">
            <v>1PEAD D110mm ou 2PEAD D63mm+ 1PEAD 32mm</v>
          </cell>
        </row>
        <row r="1216">
          <cell r="B1216" t="str">
            <v>3600CCA54</v>
          </cell>
          <cell r="D1216">
            <v>1752.6600000000003</v>
          </cell>
          <cell r="E1216">
            <v>33052.389000000003</v>
          </cell>
          <cell r="F1216" t="str">
            <v>-42175.44</v>
          </cell>
          <cell r="G1216" t="str">
            <v>164136.55</v>
          </cell>
          <cell r="I1216" t="str">
            <v>S</v>
          </cell>
          <cell r="J1216">
            <v>1.77</v>
          </cell>
          <cell r="K1216" t="str">
            <v>Funicular</v>
          </cell>
          <cell r="L1216" t="str">
            <v>Ø300/Ø180/e16</v>
          </cell>
          <cell r="M1216" t="str">
            <v>Anc. Corrente</v>
          </cell>
          <cell r="N1216" t="str">
            <v>Delta</v>
          </cell>
          <cell r="Q1216">
            <v>5.6</v>
          </cell>
          <cell r="S1216" t="str">
            <v>+20</v>
          </cell>
          <cell r="X1216" t="str">
            <v>FR</v>
          </cell>
          <cell r="Z1216" t="str">
            <v>3600CCA53</v>
          </cell>
          <cell r="AA1216" t="str">
            <v>Ø300/Ø180/e16</v>
          </cell>
          <cell r="AB1216" t="str">
            <v>3600CCA54</v>
          </cell>
          <cell r="AC1216" t="str">
            <v>Ø300/Ø180/e16</v>
          </cell>
          <cell r="AD1216" t="str">
            <v>1,77</v>
          </cell>
          <cell r="AE1216" t="str">
            <v>3,1</v>
          </cell>
          <cell r="AF1216" t="str">
            <v>1,77</v>
          </cell>
          <cell r="AG1216" t="str">
            <v>5,60</v>
          </cell>
          <cell r="AH1216" t="str">
            <v>5,60</v>
          </cell>
          <cell r="AI1216" t="str">
            <v>0,20</v>
          </cell>
          <cell r="AJ1216" t="str">
            <v>0,20</v>
          </cell>
          <cell r="AK1216">
            <v>5978</v>
          </cell>
          <cell r="AL1216">
            <v>6039</v>
          </cell>
          <cell r="AM1216">
            <v>1184</v>
          </cell>
          <cell r="AN1216">
            <v>3350</v>
          </cell>
          <cell r="AO1216">
            <v>1613</v>
          </cell>
          <cell r="AP1216" t="str">
            <v>14,25%</v>
          </cell>
          <cell r="AQ1216" t="str">
            <v>14,25%</v>
          </cell>
          <cell r="BW1216" t="str">
            <v>C.F.1</v>
          </cell>
        </row>
        <row r="1217">
          <cell r="C1217">
            <v>20</v>
          </cell>
          <cell r="F1217" t="str">
            <v/>
          </cell>
          <cell r="G1217" t="str">
            <v/>
          </cell>
          <cell r="L1217" t="str">
            <v/>
          </cell>
          <cell r="N1217" t="str">
            <v/>
          </cell>
          <cell r="X1217" t="str">
            <v>1PEAD D110mm ou 2PEAD D63mm</v>
          </cell>
        </row>
        <row r="1218">
          <cell r="B1218" t="str">
            <v>3600CCA56</v>
          </cell>
          <cell r="D1218">
            <v>1772.6600000000003</v>
          </cell>
          <cell r="E1218">
            <v>33032.389000000003</v>
          </cell>
          <cell r="F1218" t="str">
            <v>-42179.78</v>
          </cell>
          <cell r="G1218" t="str">
            <v>164117.03</v>
          </cell>
          <cell r="I1218" t="str">
            <v>A/S</v>
          </cell>
          <cell r="J1218">
            <v>1.77</v>
          </cell>
          <cell r="K1218" t="str">
            <v>Funicular</v>
          </cell>
          <cell r="L1218" t="str">
            <v>Ø300/Ø180/e16</v>
          </cell>
          <cell r="M1218" t="str">
            <v>Anc. Ancoragem.</v>
          </cell>
          <cell r="N1218" t="str">
            <v>Delta</v>
          </cell>
          <cell r="Q1218">
            <v>5.84</v>
          </cell>
          <cell r="R1218">
            <v>5.6</v>
          </cell>
          <cell r="S1218">
            <v>-20</v>
          </cell>
          <cell r="V1218" t="str">
            <v>Ancoraem 1HC</v>
          </cell>
          <cell r="Z1218" t="str">
            <v>3600CCA55</v>
          </cell>
          <cell r="AA1218" t="str">
            <v>Ø300/Ø180/e16</v>
          </cell>
          <cell r="AB1218" t="str">
            <v>3600CCA56</v>
          </cell>
          <cell r="AC1218" t="str">
            <v>Ø300/Ø180/e16</v>
          </cell>
          <cell r="AD1218" t="str">
            <v>1,77</v>
          </cell>
          <cell r="AE1218" t="str">
            <v>3,1</v>
          </cell>
          <cell r="AF1218" t="str">
            <v>1,77</v>
          </cell>
          <cell r="AG1218" t="str">
            <v>5,60</v>
          </cell>
          <cell r="AH1218" t="str">
            <v>5,60</v>
          </cell>
          <cell r="AI1218" t="str">
            <v>-0,20</v>
          </cell>
          <cell r="AJ1218" t="str">
            <v>-0,20</v>
          </cell>
          <cell r="AK1218">
            <v>6039</v>
          </cell>
          <cell r="AL1218">
            <v>5978</v>
          </cell>
          <cell r="AM1218">
            <v>1613</v>
          </cell>
          <cell r="AN1218">
            <v>3350</v>
          </cell>
          <cell r="AO1218">
            <v>1184</v>
          </cell>
          <cell r="AP1218" t="str">
            <v>14,25%</v>
          </cell>
          <cell r="AQ1218" t="str">
            <v>14,25%</v>
          </cell>
          <cell r="AV1218" t="str">
            <v>5,84</v>
          </cell>
          <cell r="AW1218" t="str">
            <v>5,84</v>
          </cell>
          <cell r="BW1218" t="str">
            <v>C.F.7.A</v>
          </cell>
        </row>
        <row r="1219">
          <cell r="C1219">
            <v>20</v>
          </cell>
          <cell r="F1219" t="str">
            <v/>
          </cell>
          <cell r="G1219" t="str">
            <v/>
          </cell>
          <cell r="L1219" t="str">
            <v/>
          </cell>
          <cell r="N1219" t="str">
            <v/>
          </cell>
          <cell r="U1219" t="str">
            <v>Cantón 420 m</v>
          </cell>
        </row>
        <row r="1220">
          <cell r="B1220" t="str">
            <v>3600CCA58</v>
          </cell>
          <cell r="D1220">
            <v>1792.6600000000003</v>
          </cell>
          <cell r="E1220">
            <v>33012.389000000003</v>
          </cell>
          <cell r="F1220" t="str">
            <v>-42184.11</v>
          </cell>
          <cell r="G1220" t="str">
            <v>164097.50</v>
          </cell>
          <cell r="I1220" t="str">
            <v>S/E A/S</v>
          </cell>
          <cell r="J1220">
            <v>1.77</v>
          </cell>
          <cell r="K1220" t="str">
            <v>Funicular</v>
          </cell>
          <cell r="L1220" t="str">
            <v>Ø300/Ø180/e16</v>
          </cell>
          <cell r="M1220" t="str">
            <v>Anc. Ancoragem.</v>
          </cell>
          <cell r="N1220" t="str">
            <v>B. Fun.</v>
          </cell>
          <cell r="O1220" t="str">
            <v>Delta</v>
          </cell>
          <cell r="Q1220">
            <v>5.72</v>
          </cell>
          <cell r="R1220">
            <v>5.6</v>
          </cell>
          <cell r="S1220">
            <v>0</v>
          </cell>
          <cell r="T1220" t="str">
            <v>+20</v>
          </cell>
          <cell r="V1220" t="str">
            <v>Ancoraem 1HC</v>
          </cell>
          <cell r="Z1220" t="str">
            <v>3600CCA57</v>
          </cell>
          <cell r="AA1220" t="str">
            <v>Ø300/Ø180/e16</v>
          </cell>
          <cell r="AB1220" t="str">
            <v>3600CCA58</v>
          </cell>
          <cell r="AC1220" t="str">
            <v>Ø300/Ø180/e16</v>
          </cell>
          <cell r="AD1220" t="str">
            <v>1,77</v>
          </cell>
          <cell r="AE1220" t="str">
            <v>3,1</v>
          </cell>
          <cell r="AF1220" t="str">
            <v>1,77</v>
          </cell>
          <cell r="AG1220" t="str">
            <v>5,60</v>
          </cell>
          <cell r="AH1220" t="str">
            <v>5,60</v>
          </cell>
          <cell r="AI1220" t="str">
            <v>0,20</v>
          </cell>
          <cell r="AJ1220" t="str">
            <v>0,20</v>
          </cell>
          <cell r="AK1220">
            <v>5978</v>
          </cell>
          <cell r="AL1220">
            <v>6039</v>
          </cell>
          <cell r="AM1220">
            <v>1172</v>
          </cell>
          <cell r="AN1220">
            <v>3350</v>
          </cell>
          <cell r="AO1220">
            <v>1514</v>
          </cell>
          <cell r="AP1220" t="str">
            <v>14,25%</v>
          </cell>
          <cell r="AQ1220" t="str">
            <v>14,25%</v>
          </cell>
          <cell r="AR1220" t="str">
            <v>5,84</v>
          </cell>
          <cell r="AS1220" t="str">
            <v>5,84</v>
          </cell>
          <cell r="AT1220" t="str">
            <v>0,00</v>
          </cell>
          <cell r="AU1220" t="str">
            <v>0,00</v>
          </cell>
          <cell r="AV1220">
            <v>6161</v>
          </cell>
          <cell r="AW1220">
            <v>6161</v>
          </cell>
          <cell r="AX1220">
            <v>1489</v>
          </cell>
          <cell r="AY1220" t="str">
            <v>0,980</v>
          </cell>
          <cell r="AZ1220">
            <v>1489</v>
          </cell>
          <cell r="BA1220" t="str">
            <v>14,45%</v>
          </cell>
          <cell r="BB1220" t="str">
            <v>14,45%</v>
          </cell>
          <cell r="BW1220" t="str">
            <v>C.F.18.A</v>
          </cell>
        </row>
        <row r="1221">
          <cell r="C1221">
            <v>20</v>
          </cell>
          <cell r="F1221" t="str">
            <v/>
          </cell>
          <cell r="G1221" t="str">
            <v/>
          </cell>
          <cell r="L1221" t="str">
            <v/>
          </cell>
          <cell r="N1221" t="str">
            <v/>
          </cell>
        </row>
        <row r="1222">
          <cell r="B1222" t="str">
            <v>3600CCA60</v>
          </cell>
          <cell r="D1222">
            <v>1812.6600000000003</v>
          </cell>
          <cell r="E1222">
            <v>32992.389000000003</v>
          </cell>
          <cell r="F1222" t="str">
            <v>-42188.45</v>
          </cell>
          <cell r="G1222" t="str">
            <v>164077.98</v>
          </cell>
          <cell r="I1222" t="str">
            <v>E</v>
          </cell>
          <cell r="J1222">
            <v>1.77</v>
          </cell>
          <cell r="K1222" t="str">
            <v>Funicular</v>
          </cell>
          <cell r="L1222" t="str">
            <v>Ø300/Ø180/e16</v>
          </cell>
          <cell r="M1222" t="str">
            <v>Anc. Ancoragem.</v>
          </cell>
          <cell r="N1222" t="str">
            <v>B. Fun.</v>
          </cell>
          <cell r="O1222" t="str">
            <v>Delta</v>
          </cell>
          <cell r="Q1222">
            <v>5.6</v>
          </cell>
          <cell r="R1222">
            <v>5.6</v>
          </cell>
          <cell r="S1222">
            <v>-20</v>
          </cell>
          <cell r="T1222">
            <v>0</v>
          </cell>
          <cell r="U1222" t="str">
            <v>Seccionamento</v>
          </cell>
          <cell r="Z1222" t="str">
            <v>3600CCA59</v>
          </cell>
          <cell r="AA1222" t="str">
            <v>Ø300/Ø180/e16</v>
          </cell>
          <cell r="AB1222" t="str">
            <v>3600CCA60</v>
          </cell>
          <cell r="AC1222" t="str">
            <v>Ø300/Ø180/e16</v>
          </cell>
          <cell r="AD1222">
            <v>177</v>
          </cell>
          <cell r="AE1222" t="str">
            <v>3,1</v>
          </cell>
          <cell r="AF1222" t="str">
            <v>1,77</v>
          </cell>
          <cell r="AG1222" t="str">
            <v>5,60</v>
          </cell>
          <cell r="AH1222" t="str">
            <v>5,60</v>
          </cell>
          <cell r="AI1222" t="str">
            <v>0,00</v>
          </cell>
          <cell r="AJ1222" t="str">
            <v>0,00</v>
          </cell>
          <cell r="AK1222">
            <v>6014</v>
          </cell>
          <cell r="AL1222">
            <v>6014</v>
          </cell>
          <cell r="AM1222">
            <v>1344</v>
          </cell>
          <cell r="AN1222">
            <v>3350</v>
          </cell>
          <cell r="AO1222">
            <v>1344</v>
          </cell>
          <cell r="AP1222" t="str">
            <v>14,25%</v>
          </cell>
          <cell r="AQ1222" t="str">
            <v>14,25%</v>
          </cell>
          <cell r="AR1222" t="str">
            <v>5,72</v>
          </cell>
          <cell r="AS1222" t="str">
            <v>5,72</v>
          </cell>
          <cell r="AT1222" t="str">
            <v>-0,20</v>
          </cell>
          <cell r="AU1222" t="str">
            <v>-0,20</v>
          </cell>
          <cell r="AV1222">
            <v>6157</v>
          </cell>
          <cell r="AW1222">
            <v>6131</v>
          </cell>
          <cell r="AX1222">
            <v>1490</v>
          </cell>
          <cell r="AY1222" t="str">
            <v>0,980</v>
          </cell>
          <cell r="AZ1222">
            <v>1225</v>
          </cell>
          <cell r="BA1222" t="str">
            <v>14,45%</v>
          </cell>
          <cell r="BB1222" t="str">
            <v>14,45%</v>
          </cell>
          <cell r="BW1222" t="str">
            <v>C.F.18.B</v>
          </cell>
        </row>
        <row r="1223">
          <cell r="C1223">
            <v>20</v>
          </cell>
          <cell r="F1223" t="str">
            <v/>
          </cell>
          <cell r="G1223" t="str">
            <v/>
          </cell>
          <cell r="L1223" t="str">
            <v/>
          </cell>
          <cell r="N1223" t="str">
            <v/>
          </cell>
        </row>
        <row r="1224">
          <cell r="B1224" t="str">
            <v>3600CCA62</v>
          </cell>
          <cell r="D1224">
            <v>1832.6600000000003</v>
          </cell>
          <cell r="E1224">
            <v>32972.389000000003</v>
          </cell>
          <cell r="F1224" t="str">
            <v>-42192.78</v>
          </cell>
          <cell r="G1224" t="str">
            <v>164058.45</v>
          </cell>
          <cell r="I1224" t="str">
            <v>E</v>
          </cell>
          <cell r="J1224">
            <v>1.77</v>
          </cell>
          <cell r="K1224" t="str">
            <v>Funicular</v>
          </cell>
          <cell r="L1224" t="str">
            <v>Ø300/Ø180/e16</v>
          </cell>
          <cell r="M1224" t="str">
            <v>Anc. Ancoragem.</v>
          </cell>
          <cell r="N1224" t="str">
            <v>Delta</v>
          </cell>
          <cell r="O1224" t="str">
            <v>B. Fun.</v>
          </cell>
          <cell r="Q1224">
            <v>5.6</v>
          </cell>
          <cell r="R1224">
            <v>5.6</v>
          </cell>
          <cell r="S1224">
            <v>0</v>
          </cell>
          <cell r="T1224" t="str">
            <v>+20</v>
          </cell>
          <cell r="Z1224" t="str">
            <v>3600CCA61</v>
          </cell>
          <cell r="AA1224" t="str">
            <v>Ø300/Ø180/e16</v>
          </cell>
          <cell r="AB1224" t="str">
            <v>3600CCA62</v>
          </cell>
          <cell r="AC1224" t="str">
            <v>Ø300/Ø180/e16</v>
          </cell>
          <cell r="AD1224">
            <v>177</v>
          </cell>
          <cell r="AE1224" t="str">
            <v>3,1</v>
          </cell>
          <cell r="AF1224" t="str">
            <v>1,77</v>
          </cell>
          <cell r="AG1224" t="str">
            <v>5,60</v>
          </cell>
          <cell r="AH1224" t="str">
            <v>5,60</v>
          </cell>
          <cell r="AI1224" t="str">
            <v>0,00</v>
          </cell>
          <cell r="AJ1224" t="str">
            <v>0,00</v>
          </cell>
          <cell r="AK1224">
            <v>6014</v>
          </cell>
          <cell r="AL1224">
            <v>6014</v>
          </cell>
          <cell r="AM1224">
            <v>1344</v>
          </cell>
          <cell r="AN1224">
            <v>3350</v>
          </cell>
          <cell r="AO1224">
            <v>1344</v>
          </cell>
          <cell r="AP1224" t="str">
            <v>14,25%</v>
          </cell>
          <cell r="AQ1224" t="str">
            <v>14,25%</v>
          </cell>
          <cell r="AR1224" t="str">
            <v>5,72</v>
          </cell>
          <cell r="AS1224" t="str">
            <v>5,72</v>
          </cell>
          <cell r="AT1224" t="str">
            <v>0,20</v>
          </cell>
          <cell r="AU1224" t="str">
            <v>0,20</v>
          </cell>
          <cell r="AV1224">
            <v>6131</v>
          </cell>
          <cell r="AW1224">
            <v>6157</v>
          </cell>
          <cell r="AX1224">
            <v>1225</v>
          </cell>
          <cell r="AY1224" t="str">
            <v>0,980</v>
          </cell>
          <cell r="AZ1224">
            <v>1490</v>
          </cell>
          <cell r="BA1224" t="str">
            <v>14,45%</v>
          </cell>
          <cell r="BB1224" t="str">
            <v>14,45%</v>
          </cell>
          <cell r="BW1224" t="str">
            <v>C.F.18.B</v>
          </cell>
        </row>
        <row r="1225">
          <cell r="C1225">
            <v>20</v>
          </cell>
          <cell r="F1225" t="str">
            <v/>
          </cell>
          <cell r="G1225" t="str">
            <v/>
          </cell>
          <cell r="L1225" t="str">
            <v/>
          </cell>
          <cell r="N1225" t="str">
            <v/>
          </cell>
          <cell r="U1225" t="str">
            <v>Cantón 639 m</v>
          </cell>
        </row>
        <row r="1226">
          <cell r="B1226" t="str">
            <v>3600CCA64</v>
          </cell>
          <cell r="D1226">
            <v>1852.6600000000003</v>
          </cell>
          <cell r="E1226">
            <v>32952.389000000003</v>
          </cell>
          <cell r="F1226" t="str">
            <v>-42197.12</v>
          </cell>
          <cell r="G1226" t="str">
            <v>164038.92</v>
          </cell>
          <cell r="I1226" t="str">
            <v>S/E A/S</v>
          </cell>
          <cell r="J1226">
            <v>1.77</v>
          </cell>
          <cell r="K1226" t="str">
            <v>Funicular</v>
          </cell>
          <cell r="L1226" t="str">
            <v>Ø300/Ø180/e16</v>
          </cell>
          <cell r="M1226" t="str">
            <v>Anc. Ancoragem.</v>
          </cell>
          <cell r="N1226" t="str">
            <v>Delta</v>
          </cell>
          <cell r="O1226" t="str">
            <v>B. Fun.</v>
          </cell>
          <cell r="Q1226">
            <v>5.6</v>
          </cell>
          <cell r="R1226">
            <v>5.72</v>
          </cell>
          <cell r="S1226">
            <v>-20</v>
          </cell>
          <cell r="T1226">
            <v>0</v>
          </cell>
          <cell r="V1226" t="str">
            <v>Ancoraem 1HC</v>
          </cell>
          <cell r="Z1226" t="str">
            <v>3600CCA63</v>
          </cell>
          <cell r="AA1226" t="str">
            <v>Ø300/Ø180/e16</v>
          </cell>
          <cell r="AB1226" t="str">
            <v>3600CCA64</v>
          </cell>
          <cell r="AC1226" t="str">
            <v>Ø300/Ø180/e16</v>
          </cell>
          <cell r="AD1226" t="str">
            <v>1,77</v>
          </cell>
          <cell r="AE1226" t="str">
            <v>3,1</v>
          </cell>
          <cell r="AF1226" t="str">
            <v>1,77</v>
          </cell>
          <cell r="AG1226" t="str">
            <v>5,60</v>
          </cell>
          <cell r="AH1226" t="str">
            <v>5,60</v>
          </cell>
          <cell r="AI1226" t="str">
            <v>-0,20</v>
          </cell>
          <cell r="AJ1226" t="str">
            <v>-0,20</v>
          </cell>
          <cell r="AK1226">
            <v>6039</v>
          </cell>
          <cell r="AL1226">
            <v>5978</v>
          </cell>
          <cell r="AM1226">
            <v>1597</v>
          </cell>
          <cell r="AN1226">
            <v>3350</v>
          </cell>
          <cell r="AO1226">
            <v>1085</v>
          </cell>
          <cell r="AP1226" t="str">
            <v>14,25%</v>
          </cell>
          <cell r="AQ1226" t="str">
            <v>14,25%</v>
          </cell>
          <cell r="AR1226" t="str">
            <v>5,72</v>
          </cell>
          <cell r="AS1226" t="str">
            <v>5,72</v>
          </cell>
          <cell r="AT1226" t="str">
            <v>0,00</v>
          </cell>
          <cell r="AU1226" t="str">
            <v>0,00</v>
          </cell>
          <cell r="AV1226">
            <v>6161</v>
          </cell>
          <cell r="AW1226">
            <v>6161</v>
          </cell>
          <cell r="AX1226">
            <v>1489</v>
          </cell>
          <cell r="AY1226" t="str">
            <v>0,980</v>
          </cell>
          <cell r="AZ1226">
            <v>1489</v>
          </cell>
          <cell r="BA1226" t="str">
            <v>14,45%</v>
          </cell>
          <cell r="BB1226" t="str">
            <v>14,45%</v>
          </cell>
          <cell r="BW1226" t="str">
            <v>C.F.17</v>
          </cell>
        </row>
        <row r="1227">
          <cell r="C1227">
            <v>20</v>
          </cell>
          <cell r="F1227" t="str">
            <v/>
          </cell>
          <cell r="G1227" t="str">
            <v/>
          </cell>
          <cell r="L1227" t="str">
            <v/>
          </cell>
          <cell r="N1227" t="str">
            <v/>
          </cell>
          <cell r="U1227" t="str">
            <v>Cantón 639 m</v>
          </cell>
        </row>
        <row r="1228">
          <cell r="B1228" t="str">
            <v>3600CCA66</v>
          </cell>
          <cell r="D1228">
            <v>1872.6600000000003</v>
          </cell>
          <cell r="E1228">
            <v>32932.389000000003</v>
          </cell>
          <cell r="F1228" t="str">
            <v>-42201.44</v>
          </cell>
          <cell r="G1228" t="str">
            <v>164019.40</v>
          </cell>
          <cell r="H1228" t="str">
            <v>Clo</v>
          </cell>
          <cell r="I1228" t="str">
            <v>A/S</v>
          </cell>
          <cell r="J1228">
            <v>1.77</v>
          </cell>
          <cell r="K1228" t="str">
            <v>Funicular</v>
          </cell>
          <cell r="L1228" t="str">
            <v>Ø300/Ø180/e16</v>
          </cell>
          <cell r="M1228" t="str">
            <v>Anc. Ancoragem.</v>
          </cell>
          <cell r="N1228" t="str">
            <v>B. Fun.</v>
          </cell>
          <cell r="Q1228">
            <v>5.6</v>
          </cell>
          <cell r="R1228">
            <v>5.84</v>
          </cell>
          <cell r="S1228">
            <v>-20</v>
          </cell>
          <cell r="V1228" t="str">
            <v>Ancoraem 1HC</v>
          </cell>
          <cell r="Z1228" t="str">
            <v>3600CCA65</v>
          </cell>
          <cell r="AA1228" t="str">
            <v>Ø300/Ø180/e16</v>
          </cell>
          <cell r="AB1228" t="str">
            <v>3600CCA66</v>
          </cell>
          <cell r="AC1228" t="str">
            <v>Ø300/Ø180/e16</v>
          </cell>
          <cell r="AD1228" t="str">
            <v>1,77</v>
          </cell>
          <cell r="AE1228" t="str">
            <v>3,1</v>
          </cell>
          <cell r="AF1228" t="str">
            <v>1,77</v>
          </cell>
          <cell r="AG1228" t="str">
            <v>5,60</v>
          </cell>
          <cell r="AH1228" t="str">
            <v>5,60</v>
          </cell>
          <cell r="AI1228" t="str">
            <v>0,20</v>
          </cell>
          <cell r="AJ1228" t="str">
            <v>0,20</v>
          </cell>
          <cell r="AK1228">
            <v>5978</v>
          </cell>
          <cell r="AL1228">
            <v>6012</v>
          </cell>
          <cell r="AM1228">
            <v>1184</v>
          </cell>
          <cell r="AN1228">
            <v>3350</v>
          </cell>
          <cell r="AO1228">
            <v>1613</v>
          </cell>
          <cell r="AP1228" t="str">
            <v>14,22%</v>
          </cell>
          <cell r="AQ1228" t="str">
            <v>14,22%</v>
          </cell>
          <cell r="AV1228">
            <v>5840</v>
          </cell>
          <cell r="AW1228">
            <v>5840</v>
          </cell>
          <cell r="BW1228" t="str">
            <v>C.F.6</v>
          </cell>
        </row>
        <row r="1229">
          <cell r="C1229">
            <v>20.100000000000001</v>
          </cell>
          <cell r="F1229" t="str">
            <v/>
          </cell>
          <cell r="G1229" t="str">
            <v/>
          </cell>
          <cell r="L1229" t="str">
            <v/>
          </cell>
          <cell r="N1229" t="str">
            <v/>
          </cell>
        </row>
        <row r="1230">
          <cell r="B1230" t="str">
            <v>3600CCA68</v>
          </cell>
          <cell r="D1230">
            <v>1892.7600000000002</v>
          </cell>
          <cell r="E1230">
            <v>32912.289000000004</v>
          </cell>
          <cell r="F1230" t="str">
            <v>-42205.51</v>
          </cell>
          <cell r="G1230" t="str">
            <v>163999.70</v>
          </cell>
          <cell r="H1230" t="str">
            <v>Clo</v>
          </cell>
          <cell r="I1230" t="str">
            <v>S</v>
          </cell>
          <cell r="J1230">
            <v>1.77</v>
          </cell>
          <cell r="K1230" t="str">
            <v>Funicular</v>
          </cell>
          <cell r="L1230" t="str">
            <v>Ø300/Ø180/e16</v>
          </cell>
          <cell r="M1230" t="str">
            <v>Anc. Corrente</v>
          </cell>
          <cell r="N1230" t="str">
            <v>B. Fun.</v>
          </cell>
          <cell r="Q1230">
            <v>5.6</v>
          </cell>
          <cell r="S1230">
            <v>-20</v>
          </cell>
          <cell r="Z1230" t="str">
            <v>3600CCA67</v>
          </cell>
          <cell r="AA1230" t="str">
            <v>Ø300/Ø180/e16</v>
          </cell>
          <cell r="AB1230" t="str">
            <v>3600CCA68</v>
          </cell>
          <cell r="AC1230" t="str">
            <v>Ø300/Ø180/e16</v>
          </cell>
          <cell r="AD1230" t="str">
            <v>1,77</v>
          </cell>
          <cell r="AE1230" t="str">
            <v>3,1</v>
          </cell>
          <cell r="AF1230" t="str">
            <v>1,77</v>
          </cell>
          <cell r="AG1230" t="str">
            <v>5,60</v>
          </cell>
          <cell r="AH1230" t="str">
            <v>5,60</v>
          </cell>
          <cell r="AI1230" t="str">
            <v>-0,20</v>
          </cell>
          <cell r="AJ1230" t="str">
            <v>-0,20</v>
          </cell>
          <cell r="AK1230">
            <v>6043</v>
          </cell>
          <cell r="AL1230">
            <v>5744</v>
          </cell>
          <cell r="AM1230">
            <v>1710</v>
          </cell>
          <cell r="AN1230">
            <v>2859</v>
          </cell>
          <cell r="AO1230" t="str">
            <v>0,052</v>
          </cell>
          <cell r="AP1230" t="str">
            <v>20,00%</v>
          </cell>
          <cell r="AQ1230" t="str">
            <v>11,68%</v>
          </cell>
          <cell r="BW1230" t="str">
            <v>C.F.5.B</v>
          </cell>
        </row>
        <row r="1231">
          <cell r="C1231">
            <v>20.100000000000001</v>
          </cell>
          <cell r="F1231" t="str">
            <v/>
          </cell>
          <cell r="G1231" t="str">
            <v/>
          </cell>
          <cell r="L1231" t="str">
            <v/>
          </cell>
          <cell r="N1231" t="str">
            <v/>
          </cell>
        </row>
        <row r="1232">
          <cell r="B1232" t="str">
            <v>3600CCA70</v>
          </cell>
          <cell r="D1232">
            <v>1912.8600000000001</v>
          </cell>
          <cell r="E1232">
            <v>32892.189000000006</v>
          </cell>
          <cell r="F1232" t="str">
            <v>-42208.44</v>
          </cell>
          <cell r="G1232" t="str">
            <v>163979.67</v>
          </cell>
          <cell r="H1232">
            <v>265</v>
          </cell>
          <cell r="I1232" t="str">
            <v>S</v>
          </cell>
          <cell r="J1232">
            <v>1.77</v>
          </cell>
          <cell r="K1232" t="str">
            <v>Funicular</v>
          </cell>
          <cell r="L1232" t="str">
            <v>Ø300/Ø180/e16</v>
          </cell>
          <cell r="M1232" t="str">
            <v>Anc. Corrente</v>
          </cell>
          <cell r="N1232" t="str">
            <v>B. Fun.</v>
          </cell>
          <cell r="Q1232">
            <v>5.6</v>
          </cell>
          <cell r="S1232">
            <v>-20</v>
          </cell>
          <cell r="Z1232" t="str">
            <v>3600CCA69</v>
          </cell>
          <cell r="AA1232" t="str">
            <v>Ø300/Ø180/e16</v>
          </cell>
          <cell r="AB1232" t="str">
            <v>3600CCA70</v>
          </cell>
          <cell r="AC1232" t="str">
            <v>Ø300/Ø180/e16</v>
          </cell>
          <cell r="AD1232" t="str">
            <v>1,77</v>
          </cell>
          <cell r="AE1232" t="str">
            <v>3,1</v>
          </cell>
          <cell r="AF1232" t="str">
            <v>1,77</v>
          </cell>
          <cell r="AG1232" t="str">
            <v>5,60</v>
          </cell>
          <cell r="AH1232" t="str">
            <v>5,60</v>
          </cell>
          <cell r="AI1232" t="str">
            <v>-0,20</v>
          </cell>
          <cell r="AJ1232" t="str">
            <v>-0,20</v>
          </cell>
          <cell r="AK1232">
            <v>6043</v>
          </cell>
          <cell r="AL1232">
            <v>5739</v>
          </cell>
          <cell r="AM1232">
            <v>1710</v>
          </cell>
          <cell r="AN1232">
            <v>2859</v>
          </cell>
          <cell r="AO1232" t="str">
            <v>0,052</v>
          </cell>
          <cell r="AP1232" t="str">
            <v>20,00%</v>
          </cell>
          <cell r="AQ1232" t="str">
            <v>10,24%</v>
          </cell>
          <cell r="BW1232" t="str">
            <v>C.F.5.B</v>
          </cell>
        </row>
        <row r="1233">
          <cell r="C1233">
            <v>20.100000000000001</v>
          </cell>
          <cell r="F1233" t="str">
            <v/>
          </cell>
          <cell r="G1233" t="str">
            <v/>
          </cell>
          <cell r="L1233" t="str">
            <v/>
          </cell>
        </row>
        <row r="1234">
          <cell r="B1234" t="str">
            <v>3600CCA72</v>
          </cell>
          <cell r="D1234">
            <v>1932.96</v>
          </cell>
          <cell r="E1234">
            <v>32872.089000000007</v>
          </cell>
          <cell r="F1234" t="str">
            <v>-42209.85</v>
          </cell>
          <cell r="G1234" t="str">
            <v>163959.46</v>
          </cell>
          <cell r="H1234">
            <v>265</v>
          </cell>
          <cell r="I1234" t="str">
            <v>S</v>
          </cell>
          <cell r="J1234">
            <v>1.77</v>
          </cell>
          <cell r="K1234" t="str">
            <v>Funicular</v>
          </cell>
          <cell r="L1234" t="str">
            <v>Ø300/Ø180/e16</v>
          </cell>
          <cell r="M1234" t="str">
            <v>Anc. Corrente</v>
          </cell>
          <cell r="N1234" t="str">
            <v>B. Fun.</v>
          </cell>
          <cell r="Q1234">
            <v>5.6</v>
          </cell>
          <cell r="S1234">
            <v>-20</v>
          </cell>
          <cell r="Z1234" t="str">
            <v>3600CCA71</v>
          </cell>
          <cell r="AA1234" t="str">
            <v>Ø300/Ø180/e16</v>
          </cell>
          <cell r="AB1234" t="str">
            <v>3600CCA72</v>
          </cell>
          <cell r="AC1234" t="str">
            <v>Ø300/Ø180/e16</v>
          </cell>
          <cell r="AD1234" t="str">
            <v>1,77</v>
          </cell>
          <cell r="AE1234" t="str">
            <v>3,1</v>
          </cell>
          <cell r="AF1234" t="str">
            <v>1,77</v>
          </cell>
          <cell r="AG1234" t="str">
            <v>5,60</v>
          </cell>
          <cell r="AH1234" t="str">
            <v>5,60</v>
          </cell>
          <cell r="AI1234" t="str">
            <v>-0,20</v>
          </cell>
          <cell r="AJ1234" t="str">
            <v>-0,20</v>
          </cell>
          <cell r="AK1234">
            <v>6127</v>
          </cell>
          <cell r="AL1234">
            <v>5741</v>
          </cell>
          <cell r="AM1234">
            <v>1747</v>
          </cell>
          <cell r="AN1234">
            <v>2859</v>
          </cell>
          <cell r="AO1234" t="str">
            <v>0,052</v>
          </cell>
          <cell r="AP1234" t="str">
            <v>25,00%</v>
          </cell>
          <cell r="AQ1234" t="str">
            <v>10,82%</v>
          </cell>
          <cell r="BW1234" t="str">
            <v>C.F.5.B</v>
          </cell>
        </row>
        <row r="1235">
          <cell r="C1235">
            <v>20.100000000000001</v>
          </cell>
          <cell r="F1235" t="str">
            <v/>
          </cell>
          <cell r="G1235" t="str">
            <v/>
          </cell>
          <cell r="L1235" t="str">
            <v/>
          </cell>
        </row>
        <row r="1236">
          <cell r="B1236" t="str">
            <v>3600CCA74</v>
          </cell>
          <cell r="D1236">
            <v>1953.06</v>
          </cell>
          <cell r="E1236">
            <v>32851.989000000009</v>
          </cell>
          <cell r="F1236" t="str">
            <v>-42209.74</v>
          </cell>
          <cell r="G1236" t="str">
            <v>163939.22</v>
          </cell>
          <cell r="H1236">
            <v>265</v>
          </cell>
          <cell r="I1236" t="str">
            <v>S</v>
          </cell>
          <cell r="J1236">
            <v>1.77</v>
          </cell>
          <cell r="K1236" t="str">
            <v>Funicular</v>
          </cell>
          <cell r="L1236" t="str">
            <v>Ø300/Ø180/e16</v>
          </cell>
          <cell r="M1236" t="str">
            <v>Anc. Corrente</v>
          </cell>
          <cell r="N1236" t="str">
            <v>B. Fun.</v>
          </cell>
          <cell r="Q1236">
            <v>5.6</v>
          </cell>
          <cell r="S1236">
            <v>-20</v>
          </cell>
          <cell r="Z1236" t="str">
            <v>3600CCA73</v>
          </cell>
          <cell r="AA1236" t="str">
            <v>Ø300/Ø180/e16</v>
          </cell>
          <cell r="AB1236" t="str">
            <v>3600CCA74</v>
          </cell>
          <cell r="AC1236" t="str">
            <v>Ø300/Ø180/e16</v>
          </cell>
          <cell r="AD1236" t="str">
            <v>1,77</v>
          </cell>
          <cell r="AE1236" t="str">
            <v>3,1</v>
          </cell>
          <cell r="AF1236" t="str">
            <v>1,77</v>
          </cell>
          <cell r="AG1236" t="str">
            <v>5,60</v>
          </cell>
          <cell r="AH1236" t="str">
            <v>5,60</v>
          </cell>
          <cell r="AI1236" t="str">
            <v>-0,20</v>
          </cell>
          <cell r="AJ1236" t="str">
            <v>-0,20</v>
          </cell>
          <cell r="AK1236">
            <v>6127</v>
          </cell>
          <cell r="AL1236">
            <v>5741</v>
          </cell>
          <cell r="AM1236">
            <v>1747</v>
          </cell>
          <cell r="AN1236">
            <v>2859</v>
          </cell>
          <cell r="AO1236" t="str">
            <v>0,052</v>
          </cell>
          <cell r="AP1236" t="str">
            <v>25,00%</v>
          </cell>
          <cell r="AQ1236" t="str">
            <v>10,82%</v>
          </cell>
          <cell r="BW1236" t="str">
            <v>C.F.5.B</v>
          </cell>
        </row>
        <row r="1237">
          <cell r="C1237">
            <v>20.100000000000001</v>
          </cell>
          <cell r="F1237" t="str">
            <v/>
          </cell>
          <cell r="G1237" t="str">
            <v/>
          </cell>
          <cell r="L1237" t="str">
            <v/>
          </cell>
        </row>
        <row r="1238">
          <cell r="B1238" t="str">
            <v>3600CCA76</v>
          </cell>
          <cell r="D1238">
            <v>1973.1599999999999</v>
          </cell>
          <cell r="E1238">
            <v>32831.88900000001</v>
          </cell>
          <cell r="F1238" t="str">
            <v>-42208.10</v>
          </cell>
          <cell r="G1238" t="str">
            <v>163919.03</v>
          </cell>
          <cell r="H1238">
            <v>265</v>
          </cell>
          <cell r="I1238" t="str">
            <v>S</v>
          </cell>
          <cell r="J1238">
            <v>1.77</v>
          </cell>
          <cell r="K1238" t="str">
            <v>Funicular</v>
          </cell>
          <cell r="L1238" t="str">
            <v>Ø300/Ø180/e16</v>
          </cell>
          <cell r="M1238" t="str">
            <v>Anc. Corrente</v>
          </cell>
          <cell r="N1238" t="str">
            <v>B. Fun.</v>
          </cell>
          <cell r="Q1238">
            <v>5.6</v>
          </cell>
          <cell r="S1238">
            <v>-20</v>
          </cell>
          <cell r="Z1238" t="str">
            <v>3600CCA75</v>
          </cell>
          <cell r="AA1238" t="str">
            <v>Ø300/Ø180/e16</v>
          </cell>
          <cell r="AB1238" t="str">
            <v>3600CCA76</v>
          </cell>
          <cell r="AC1238" t="str">
            <v>Ø300/Ø180/e16</v>
          </cell>
          <cell r="AD1238" t="str">
            <v>1,77</v>
          </cell>
          <cell r="AE1238" t="str">
            <v>3,1</v>
          </cell>
          <cell r="AF1238" t="str">
            <v>1,77</v>
          </cell>
          <cell r="AG1238" t="str">
            <v>5,60</v>
          </cell>
          <cell r="AH1238" t="str">
            <v>5,60</v>
          </cell>
          <cell r="AI1238" t="str">
            <v>-0,20</v>
          </cell>
          <cell r="AJ1238" t="str">
            <v>-0,20</v>
          </cell>
          <cell r="AK1238">
            <v>6127</v>
          </cell>
          <cell r="AL1238">
            <v>5741</v>
          </cell>
          <cell r="AM1238">
            <v>1747</v>
          </cell>
          <cell r="AN1238">
            <v>2859</v>
          </cell>
          <cell r="AO1238" t="str">
            <v>0,052</v>
          </cell>
          <cell r="AP1238" t="str">
            <v>25,00%</v>
          </cell>
          <cell r="AQ1238" t="str">
            <v>10,80%</v>
          </cell>
          <cell r="BW1238" t="str">
            <v>C.F.5.B</v>
          </cell>
        </row>
        <row r="1239">
          <cell r="C1239">
            <v>20.100000000000001</v>
          </cell>
          <cell r="F1239" t="str">
            <v/>
          </cell>
          <cell r="G1239" t="str">
            <v/>
          </cell>
          <cell r="L1239" t="str">
            <v/>
          </cell>
          <cell r="X1239" t="str">
            <v>1PEAD D110mm ou 2PEAD D63mm+ 1PEAD 32mm</v>
          </cell>
        </row>
        <row r="1240">
          <cell r="B1240" t="str">
            <v>3600CCA78</v>
          </cell>
          <cell r="D1240">
            <v>1993.2599999999998</v>
          </cell>
          <cell r="E1240">
            <v>32811.789000000012</v>
          </cell>
          <cell r="F1240" t="str">
            <v>-42204.94</v>
          </cell>
          <cell r="G1240" t="str">
            <v>163899.02</v>
          </cell>
          <cell r="H1240">
            <v>265</v>
          </cell>
          <cell r="I1240" t="str">
            <v>S</v>
          </cell>
          <cell r="J1240">
            <v>1.77</v>
          </cell>
          <cell r="K1240" t="str">
            <v>Funicular</v>
          </cell>
          <cell r="L1240" t="str">
            <v>Ø300/Ø180/e16</v>
          </cell>
          <cell r="M1240" t="str">
            <v>Anc. Corrente</v>
          </cell>
          <cell r="N1240" t="str">
            <v>B. Fun.</v>
          </cell>
          <cell r="Q1240">
            <v>5.6</v>
          </cell>
          <cell r="S1240">
            <v>-20</v>
          </cell>
          <cell r="X1240" t="str">
            <v>FR</v>
          </cell>
          <cell r="Z1240" t="str">
            <v>3600CCA77</v>
          </cell>
          <cell r="AA1240" t="str">
            <v>Ø300/Ø180/e16</v>
          </cell>
          <cell r="AB1240" t="str">
            <v>3600CCA78</v>
          </cell>
          <cell r="AC1240" t="str">
            <v>Ø300/Ø180/e16</v>
          </cell>
          <cell r="AD1240" t="str">
            <v>1,77</v>
          </cell>
          <cell r="AE1240" t="str">
            <v>3,1</v>
          </cell>
          <cell r="AF1240" t="str">
            <v>1,77</v>
          </cell>
          <cell r="AG1240" t="str">
            <v>5,60</v>
          </cell>
          <cell r="AH1240" t="str">
            <v>5,60</v>
          </cell>
          <cell r="AI1240" t="str">
            <v>-0,20</v>
          </cell>
          <cell r="AJ1240" t="str">
            <v>-0,20</v>
          </cell>
          <cell r="AK1240">
            <v>6127</v>
          </cell>
          <cell r="AL1240">
            <v>5741</v>
          </cell>
          <cell r="AM1240">
            <v>1747</v>
          </cell>
          <cell r="AN1240">
            <v>2859</v>
          </cell>
          <cell r="AO1240" t="str">
            <v>0,052</v>
          </cell>
          <cell r="AP1240" t="str">
            <v>25,00%</v>
          </cell>
          <cell r="AQ1240" t="str">
            <v>10,80%</v>
          </cell>
          <cell r="BW1240" t="str">
            <v>C.F.5.B</v>
          </cell>
        </row>
        <row r="1241">
          <cell r="C1241">
            <v>20.100000000000001</v>
          </cell>
          <cell r="F1241" t="str">
            <v/>
          </cell>
          <cell r="G1241" t="str">
            <v/>
          </cell>
          <cell r="L1241" t="str">
            <v/>
          </cell>
          <cell r="N1241" t="str">
            <v/>
          </cell>
          <cell r="X1241" t="str">
            <v>1PEAD D110mm ou 2PEAD D63mm</v>
          </cell>
        </row>
        <row r="1242">
          <cell r="B1242" t="str">
            <v>3600CCA80</v>
          </cell>
          <cell r="D1242">
            <v>2013.3599999999997</v>
          </cell>
          <cell r="E1242">
            <v>32791.689000000013</v>
          </cell>
          <cell r="F1242" t="str">
            <v>-42200.28</v>
          </cell>
          <cell r="G1242" t="str">
            <v>163879.31</v>
          </cell>
          <cell r="H1242">
            <v>265</v>
          </cell>
          <cell r="I1242" t="str">
            <v>S</v>
          </cell>
          <cell r="J1242">
            <v>1.77</v>
          </cell>
          <cell r="K1242" t="str">
            <v>Funicular</v>
          </cell>
          <cell r="L1242" t="str">
            <v>Ø300/Ø180/e16</v>
          </cell>
          <cell r="M1242" t="str">
            <v>Anc. Corrente</v>
          </cell>
          <cell r="N1242" t="str">
            <v>B. Fun.</v>
          </cell>
          <cell r="Q1242">
            <v>5.6</v>
          </cell>
          <cell r="S1242">
            <v>-20</v>
          </cell>
          <cell r="Z1242" t="str">
            <v>3600CCA79</v>
          </cell>
          <cell r="AA1242" t="str">
            <v>Ø300/Ø180/e16</v>
          </cell>
          <cell r="AB1242" t="str">
            <v>3600CCA80</v>
          </cell>
          <cell r="AC1242" t="str">
            <v>Ø300/Ø180/e16</v>
          </cell>
          <cell r="AD1242" t="str">
            <v>1,77</v>
          </cell>
          <cell r="AE1242" t="str">
            <v>3,1</v>
          </cell>
          <cell r="AF1242" t="str">
            <v>1,77</v>
          </cell>
          <cell r="AG1242" t="str">
            <v>5,60</v>
          </cell>
          <cell r="AH1242" t="str">
            <v>5,60</v>
          </cell>
          <cell r="AI1242" t="str">
            <v>-0,20</v>
          </cell>
          <cell r="AJ1242" t="str">
            <v>-0,20</v>
          </cell>
          <cell r="AK1242">
            <v>6127</v>
          </cell>
          <cell r="AL1242">
            <v>5741</v>
          </cell>
          <cell r="AM1242">
            <v>1744</v>
          </cell>
          <cell r="AN1242">
            <v>2859</v>
          </cell>
          <cell r="AO1242" t="str">
            <v>0,052</v>
          </cell>
          <cell r="AP1242" t="str">
            <v>25,00%</v>
          </cell>
          <cell r="AQ1242">
            <v>10809</v>
          </cell>
          <cell r="BW1242" t="str">
            <v>C.F.5.A</v>
          </cell>
        </row>
        <row r="1243">
          <cell r="C1243">
            <v>20.100000000000001</v>
          </cell>
          <cell r="F1243" t="str">
            <v/>
          </cell>
          <cell r="G1243" t="str">
            <v/>
          </cell>
          <cell r="L1243" t="str">
            <v/>
          </cell>
        </row>
        <row r="1244">
          <cell r="B1244" t="str">
            <v>3600CCA82</v>
          </cell>
          <cell r="D1244">
            <v>2033.4599999999996</v>
          </cell>
          <cell r="E1244">
            <v>32771.589000000014</v>
          </cell>
          <cell r="F1244" t="str">
            <v>-42194.17</v>
          </cell>
          <cell r="G1244" t="str">
            <v>163860.04</v>
          </cell>
          <cell r="H1244" t="str">
            <v>Clo</v>
          </cell>
          <cell r="I1244" t="str">
            <v>S</v>
          </cell>
          <cell r="J1244">
            <v>1.77</v>
          </cell>
          <cell r="K1244" t="str">
            <v>Funicular</v>
          </cell>
          <cell r="L1244" t="str">
            <v>Ø300/Ø180/e16</v>
          </cell>
          <cell r="M1244" t="str">
            <v>Anc. Corrente</v>
          </cell>
          <cell r="N1244" t="str">
            <v>B. Fun.</v>
          </cell>
          <cell r="Q1244">
            <v>5.6</v>
          </cell>
          <cell r="S1244">
            <v>-20</v>
          </cell>
          <cell r="Z1244" t="str">
            <v>3600CCA81</v>
          </cell>
          <cell r="AA1244" t="str">
            <v>Ø300/Ø180/e16</v>
          </cell>
          <cell r="AB1244" t="str">
            <v>3600CCA82</v>
          </cell>
          <cell r="AC1244" t="str">
            <v>Ø300/Ø180/e16</v>
          </cell>
          <cell r="AD1244" t="str">
            <v>1,77</v>
          </cell>
          <cell r="AE1244" t="str">
            <v>3,1</v>
          </cell>
          <cell r="AF1244" t="str">
            <v>1,77</v>
          </cell>
          <cell r="AG1244" t="str">
            <v>5,60</v>
          </cell>
          <cell r="AH1244" t="str">
            <v>5,60</v>
          </cell>
          <cell r="AI1244" t="str">
            <v>-0,20</v>
          </cell>
          <cell r="AJ1244" t="str">
            <v>-0,20</v>
          </cell>
          <cell r="AK1244">
            <v>6127</v>
          </cell>
          <cell r="AL1244">
            <v>5741</v>
          </cell>
          <cell r="AM1244">
            <v>1747</v>
          </cell>
          <cell r="AN1244">
            <v>2859</v>
          </cell>
          <cell r="AO1244" t="str">
            <v>0,052</v>
          </cell>
          <cell r="AP1244" t="str">
            <v>25,00%</v>
          </cell>
          <cell r="AQ1244" t="str">
            <v>10,80%</v>
          </cell>
          <cell r="BW1244" t="str">
            <v>C.F.5.B</v>
          </cell>
        </row>
        <row r="1245">
          <cell r="C1245">
            <v>20.100000000000001</v>
          </cell>
          <cell r="F1245" t="str">
            <v/>
          </cell>
          <cell r="G1245" t="str">
            <v/>
          </cell>
          <cell r="L1245" t="str">
            <v/>
          </cell>
          <cell r="N1245" t="str">
            <v/>
          </cell>
        </row>
        <row r="1246">
          <cell r="B1246" t="str">
            <v>3600CCA84</v>
          </cell>
          <cell r="D1246">
            <v>2053.5599999999995</v>
          </cell>
          <cell r="E1246">
            <v>32751.489000000016</v>
          </cell>
          <cell r="F1246" t="str">
            <v>-42186.98</v>
          </cell>
          <cell r="G1246" t="str">
            <v>163841.26</v>
          </cell>
          <cell r="H1246" t="str">
            <v>Clo</v>
          </cell>
          <cell r="I1246" t="str">
            <v>S</v>
          </cell>
          <cell r="J1246">
            <v>1.77</v>
          </cell>
          <cell r="K1246" t="str">
            <v>Funicular</v>
          </cell>
          <cell r="L1246" t="str">
            <v>Ø300/Ø180/e16</v>
          </cell>
          <cell r="M1246" t="str">
            <v>Anc. Corrente</v>
          </cell>
          <cell r="N1246" t="str">
            <v>B. Fun.</v>
          </cell>
          <cell r="Q1246">
            <v>5.6</v>
          </cell>
          <cell r="S1246">
            <v>-10</v>
          </cell>
          <cell r="Z1246" t="str">
            <v>3600CCA83</v>
          </cell>
          <cell r="AA1246" t="str">
            <v>Ø300/Ø180/e16</v>
          </cell>
          <cell r="AB1246" t="str">
            <v>3600CCA84</v>
          </cell>
          <cell r="AC1246" t="str">
            <v>Ø300/Ø180/e16</v>
          </cell>
          <cell r="AD1246" t="str">
            <v>1,77</v>
          </cell>
          <cell r="AE1246" t="str">
            <v>3,1</v>
          </cell>
          <cell r="AF1246" t="str">
            <v>1,77</v>
          </cell>
          <cell r="AG1246" t="str">
            <v>5,60</v>
          </cell>
          <cell r="AH1246" t="str">
            <v>5,60</v>
          </cell>
          <cell r="AI1246" t="str">
            <v>-0,10</v>
          </cell>
          <cell r="AJ1246" t="str">
            <v>-0,10</v>
          </cell>
          <cell r="AK1246">
            <v>6041</v>
          </cell>
          <cell r="AL1246">
            <v>6007</v>
          </cell>
          <cell r="AM1246">
            <v>1516</v>
          </cell>
          <cell r="AN1246">
            <v>3350</v>
          </cell>
          <cell r="AO1246">
            <v>1291</v>
          </cell>
          <cell r="AP1246" t="str">
            <v>15,84%</v>
          </cell>
          <cell r="AQ1246" t="str">
            <v>15,87%</v>
          </cell>
          <cell r="BW1246" t="str">
            <v>C.F.2</v>
          </cell>
        </row>
        <row r="1247">
          <cell r="B1247" t="str">
            <v>Fin. Ponte (02+059)</v>
          </cell>
          <cell r="C1247">
            <v>23</v>
          </cell>
          <cell r="F1247" t="str">
            <v/>
          </cell>
          <cell r="G1247" t="str">
            <v/>
          </cell>
          <cell r="L1247" t="str">
            <v/>
          </cell>
          <cell r="N1247" t="str">
            <v/>
          </cell>
        </row>
        <row r="1248">
          <cell r="B1248" t="str">
            <v>3701CCA02</v>
          </cell>
          <cell r="D1248">
            <v>2076.5599999999995</v>
          </cell>
          <cell r="E1248">
            <v>32728.489000000016</v>
          </cell>
          <cell r="F1248" t="str">
            <v>-42178.86</v>
          </cell>
          <cell r="G1248" t="str">
            <v>163819.74</v>
          </cell>
          <cell r="I1248" t="str">
            <v>S</v>
          </cell>
          <cell r="J1248">
            <v>2.2000000000000002</v>
          </cell>
          <cell r="K1248" t="str">
            <v>Funicular</v>
          </cell>
          <cell r="L1248" t="str">
            <v>Ø300/Ø180/e16</v>
          </cell>
          <cell r="M1248" t="str">
            <v>M1</v>
          </cell>
          <cell r="N1248" t="str">
            <v>Delta</v>
          </cell>
          <cell r="Q1248">
            <v>5.6</v>
          </cell>
          <cell r="S1248" t="str">
            <v>+20</v>
          </cell>
          <cell r="V1248" t="str">
            <v>Caix. Secc. e Con.</v>
          </cell>
          <cell r="X1248" t="str">
            <v>FR</v>
          </cell>
          <cell r="Z1248" t="str">
            <v>3701CCA01</v>
          </cell>
          <cell r="AA1248" t="str">
            <v>Ø300/Ø180/e16</v>
          </cell>
          <cell r="AB1248" t="str">
            <v>3701CCA02</v>
          </cell>
          <cell r="AC1248" t="str">
            <v>Ø300/Ø180/e16</v>
          </cell>
          <cell r="AD1248" t="str">
            <v>2,2</v>
          </cell>
          <cell r="AE1248" t="str">
            <v>3,1</v>
          </cell>
          <cell r="AF1248" t="str">
            <v>2,2</v>
          </cell>
          <cell r="AG1248" t="str">
            <v>5,60</v>
          </cell>
          <cell r="AH1248" t="str">
            <v>5,60</v>
          </cell>
          <cell r="AI1248" t="str">
            <v>0,20</v>
          </cell>
          <cell r="AJ1248" t="str">
            <v>0,20</v>
          </cell>
          <cell r="AK1248">
            <v>6081</v>
          </cell>
          <cell r="AL1248">
            <v>6152</v>
          </cell>
          <cell r="AM1248">
            <v>1636</v>
          </cell>
          <cell r="AN1248">
            <v>3350</v>
          </cell>
          <cell r="AO1248">
            <v>2068</v>
          </cell>
          <cell r="AP1248" t="str">
            <v>16,47%</v>
          </cell>
          <cell r="AQ1248" t="str">
            <v>16,47%</v>
          </cell>
          <cell r="BW1248" t="str">
            <v>C.F.22</v>
          </cell>
        </row>
        <row r="1249">
          <cell r="C1249">
            <v>23.7</v>
          </cell>
          <cell r="F1249" t="str">
            <v/>
          </cell>
          <cell r="G1249" t="str">
            <v/>
          </cell>
          <cell r="L1249" t="str">
            <v/>
          </cell>
          <cell r="N1249" t="str">
            <v/>
          </cell>
          <cell r="V1249" t="str">
            <v>Aislador 2HC</v>
          </cell>
        </row>
        <row r="1250">
          <cell r="B1250" t="str">
            <v>3701CCA04</v>
          </cell>
          <cell r="D1250">
            <v>2100.2599999999993</v>
          </cell>
          <cell r="E1250">
            <v>32704.789000000015</v>
          </cell>
          <cell r="F1250" t="str">
            <v>-42175.15</v>
          </cell>
          <cell r="G1250" t="str">
            <v>163810.79</v>
          </cell>
          <cell r="I1250" t="str">
            <v>S</v>
          </cell>
          <cell r="J1250">
            <v>2.2000000000000002</v>
          </cell>
          <cell r="K1250" t="str">
            <v>Funicular</v>
          </cell>
          <cell r="L1250" t="str">
            <v>Ø300/Ø180/e16</v>
          </cell>
          <cell r="M1250" t="str">
            <v>M1</v>
          </cell>
          <cell r="N1250" t="str">
            <v>Delta</v>
          </cell>
          <cell r="Q1250">
            <v>5.6</v>
          </cell>
          <cell r="S1250">
            <v>-20</v>
          </cell>
          <cell r="Z1250" t="str">
            <v>3701CCA03</v>
          </cell>
          <cell r="AA1250" t="str">
            <v>Ø300/Ø180/e16</v>
          </cell>
          <cell r="AB1250" t="str">
            <v>3701CCA04</v>
          </cell>
          <cell r="AC1250" t="str">
            <v>Ø300/Ø180/e16</v>
          </cell>
          <cell r="AD1250" t="str">
            <v>2,2</v>
          </cell>
          <cell r="AE1250" t="str">
            <v>3,1</v>
          </cell>
          <cell r="AF1250" t="str">
            <v>2,2</v>
          </cell>
          <cell r="AG1250" t="str">
            <v>5,60</v>
          </cell>
          <cell r="AH1250" t="str">
            <v>5,60</v>
          </cell>
          <cell r="AI1250" t="str">
            <v>-0,20</v>
          </cell>
          <cell r="AJ1250" t="str">
            <v>-0,20</v>
          </cell>
          <cell r="AK1250">
            <v>6167</v>
          </cell>
          <cell r="AL1250">
            <v>6093</v>
          </cell>
          <cell r="AM1250">
            <v>2073</v>
          </cell>
          <cell r="AN1250">
            <v>3350</v>
          </cell>
          <cell r="AO1250">
            <v>1640</v>
          </cell>
          <cell r="AP1250" t="str">
            <v>17,12%</v>
          </cell>
          <cell r="AQ1250" t="str">
            <v>17,12%</v>
          </cell>
          <cell r="BW1250" t="str">
            <v>C.F.2</v>
          </cell>
        </row>
        <row r="1251">
          <cell r="B1251" t="str">
            <v>Inic. Est./Anden Campo Arrábida (02+112)</v>
          </cell>
          <cell r="C1251">
            <v>25</v>
          </cell>
          <cell r="L1251" t="str">
            <v/>
          </cell>
          <cell r="N1251" t="str">
            <v/>
          </cell>
        </row>
        <row r="1252">
          <cell r="B1252" t="str">
            <v>3702CCA02</v>
          </cell>
          <cell r="D1252">
            <v>2125.2599999999993</v>
          </cell>
          <cell r="E1252">
            <v>32679.789000000015</v>
          </cell>
          <cell r="F1252" t="str">
            <v>-42162.06</v>
          </cell>
          <cell r="G1252" t="str">
            <v>163773.97</v>
          </cell>
          <cell r="I1252" t="str">
            <v>S</v>
          </cell>
          <cell r="J1252" t="str">
            <v>4,15</v>
          </cell>
          <cell r="K1252" t="str">
            <v>Funicular</v>
          </cell>
          <cell r="L1252" t="str">
            <v>Marquise</v>
          </cell>
          <cell r="M1252" t="str">
            <v>-</v>
          </cell>
          <cell r="N1252" t="str">
            <v>Delta</v>
          </cell>
          <cell r="Q1252">
            <v>5.6</v>
          </cell>
          <cell r="S1252" t="str">
            <v>+20</v>
          </cell>
          <cell r="Z1252" t="str">
            <v>3702CCA01</v>
          </cell>
          <cell r="AA1252" t="str">
            <v>HEA240</v>
          </cell>
          <cell r="AB1252" t="str">
            <v>3702CCA02</v>
          </cell>
          <cell r="AC1252" t="str">
            <v>HEA240</v>
          </cell>
          <cell r="AD1252" t="str">
            <v>4,15</v>
          </cell>
          <cell r="AE1252" t="str">
            <v>3,1</v>
          </cell>
          <cell r="AF1252" t="str">
            <v>4,15</v>
          </cell>
          <cell r="AG1252" t="str">
            <v>5,60</v>
          </cell>
          <cell r="AH1252" t="str">
            <v>5,60</v>
          </cell>
          <cell r="AI1252" t="str">
            <v>0,20</v>
          </cell>
          <cell r="AJ1252" t="str">
            <v>0,20</v>
          </cell>
          <cell r="AK1252">
            <v>6359</v>
          </cell>
          <cell r="AL1252">
            <v>6423</v>
          </cell>
          <cell r="AM1252">
            <v>3659</v>
          </cell>
          <cell r="AN1252">
            <v>3350</v>
          </cell>
          <cell r="AO1252">
            <v>4089</v>
          </cell>
          <cell r="AP1252" t="str">
            <v>15,00%</v>
          </cell>
          <cell r="AQ1252" t="str">
            <v>15,00%</v>
          </cell>
          <cell r="BW1252" t="str">
            <v>C.F.1</v>
          </cell>
        </row>
        <row r="1253">
          <cell r="C1253">
            <v>17.25</v>
          </cell>
          <cell r="F1253" t="str">
            <v/>
          </cell>
          <cell r="G1253" t="str">
            <v/>
          </cell>
          <cell r="N1253" t="str">
            <v/>
          </cell>
        </row>
        <row r="1254">
          <cell r="B1254" t="str">
            <v>3702CCA04</v>
          </cell>
          <cell r="D1254">
            <v>2142.5099999999993</v>
          </cell>
          <cell r="E1254">
            <v>32662.539000000015</v>
          </cell>
          <cell r="F1254" t="str">
            <v>-42155.83</v>
          </cell>
          <cell r="G1254" t="str">
            <v>163757.88</v>
          </cell>
          <cell r="I1254" t="str">
            <v>S</v>
          </cell>
          <cell r="J1254" t="str">
            <v>4,15</v>
          </cell>
          <cell r="K1254" t="str">
            <v>Funicular</v>
          </cell>
          <cell r="L1254" t="str">
            <v>Marquise</v>
          </cell>
          <cell r="M1254" t="str">
            <v>-</v>
          </cell>
          <cell r="N1254" t="str">
            <v>Delta</v>
          </cell>
          <cell r="Q1254">
            <v>5.6</v>
          </cell>
          <cell r="S1254">
            <v>-20</v>
          </cell>
          <cell r="BW1254" t="str">
            <v>C.F.1</v>
          </cell>
        </row>
        <row r="1255">
          <cell r="C1255">
            <v>17.25</v>
          </cell>
          <cell r="F1255" t="str">
            <v/>
          </cell>
          <cell r="G1255" t="str">
            <v/>
          </cell>
          <cell r="N1255" t="str">
            <v/>
          </cell>
        </row>
        <row r="1256">
          <cell r="B1256" t="str">
            <v>3702CCA06</v>
          </cell>
          <cell r="D1256">
            <v>2159.7599999999993</v>
          </cell>
          <cell r="E1256">
            <v>32645.289000000015</v>
          </cell>
          <cell r="F1256" t="str">
            <v>-42149.43</v>
          </cell>
          <cell r="G1256" t="str">
            <v>163741.86</v>
          </cell>
          <cell r="I1256" t="str">
            <v>S</v>
          </cell>
          <cell r="J1256" t="str">
            <v>4,15</v>
          </cell>
          <cell r="K1256" t="str">
            <v>Funicular</v>
          </cell>
          <cell r="L1256" t="str">
            <v>Marquise</v>
          </cell>
          <cell r="M1256" t="str">
            <v>-</v>
          </cell>
          <cell r="N1256" t="str">
            <v>Delta</v>
          </cell>
          <cell r="Q1256">
            <v>5.6</v>
          </cell>
          <cell r="S1256" t="str">
            <v>+20</v>
          </cell>
          <cell r="Z1256" t="str">
            <v>3702CCA05</v>
          </cell>
          <cell r="AA1256" t="str">
            <v>HEA240</v>
          </cell>
          <cell r="AB1256" t="str">
            <v>3702CCA06</v>
          </cell>
          <cell r="AC1256" t="str">
            <v>HEA240</v>
          </cell>
          <cell r="AD1256" t="str">
            <v>4,15</v>
          </cell>
          <cell r="AE1256" t="str">
            <v>3,1</v>
          </cell>
          <cell r="AF1256" t="str">
            <v>4,15</v>
          </cell>
          <cell r="AG1256" t="str">
            <v>5,60</v>
          </cell>
          <cell r="AH1256" t="str">
            <v>5,60</v>
          </cell>
          <cell r="AI1256" t="str">
            <v>0,20</v>
          </cell>
          <cell r="AJ1256" t="str">
            <v>0,20</v>
          </cell>
          <cell r="AK1256">
            <v>6258</v>
          </cell>
          <cell r="AL1256">
            <v>6311</v>
          </cell>
          <cell r="AM1256">
            <v>3632</v>
          </cell>
          <cell r="AN1256">
            <v>3350</v>
          </cell>
          <cell r="AO1256">
            <v>4058</v>
          </cell>
          <cell r="AP1256" t="str">
            <v>12,41%</v>
          </cell>
          <cell r="AQ1256" t="str">
            <v>12,41%</v>
          </cell>
          <cell r="BW1256" t="str">
            <v>C.F.1</v>
          </cell>
        </row>
        <row r="1257">
          <cell r="C1257">
            <v>17.25</v>
          </cell>
          <cell r="F1257" t="str">
            <v/>
          </cell>
          <cell r="G1257" t="str">
            <v/>
          </cell>
          <cell r="N1257" t="str">
            <v/>
          </cell>
        </row>
        <row r="1258">
          <cell r="B1258" t="str">
            <v>3702CCA08</v>
          </cell>
          <cell r="D1258">
            <v>2177.0099999999993</v>
          </cell>
          <cell r="E1258">
            <v>32628.039000000015</v>
          </cell>
          <cell r="F1258" t="str">
            <v>-42143.02</v>
          </cell>
          <cell r="G1258" t="str">
            <v>163725.85</v>
          </cell>
          <cell r="I1258" t="str">
            <v>S</v>
          </cell>
          <cell r="J1258" t="str">
            <v>4,15</v>
          </cell>
          <cell r="K1258" t="str">
            <v>Funicular</v>
          </cell>
          <cell r="L1258" t="str">
            <v>Marquise</v>
          </cell>
          <cell r="M1258" t="str">
            <v>-</v>
          </cell>
          <cell r="N1258" t="str">
            <v>Delta</v>
          </cell>
          <cell r="Q1258">
            <v>5.6</v>
          </cell>
          <cell r="S1258">
            <v>-20</v>
          </cell>
          <cell r="Z1258" t="str">
            <v>3702CCA07</v>
          </cell>
          <cell r="AA1258" t="str">
            <v>HEA240</v>
          </cell>
          <cell r="AB1258" t="str">
            <v>3702CCA08</v>
          </cell>
          <cell r="AC1258" t="str">
            <v>HEA240</v>
          </cell>
          <cell r="AD1258" t="str">
            <v>4,15</v>
          </cell>
          <cell r="AE1258" t="str">
            <v>3,1</v>
          </cell>
          <cell r="AF1258" t="str">
            <v>4,15</v>
          </cell>
          <cell r="AG1258" t="str">
            <v>5,60</v>
          </cell>
          <cell r="AH1258" t="str">
            <v>5,60</v>
          </cell>
          <cell r="AI1258" t="str">
            <v>-0,20</v>
          </cell>
          <cell r="AJ1258" t="str">
            <v>-0,20</v>
          </cell>
          <cell r="AK1258">
            <v>6423</v>
          </cell>
          <cell r="AL1258">
            <v>6359</v>
          </cell>
          <cell r="AM1258">
            <v>4089</v>
          </cell>
          <cell r="AN1258">
            <v>3350</v>
          </cell>
          <cell r="AO1258">
            <v>3659</v>
          </cell>
          <cell r="AP1258" t="str">
            <v>15,00%</v>
          </cell>
          <cell r="AQ1258" t="str">
            <v>15,00%</v>
          </cell>
          <cell r="BW1258" t="str">
            <v>C.F.2</v>
          </cell>
        </row>
        <row r="1259">
          <cell r="B1259" t="str">
            <v>Fin. Est./Anden Campo Arrábida (02+183)</v>
          </cell>
          <cell r="C1259">
            <v>25.1</v>
          </cell>
          <cell r="N1259" t="str">
            <v/>
          </cell>
          <cell r="X1259" t="str">
            <v>3PEAD D63mm ou 1PEAD D125mm + PEAD D40mm</v>
          </cell>
        </row>
        <row r="1260">
          <cell r="B1260" t="str">
            <v>3703CCA02</v>
          </cell>
          <cell r="D1260">
            <v>2202.1099999999992</v>
          </cell>
          <cell r="E1260">
            <v>32602.939000000017</v>
          </cell>
          <cell r="F1260" t="str">
            <v>-42132.96</v>
          </cell>
          <cell r="G1260" t="str">
            <v>163702.94</v>
          </cell>
          <cell r="H1260" t="str">
            <v>Clo</v>
          </cell>
          <cell r="I1260" t="str">
            <v>S</v>
          </cell>
          <cell r="J1260" t="str">
            <v>3,0</v>
          </cell>
          <cell r="K1260" t="str">
            <v>Funicular</v>
          </cell>
          <cell r="L1260" t="str">
            <v>HEA 240</v>
          </cell>
          <cell r="M1260" t="str">
            <v>M2</v>
          </cell>
          <cell r="N1260" t="str">
            <v>Delta</v>
          </cell>
          <cell r="Q1260">
            <v>5.6</v>
          </cell>
          <cell r="S1260" t="str">
            <v>+20</v>
          </cell>
          <cell r="X1260" t="str">
            <v>FR</v>
          </cell>
          <cell r="Z1260" t="str">
            <v>3703CCA01</v>
          </cell>
          <cell r="AA1260" t="str">
            <v>HEA240</v>
          </cell>
          <cell r="AB1260" t="str">
            <v>3703CCA02</v>
          </cell>
          <cell r="AC1260" t="str">
            <v>HEA240</v>
          </cell>
          <cell r="AD1260" t="str">
            <v>3,9</v>
          </cell>
          <cell r="AE1260" t="str">
            <v>3,1</v>
          </cell>
          <cell r="AF1260" t="str">
            <v>3,9</v>
          </cell>
          <cell r="AG1260" t="str">
            <v>5,60</v>
          </cell>
          <cell r="AH1260" t="str">
            <v>5,60</v>
          </cell>
          <cell r="AI1260" t="str">
            <v>0,20</v>
          </cell>
          <cell r="AJ1260" t="str">
            <v>0,20</v>
          </cell>
          <cell r="AK1260">
            <v>6366</v>
          </cell>
          <cell r="AL1260">
            <v>6429</v>
          </cell>
          <cell r="AM1260">
            <v>3437</v>
          </cell>
          <cell r="AN1260">
            <v>3350</v>
          </cell>
          <cell r="AO1260">
            <v>3828</v>
          </cell>
          <cell r="AP1260" t="str">
            <v>16,07%</v>
          </cell>
          <cell r="AQ1260" t="str">
            <v>16,14%</v>
          </cell>
          <cell r="AV1260">
            <v>6666</v>
          </cell>
          <cell r="AW1260">
            <v>6729</v>
          </cell>
          <cell r="BW1260" t="str">
            <v>C.F.24</v>
          </cell>
        </row>
        <row r="1261">
          <cell r="C1261">
            <v>20.7</v>
          </cell>
          <cell r="F1261" t="str">
            <v/>
          </cell>
          <cell r="G1261" t="str">
            <v/>
          </cell>
          <cell r="N1261" t="str">
            <v/>
          </cell>
          <cell r="X1261" t="str">
            <v>3PEAD D63mm ou 1PEAD D125mm</v>
          </cell>
        </row>
        <row r="1262">
          <cell r="B1262" t="str">
            <v>3703CCA04</v>
          </cell>
          <cell r="D1262">
            <v>2222.809999999999</v>
          </cell>
          <cell r="E1262">
            <v>32582.239000000016</v>
          </cell>
          <cell r="F1262" t="str">
            <v>-42124.06</v>
          </cell>
          <cell r="G1262" t="str">
            <v>163684.14</v>
          </cell>
          <cell r="H1262" t="str">
            <v>Clo</v>
          </cell>
          <cell r="I1262" t="str">
            <v>S</v>
          </cell>
          <cell r="J1262" t="str">
            <v>2,7</v>
          </cell>
          <cell r="K1262" t="str">
            <v>Funicular</v>
          </cell>
          <cell r="L1262" t="str">
            <v>HEA 240</v>
          </cell>
          <cell r="M1262" t="str">
            <v>M2</v>
          </cell>
          <cell r="N1262" t="str">
            <v>B. Fun.</v>
          </cell>
          <cell r="Q1262">
            <v>5.6</v>
          </cell>
          <cell r="S1262">
            <v>-20</v>
          </cell>
          <cell r="Z1262" t="str">
            <v>3703CCA03</v>
          </cell>
          <cell r="AA1262" t="str">
            <v>HEA240</v>
          </cell>
          <cell r="AB1262" t="str">
            <v>3703CCA04</v>
          </cell>
          <cell r="AC1262" t="str">
            <v>HEA240</v>
          </cell>
          <cell r="AD1262">
            <v>2585</v>
          </cell>
          <cell r="AE1262" t="str">
            <v>3,1</v>
          </cell>
          <cell r="AF1262">
            <v>2585</v>
          </cell>
          <cell r="AG1262" t="str">
            <v>5,60</v>
          </cell>
          <cell r="AH1262" t="str">
            <v>5,60</v>
          </cell>
          <cell r="AI1262" t="str">
            <v>-0,20</v>
          </cell>
          <cell r="AJ1262" t="str">
            <v>-0,20</v>
          </cell>
          <cell r="AK1262">
            <v>6368</v>
          </cell>
          <cell r="AL1262">
            <v>5839</v>
          </cell>
          <cell r="AM1262">
            <v>2769</v>
          </cell>
          <cell r="AN1262">
            <v>2859</v>
          </cell>
          <cell r="AO1262" t="str">
            <v>0,610</v>
          </cell>
          <cell r="AP1262" t="str">
            <v>25,00%</v>
          </cell>
          <cell r="AQ1262" t="str">
            <v>10,33%</v>
          </cell>
          <cell r="BW1262" t="str">
            <v>C.F.5.A</v>
          </cell>
        </row>
        <row r="1263">
          <cell r="C1263">
            <v>20</v>
          </cell>
          <cell r="F1263" t="str">
            <v/>
          </cell>
          <cell r="G1263" t="str">
            <v/>
          </cell>
          <cell r="N1263" t="str">
            <v/>
          </cell>
        </row>
        <row r="1264">
          <cell r="B1264" t="str">
            <v>3703CCA06</v>
          </cell>
          <cell r="D1264">
            <v>2242.809999999999</v>
          </cell>
          <cell r="E1264">
            <v>32562.239000000016</v>
          </cell>
          <cell r="F1264" t="str">
            <v>-42114.67</v>
          </cell>
          <cell r="G1264" t="str">
            <v>163666.12</v>
          </cell>
          <cell r="H1264">
            <v>142</v>
          </cell>
          <cell r="I1264" t="str">
            <v>S</v>
          </cell>
          <cell r="J1264" t="str">
            <v>2,7</v>
          </cell>
          <cell r="K1264" t="str">
            <v>Funicular</v>
          </cell>
          <cell r="L1264" t="str">
            <v>HEA 240</v>
          </cell>
          <cell r="M1264" t="str">
            <v>M2</v>
          </cell>
          <cell r="N1264" t="str">
            <v>B. Fun.</v>
          </cell>
          <cell r="Q1264">
            <v>5.6</v>
          </cell>
          <cell r="S1264">
            <v>-20</v>
          </cell>
          <cell r="Z1264" t="str">
            <v>3703CCA05</v>
          </cell>
          <cell r="AA1264" t="str">
            <v>HEA240</v>
          </cell>
          <cell r="AB1264" t="str">
            <v>3703CCA06</v>
          </cell>
          <cell r="AC1264" t="str">
            <v>HEA240</v>
          </cell>
          <cell r="AD1264">
            <v>2585</v>
          </cell>
          <cell r="AE1264" t="str">
            <v>3,1</v>
          </cell>
          <cell r="AF1264">
            <v>2585</v>
          </cell>
          <cell r="AG1264" t="str">
            <v>5,60</v>
          </cell>
          <cell r="AH1264" t="str">
            <v>5,60</v>
          </cell>
          <cell r="AI1264" t="str">
            <v>-0,20</v>
          </cell>
          <cell r="AJ1264" t="str">
            <v>-0,20</v>
          </cell>
          <cell r="AK1264">
            <v>6898</v>
          </cell>
          <cell r="AL1264">
            <v>5836</v>
          </cell>
          <cell r="AM1264">
            <v>3131</v>
          </cell>
          <cell r="AN1264">
            <v>2859</v>
          </cell>
          <cell r="AO1264" t="str">
            <v>0,610</v>
          </cell>
          <cell r="AP1264" t="str">
            <v>45,00%</v>
          </cell>
          <cell r="AQ1264" t="str">
            <v>10,05%</v>
          </cell>
          <cell r="BW1264" t="str">
            <v>C.F.5.A</v>
          </cell>
        </row>
        <row r="1265">
          <cell r="B1265" t="str">
            <v>Inic. Viaducto Arrábida (02+248,27)</v>
          </cell>
          <cell r="C1265">
            <v>20</v>
          </cell>
          <cell r="F1265" t="str">
            <v/>
          </cell>
          <cell r="G1265" t="str">
            <v/>
          </cell>
          <cell r="N1265" t="str">
            <v/>
          </cell>
        </row>
        <row r="1266">
          <cell r="B1266" t="str">
            <v>3703CCA08</v>
          </cell>
          <cell r="D1266">
            <v>2262.809999999999</v>
          </cell>
          <cell r="E1266">
            <v>32542.239000000016</v>
          </cell>
          <cell r="F1266" t="str">
            <v>-42102.35</v>
          </cell>
          <cell r="G1266" t="str">
            <v>163649.89</v>
          </cell>
          <cell r="H1266">
            <v>142</v>
          </cell>
          <cell r="I1266" t="str">
            <v>S</v>
          </cell>
          <cell r="J1266" t="str">
            <v>2,7</v>
          </cell>
          <cell r="K1266" t="str">
            <v>Funicular</v>
          </cell>
          <cell r="L1266" t="str">
            <v>HEA 300</v>
          </cell>
          <cell r="M1266" t="str">
            <v>Anc. Ponte</v>
          </cell>
          <cell r="N1266" t="str">
            <v>B. Fun.</v>
          </cell>
          <cell r="Q1266">
            <v>5.6</v>
          </cell>
          <cell r="S1266">
            <v>-20</v>
          </cell>
          <cell r="BW1266" t="str">
            <v>C.F.5.A</v>
          </cell>
        </row>
        <row r="1267">
          <cell r="C1267">
            <v>20</v>
          </cell>
          <cell r="F1267" t="str">
            <v/>
          </cell>
          <cell r="G1267" t="str">
            <v/>
          </cell>
          <cell r="N1267" t="str">
            <v/>
          </cell>
        </row>
        <row r="1268">
          <cell r="B1268" t="str">
            <v>3703CCA10</v>
          </cell>
          <cell r="D1268">
            <v>2282.809999999999</v>
          </cell>
          <cell r="E1268">
            <v>32522.239000000016</v>
          </cell>
          <cell r="F1268" t="str">
            <v>-42088.08</v>
          </cell>
          <cell r="G1268" t="str">
            <v>163635.40</v>
          </cell>
          <cell r="H1268" t="str">
            <v>Clo</v>
          </cell>
          <cell r="I1268" t="str">
            <v>S</v>
          </cell>
          <cell r="J1268" t="str">
            <v>2,6</v>
          </cell>
          <cell r="K1268" t="str">
            <v>Funicular</v>
          </cell>
          <cell r="L1268" t="str">
            <v>HEA 300</v>
          </cell>
          <cell r="M1268" t="str">
            <v>Anc. Ponte</v>
          </cell>
          <cell r="N1268" t="str">
            <v>B. Fun.</v>
          </cell>
          <cell r="Q1268">
            <v>5.6</v>
          </cell>
          <cell r="S1268">
            <v>-20</v>
          </cell>
          <cell r="Z1268" t="str">
            <v>3703CCA09</v>
          </cell>
          <cell r="AA1268" t="str">
            <v>HEA300</v>
          </cell>
          <cell r="AB1268" t="str">
            <v>3703CCA10</v>
          </cell>
          <cell r="AC1268" t="str">
            <v>HEA300</v>
          </cell>
          <cell r="AD1268">
            <v>2455</v>
          </cell>
          <cell r="AE1268" t="str">
            <v>3,1</v>
          </cell>
          <cell r="AF1268">
            <v>2455</v>
          </cell>
          <cell r="AG1268" t="str">
            <v>5,60</v>
          </cell>
          <cell r="AH1268" t="str">
            <v>5,60</v>
          </cell>
          <cell r="AI1268" t="str">
            <v>-0,20</v>
          </cell>
          <cell r="AJ1268" t="str">
            <v>-0,20</v>
          </cell>
          <cell r="AK1268">
            <v>6336</v>
          </cell>
          <cell r="AL1268">
            <v>5836</v>
          </cell>
          <cell r="AM1268">
            <v>2631</v>
          </cell>
          <cell r="AN1268">
            <v>2859</v>
          </cell>
          <cell r="AO1268" t="str">
            <v>0,620</v>
          </cell>
          <cell r="AP1268" t="str">
            <v>25,00%</v>
          </cell>
          <cell r="AQ1268" t="str">
            <v>11,18%</v>
          </cell>
          <cell r="BW1268" t="str">
            <v>C.F.5.A</v>
          </cell>
        </row>
        <row r="1269">
          <cell r="C1269">
            <v>21</v>
          </cell>
          <cell r="F1269" t="str">
            <v/>
          </cell>
          <cell r="G1269" t="str">
            <v/>
          </cell>
          <cell r="N1269" t="str">
            <v/>
          </cell>
        </row>
        <row r="1270">
          <cell r="B1270" t="str">
            <v>3703CCA12</v>
          </cell>
          <cell r="D1270">
            <v>2303.809999999999</v>
          </cell>
          <cell r="E1270">
            <v>32501.239000000016</v>
          </cell>
          <cell r="F1270" t="str">
            <v>-42072.29</v>
          </cell>
          <cell r="G1270" t="str">
            <v>163621.47</v>
          </cell>
          <cell r="J1270" t="str">
            <v>2,6</v>
          </cell>
          <cell r="K1270" t="str">
            <v>Funicular</v>
          </cell>
          <cell r="L1270" t="str">
            <v>HEA 300</v>
          </cell>
          <cell r="M1270" t="str">
            <v>Anc. Ponte</v>
          </cell>
          <cell r="N1270" t="str">
            <v>Delta</v>
          </cell>
          <cell r="Q1270">
            <v>5.6</v>
          </cell>
          <cell r="S1270">
            <v>-20</v>
          </cell>
          <cell r="Z1270" t="str">
            <v>3703CCA11</v>
          </cell>
          <cell r="AA1270" t="str">
            <v>HEA300</v>
          </cell>
          <cell r="AB1270" t="str">
            <v>3703CCA12</v>
          </cell>
          <cell r="AC1270" t="str">
            <v>HEA300</v>
          </cell>
          <cell r="AD1270" t="str">
            <v>2,6</v>
          </cell>
          <cell r="AE1270" t="str">
            <v>3,1</v>
          </cell>
          <cell r="AF1270" t="str">
            <v>2,6</v>
          </cell>
          <cell r="AG1270" t="str">
            <v>5,60</v>
          </cell>
          <cell r="AH1270" t="str">
            <v>5,60</v>
          </cell>
          <cell r="AI1270" t="str">
            <v>0,20</v>
          </cell>
          <cell r="AJ1270" t="str">
            <v>0,20</v>
          </cell>
          <cell r="AK1270">
            <v>6147</v>
          </cell>
          <cell r="AL1270">
            <v>6211</v>
          </cell>
          <cell r="AM1270">
            <v>2071</v>
          </cell>
          <cell r="AN1270">
            <v>3350</v>
          </cell>
          <cell r="AO1270">
            <v>2462</v>
          </cell>
          <cell r="AP1270" t="str">
            <v>16,20%</v>
          </cell>
          <cell r="AQ1270" t="str">
            <v>16,24%</v>
          </cell>
          <cell r="BW1270" t="str">
            <v>C.F.1</v>
          </cell>
        </row>
        <row r="1271">
          <cell r="C1271">
            <v>25</v>
          </cell>
          <cell r="F1271" t="str">
            <v/>
          </cell>
          <cell r="G1271" t="str">
            <v/>
          </cell>
          <cell r="N1271" t="str">
            <v/>
          </cell>
        </row>
        <row r="1272">
          <cell r="B1272" t="str">
            <v>3703CCA14</v>
          </cell>
          <cell r="D1272">
            <v>2328.809999999999</v>
          </cell>
          <cell r="E1272">
            <v>32476.239000000016</v>
          </cell>
          <cell r="F1272" t="str">
            <v>-42053.55</v>
          </cell>
          <cell r="G1272" t="str">
            <v>163604.92</v>
          </cell>
          <cell r="I1272" t="str">
            <v>A/S</v>
          </cell>
          <cell r="J1272" t="str">
            <v>2,8</v>
          </cell>
          <cell r="K1272" t="str">
            <v>Funicular</v>
          </cell>
          <cell r="L1272" t="str">
            <v>HEM 320</v>
          </cell>
          <cell r="M1272" t="str">
            <v>Anc. Ponte</v>
          </cell>
          <cell r="N1272" t="str">
            <v>B. Fun.</v>
          </cell>
          <cell r="Q1272">
            <v>5.6</v>
          </cell>
          <cell r="R1272">
            <v>5.7922999999999991</v>
          </cell>
          <cell r="S1272">
            <v>-20</v>
          </cell>
          <cell r="T1272">
            <v>0</v>
          </cell>
          <cell r="V1272" t="str">
            <v>Ancoraem 2HC</v>
          </cell>
          <cell r="Z1272" t="str">
            <v>3703CCA13</v>
          </cell>
          <cell r="AA1272" t="str">
            <v>HEM 320</v>
          </cell>
          <cell r="AB1272" t="str">
            <v>3703CCA14</v>
          </cell>
          <cell r="AC1272" t="str">
            <v>HEA240</v>
          </cell>
          <cell r="AD1272" t="str">
            <v>2,8</v>
          </cell>
          <cell r="AE1272" t="str">
            <v>3,1</v>
          </cell>
          <cell r="AF1272" t="str">
            <v>2,8</v>
          </cell>
          <cell r="AG1272" t="str">
            <v>5,60</v>
          </cell>
          <cell r="AH1272" t="str">
            <v>5,60</v>
          </cell>
          <cell r="AI1272" t="str">
            <v>-0,20</v>
          </cell>
          <cell r="AJ1272" t="str">
            <v>20,20</v>
          </cell>
          <cell r="AK1272">
            <v>6245</v>
          </cell>
          <cell r="AL1272">
            <v>5913</v>
          </cell>
          <cell r="AM1272">
            <v>2759</v>
          </cell>
          <cell r="AN1272">
            <v>2859</v>
          </cell>
          <cell r="AO1272" t="str">
            <v>0,668</v>
          </cell>
          <cell r="AP1272" t="str">
            <v>20,00%</v>
          </cell>
          <cell r="AQ1272" t="str">
            <v>15,48%</v>
          </cell>
          <cell r="AV1272" t="str">
            <v>5,84</v>
          </cell>
          <cell r="AW1272" t="str">
            <v>-</v>
          </cell>
          <cell r="BW1272" t="str">
            <v>C.F.7.B</v>
          </cell>
        </row>
        <row r="1273">
          <cell r="C1273">
            <v>22</v>
          </cell>
          <cell r="F1273" t="str">
            <v/>
          </cell>
          <cell r="G1273" t="str">
            <v/>
          </cell>
          <cell r="N1273" t="str">
            <v/>
          </cell>
          <cell r="U1273" t="str">
            <v>Cantón 659 m</v>
          </cell>
        </row>
        <row r="1274">
          <cell r="B1274" t="str">
            <v>3703CCA16</v>
          </cell>
          <cell r="D1274">
            <v>2350.8000000000002</v>
          </cell>
          <cell r="E1274">
            <v>32454.239000000016</v>
          </cell>
          <cell r="F1274" t="str">
            <v>-42036.33</v>
          </cell>
          <cell r="G1274" t="str">
            <v>163591.02</v>
          </cell>
          <cell r="H1274" t="str">
            <v>Clo</v>
          </cell>
          <cell r="I1274" t="str">
            <v>SE</v>
          </cell>
          <cell r="J1274" t="str">
            <v>2,8</v>
          </cell>
          <cell r="K1274" t="str">
            <v>Funicular</v>
          </cell>
          <cell r="L1274" t="str">
            <v>HEA 300</v>
          </cell>
          <cell r="M1274" t="str">
            <v>Anc. Ponte</v>
          </cell>
          <cell r="N1274" t="str">
            <v>B. Fun.</v>
          </cell>
          <cell r="O1274" t="str">
            <v>B. Fun.</v>
          </cell>
          <cell r="Q1274">
            <v>5.6</v>
          </cell>
          <cell r="R1274">
            <v>5.6602999999999994</v>
          </cell>
          <cell r="S1274">
            <v>-20</v>
          </cell>
          <cell r="T1274">
            <v>0</v>
          </cell>
          <cell r="Z1274" t="str">
            <v>3703CCA15</v>
          </cell>
          <cell r="AA1274" t="str">
            <v>HEA300</v>
          </cell>
          <cell r="AB1274" t="str">
            <v>3703CCA16</v>
          </cell>
          <cell r="AC1274" t="str">
            <v>HEA300</v>
          </cell>
          <cell r="AD1274" t="str">
            <v>2,8</v>
          </cell>
          <cell r="AE1274" t="str">
            <v>3,1</v>
          </cell>
          <cell r="AF1274">
            <v>2.8</v>
          </cell>
          <cell r="AG1274" t="str">
            <v>5,60</v>
          </cell>
          <cell r="AH1274" t="str">
            <v>5,60</v>
          </cell>
          <cell r="AI1274" t="str">
            <v>0,00</v>
          </cell>
          <cell r="AJ1274" t="str">
            <v>0,00</v>
          </cell>
          <cell r="AK1274">
            <v>6210</v>
          </cell>
          <cell r="AL1274">
            <v>5939</v>
          </cell>
          <cell r="AM1274">
            <v>2578</v>
          </cell>
          <cell r="AN1274">
            <v>2859</v>
          </cell>
          <cell r="AO1274">
            <v>1033</v>
          </cell>
          <cell r="AP1274" t="str">
            <v>20,00%</v>
          </cell>
          <cell r="AQ1274" t="str">
            <v>14,93%</v>
          </cell>
          <cell r="AR1274" t="str">
            <v>5,72</v>
          </cell>
          <cell r="AS1274" t="str">
            <v>5,72</v>
          </cell>
          <cell r="AT1274" t="str">
            <v>-0,20</v>
          </cell>
          <cell r="AU1274" t="str">
            <v>-0,20</v>
          </cell>
          <cell r="AV1274">
            <v>6370</v>
          </cell>
          <cell r="AW1274">
            <v>6350</v>
          </cell>
          <cell r="AX1274">
            <v>2781</v>
          </cell>
          <cell r="AY1274" t="str">
            <v>0,980</v>
          </cell>
          <cell r="AZ1274">
            <v>2381</v>
          </cell>
          <cell r="BA1274" t="str">
            <v>14,45%</v>
          </cell>
          <cell r="BB1274" t="str">
            <v>14,45%</v>
          </cell>
          <cell r="BW1274" t="str">
            <v>C.F.19.B</v>
          </cell>
        </row>
        <row r="1275">
          <cell r="B1275" t="str">
            <v>Fin. Viaducto Arrábida (02+365,52)</v>
          </cell>
          <cell r="C1275">
            <v>21.2</v>
          </cell>
          <cell r="F1275" t="str">
            <v/>
          </cell>
          <cell r="G1275" t="str">
            <v/>
          </cell>
          <cell r="N1275" t="str">
            <v/>
          </cell>
          <cell r="U1275" t="str">
            <v>Seccionamento</v>
          </cell>
        </row>
        <row r="1276">
          <cell r="B1276" t="str">
            <v>3703CCA18</v>
          </cell>
          <cell r="D1276">
            <v>2372</v>
          </cell>
          <cell r="E1276">
            <v>32433.039000000015</v>
          </cell>
          <cell r="F1276" t="str">
            <v>-42019.94</v>
          </cell>
          <cell r="G1276" t="str">
            <v>163578.91</v>
          </cell>
          <cell r="H1276">
            <v>203</v>
          </cell>
          <cell r="I1276" t="str">
            <v>E</v>
          </cell>
          <cell r="J1276" t="str">
            <v>2,8</v>
          </cell>
          <cell r="K1276" t="str">
            <v>Funicular</v>
          </cell>
          <cell r="L1276" t="str">
            <v>HEA 280</v>
          </cell>
          <cell r="M1276" t="str">
            <v>M4</v>
          </cell>
          <cell r="N1276" t="str">
            <v>B. Fun.</v>
          </cell>
          <cell r="O1276" t="str">
            <v>B.Fun.</v>
          </cell>
          <cell r="Q1276">
            <v>5.6</v>
          </cell>
          <cell r="R1276">
            <v>5.6602999999999994</v>
          </cell>
          <cell r="S1276">
            <v>-20</v>
          </cell>
          <cell r="T1276">
            <v>0</v>
          </cell>
          <cell r="Z1276" t="str">
            <v>3703CCA17</v>
          </cell>
          <cell r="AA1276" t="str">
            <v>HEA280</v>
          </cell>
          <cell r="AB1276" t="str">
            <v>3703CCA18</v>
          </cell>
          <cell r="AC1276" t="str">
            <v>HEA280</v>
          </cell>
          <cell r="AD1276" t="str">
            <v>2,8</v>
          </cell>
          <cell r="AE1276" t="str">
            <v>3,1</v>
          </cell>
          <cell r="AF1276" t="str">
            <v>2,8</v>
          </cell>
          <cell r="AG1276" t="str">
            <v>5,60</v>
          </cell>
          <cell r="AH1276" t="str">
            <v>5,60</v>
          </cell>
          <cell r="AI1276" t="str">
            <v>0,00</v>
          </cell>
          <cell r="AJ1276" t="str">
            <v>0,00</v>
          </cell>
          <cell r="AK1276">
            <v>6212</v>
          </cell>
          <cell r="AL1276">
            <v>5922</v>
          </cell>
          <cell r="AM1276">
            <v>2588</v>
          </cell>
          <cell r="AN1276">
            <v>2859</v>
          </cell>
          <cell r="AO1276">
            <v>1041</v>
          </cell>
          <cell r="AP1276" t="str">
            <v>20,00%</v>
          </cell>
          <cell r="AQ1276" t="str">
            <v>13,74%</v>
          </cell>
          <cell r="AR1276" t="str">
            <v>5,66</v>
          </cell>
          <cell r="AS1276" t="str">
            <v>5,66</v>
          </cell>
          <cell r="AT1276" t="str">
            <v>-0,20</v>
          </cell>
          <cell r="AU1276" t="str">
            <v>-0,20</v>
          </cell>
          <cell r="AV1276">
            <v>6448</v>
          </cell>
          <cell r="AW1276">
            <v>5984</v>
          </cell>
          <cell r="AX1276">
            <v>2857</v>
          </cell>
          <cell r="AY1276">
            <v>2859</v>
          </cell>
          <cell r="AZ1276" t="str">
            <v>0,843</v>
          </cell>
          <cell r="BA1276" t="str">
            <v>25,00%</v>
          </cell>
          <cell r="BB1276" t="str">
            <v>15,90%</v>
          </cell>
          <cell r="BW1276" t="str">
            <v>C.F.19.A</v>
          </cell>
        </row>
        <row r="1277">
          <cell r="C1277">
            <v>19.100000000000001</v>
          </cell>
          <cell r="F1277" t="str">
            <v/>
          </cell>
          <cell r="G1277" t="str">
            <v/>
          </cell>
          <cell r="N1277" t="str">
            <v/>
          </cell>
        </row>
        <row r="1278">
          <cell r="B1278" t="str">
            <v>3703CCA20</v>
          </cell>
          <cell r="D1278">
            <v>2391.1099999999988</v>
          </cell>
          <cell r="E1278">
            <v>32413.939000000017</v>
          </cell>
          <cell r="F1278" t="str">
            <v>-42002.45</v>
          </cell>
          <cell r="G1278" t="str">
            <v>163568.49</v>
          </cell>
          <cell r="H1278">
            <v>203</v>
          </cell>
          <cell r="I1278" t="str">
            <v>SE</v>
          </cell>
          <cell r="J1278" t="str">
            <v>2,8</v>
          </cell>
          <cell r="K1278" t="str">
            <v>Funicular</v>
          </cell>
          <cell r="L1278" t="str">
            <v>HEA 280</v>
          </cell>
          <cell r="M1278" t="str">
            <v>M4</v>
          </cell>
          <cell r="N1278" t="str">
            <v>B. Fun.</v>
          </cell>
          <cell r="O1278" t="str">
            <v>B.Fun.</v>
          </cell>
          <cell r="Q1278">
            <v>5.6</v>
          </cell>
          <cell r="R1278">
            <v>5.7814999999999994</v>
          </cell>
          <cell r="S1278">
            <v>-20</v>
          </cell>
          <cell r="T1278">
            <v>0</v>
          </cell>
          <cell r="Z1278" t="str">
            <v>3703CCA19</v>
          </cell>
          <cell r="AA1278" t="str">
            <v>HEA300</v>
          </cell>
          <cell r="AB1278" t="str">
            <v>3703CCA20</v>
          </cell>
          <cell r="AC1278" t="str">
            <v>HEA300</v>
          </cell>
          <cell r="AD1278" t="str">
            <v>2,8</v>
          </cell>
          <cell r="AE1278" t="str">
            <v>3,1</v>
          </cell>
          <cell r="AF1278">
            <v>2.8</v>
          </cell>
          <cell r="AG1278" t="str">
            <v>5,60</v>
          </cell>
          <cell r="AH1278" t="str">
            <v>5,60</v>
          </cell>
          <cell r="AI1278" t="str">
            <v>0,00</v>
          </cell>
          <cell r="AJ1278" t="str">
            <v>0,00</v>
          </cell>
          <cell r="AK1278">
            <v>6210</v>
          </cell>
          <cell r="AL1278">
            <v>5939</v>
          </cell>
          <cell r="AM1278">
            <v>2578</v>
          </cell>
          <cell r="AN1278">
            <v>2859</v>
          </cell>
          <cell r="AO1278">
            <v>1033</v>
          </cell>
          <cell r="AP1278" t="str">
            <v>20,00%</v>
          </cell>
          <cell r="AQ1278" t="str">
            <v>14,93%</v>
          </cell>
          <cell r="AR1278" t="str">
            <v>5,72</v>
          </cell>
          <cell r="AS1278" t="str">
            <v>5,72</v>
          </cell>
          <cell r="AT1278" t="str">
            <v>-0,20</v>
          </cell>
          <cell r="AU1278" t="str">
            <v>0,20</v>
          </cell>
          <cell r="AV1278">
            <v>6370</v>
          </cell>
          <cell r="AW1278">
            <v>6350</v>
          </cell>
          <cell r="AX1278">
            <v>2781</v>
          </cell>
          <cell r="AY1278" t="str">
            <v>0,980</v>
          </cell>
          <cell r="AZ1278">
            <v>2381</v>
          </cell>
          <cell r="BA1278" t="str">
            <v>14,45%</v>
          </cell>
          <cell r="BB1278" t="str">
            <v>14,45%</v>
          </cell>
          <cell r="BW1278" t="str">
            <v>C.F.19.B</v>
          </cell>
        </row>
        <row r="1279">
          <cell r="C1279">
            <v>20.2</v>
          </cell>
          <cell r="F1279" t="str">
            <v/>
          </cell>
          <cell r="G1279" t="str">
            <v/>
          </cell>
          <cell r="N1279" t="str">
            <v/>
          </cell>
          <cell r="U1279" t="str">
            <v>Cantón 983,7 m</v>
          </cell>
        </row>
        <row r="1280">
          <cell r="B1280" t="str">
            <v>3703CCA22</v>
          </cell>
          <cell r="D1280">
            <v>2411.3099999999986</v>
          </cell>
          <cell r="E1280">
            <v>32393.739000000016</v>
          </cell>
          <cell r="F1280" t="str">
            <v>-41984.22</v>
          </cell>
          <cell r="G1280" t="str">
            <v>163559.66</v>
          </cell>
          <cell r="H1280" t="str">
            <v>Clo</v>
          </cell>
          <cell r="I1280" t="str">
            <v>A/S-A/S</v>
          </cell>
          <cell r="J1280" t="str">
            <v>2,8</v>
          </cell>
          <cell r="K1280" t="str">
            <v>Funicular</v>
          </cell>
          <cell r="L1280" t="str">
            <v>HEM 320</v>
          </cell>
          <cell r="M1280" t="str">
            <v>M7</v>
          </cell>
          <cell r="N1280" t="str">
            <v>B. Fun.</v>
          </cell>
          <cell r="Q1280">
            <v>5.6</v>
          </cell>
          <cell r="R1280">
            <v>5.902099999999999</v>
          </cell>
          <cell r="S1280">
            <v>-10</v>
          </cell>
          <cell r="V1280" t="str">
            <v>Ancoraem 2HC</v>
          </cell>
          <cell r="W1280" t="str">
            <v>Ancoraem 1HC</v>
          </cell>
          <cell r="Z1280" t="str">
            <v>3703CCA21</v>
          </cell>
          <cell r="AA1280" t="str">
            <v>HEM 320</v>
          </cell>
          <cell r="AB1280" t="str">
            <v>3703CCA22</v>
          </cell>
          <cell r="AC1280" t="str">
            <v>HEM 320</v>
          </cell>
          <cell r="AD1280" t="str">
            <v>2,8</v>
          </cell>
          <cell r="AE1280" t="str">
            <v>3,1</v>
          </cell>
          <cell r="AF1280" t="str">
            <v>2,8</v>
          </cell>
          <cell r="AG1280" t="str">
            <v>5,60</v>
          </cell>
          <cell r="AH1280" t="str">
            <v>5,60</v>
          </cell>
          <cell r="AI1280" t="str">
            <v>0,20</v>
          </cell>
          <cell r="AJ1280" t="str">
            <v>-0,20</v>
          </cell>
          <cell r="AK1280">
            <v>6245</v>
          </cell>
          <cell r="AL1280">
            <v>5913</v>
          </cell>
          <cell r="AM1280">
            <v>2759</v>
          </cell>
          <cell r="AN1280">
            <v>2859</v>
          </cell>
          <cell r="AO1280" t="str">
            <v>0,668</v>
          </cell>
          <cell r="AP1280" t="str">
            <v>20,00%</v>
          </cell>
          <cell r="AQ1280" t="str">
            <v>15,48%</v>
          </cell>
          <cell r="AV1280" t="str">
            <v>5,90</v>
          </cell>
          <cell r="AW1280" t="str">
            <v>5,90</v>
          </cell>
          <cell r="BW1280" t="str">
            <v>C.F.7.B</v>
          </cell>
        </row>
        <row r="1281">
          <cell r="C1281">
            <v>20</v>
          </cell>
          <cell r="F1281" t="str">
            <v/>
          </cell>
          <cell r="G1281" t="str">
            <v/>
          </cell>
          <cell r="N1281" t="str">
            <v/>
          </cell>
        </row>
        <row r="1282">
          <cell r="B1282" t="str">
            <v>3703CCA24</v>
          </cell>
          <cell r="D1282">
            <v>2431.3099999999986</v>
          </cell>
          <cell r="E1282">
            <v>32373.739000000016</v>
          </cell>
          <cell r="F1282" t="str">
            <v>-41965.96</v>
          </cell>
          <cell r="G1282" t="str">
            <v>163551.49</v>
          </cell>
          <cell r="I1282" t="str">
            <v>Elev.</v>
          </cell>
          <cell r="J1282" t="str">
            <v>2,8</v>
          </cell>
          <cell r="K1282" t="str">
            <v>Funicular</v>
          </cell>
          <cell r="L1282" t="str">
            <v>HEA 240</v>
          </cell>
          <cell r="M1282" t="str">
            <v>M2</v>
          </cell>
          <cell r="N1282" t="str">
            <v>Delta</v>
          </cell>
          <cell r="O1282" t="str">
            <v>B.Fun.</v>
          </cell>
          <cell r="Q1282">
            <v>5.6</v>
          </cell>
          <cell r="S1282" t="str">
            <v>+20</v>
          </cell>
          <cell r="T1282">
            <v>0</v>
          </cell>
          <cell r="Z1282" t="str">
            <v>3703CCA23</v>
          </cell>
          <cell r="AA1282" t="str">
            <v>HEA240</v>
          </cell>
          <cell r="AB1282" t="str">
            <v>3703CCA24</v>
          </cell>
          <cell r="AC1282" t="str">
            <v>HEA240</v>
          </cell>
          <cell r="AD1282" t="str">
            <v>2,8</v>
          </cell>
          <cell r="AE1282" t="str">
            <v>3,1</v>
          </cell>
          <cell r="AF1282" t="str">
            <v>2,8</v>
          </cell>
          <cell r="AG1282" t="str">
            <v>5,60</v>
          </cell>
          <cell r="AH1282" t="str">
            <v>5,60</v>
          </cell>
          <cell r="AI1282" t="str">
            <v>0,10</v>
          </cell>
          <cell r="AJ1282" t="str">
            <v>0,20</v>
          </cell>
          <cell r="AK1282">
            <v>6148</v>
          </cell>
          <cell r="AL1282">
            <v>6194</v>
          </cell>
          <cell r="AM1282">
            <v>2349</v>
          </cell>
          <cell r="AN1282">
            <v>3250</v>
          </cell>
          <cell r="AO1282">
            <v>2602</v>
          </cell>
          <cell r="AP1282" t="str">
            <v>14,25%</v>
          </cell>
          <cell r="AQ1282" t="str">
            <v>14,25%</v>
          </cell>
          <cell r="AR1282" t="str">
            <v>5,70</v>
          </cell>
          <cell r="AS1282" t="str">
            <v>5,70</v>
          </cell>
          <cell r="AT1282" t="str">
            <v>0,30</v>
          </cell>
          <cell r="AU1282" t="str">
            <v>0,00</v>
          </cell>
          <cell r="AV1282" t="str">
            <v>6,27</v>
          </cell>
          <cell r="AW1282" t="str">
            <v>6,10</v>
          </cell>
          <cell r="AX1282">
            <v>2449</v>
          </cell>
          <cell r="AY1282">
            <v>1080</v>
          </cell>
          <cell r="AZ1282">
            <v>2802</v>
          </cell>
          <cell r="BA1282" t="str">
            <v>14,45%</v>
          </cell>
          <cell r="BB1282" t="str">
            <v>14,45%</v>
          </cell>
          <cell r="BW1282" t="str">
            <v>C.F.18.A</v>
          </cell>
        </row>
        <row r="1283">
          <cell r="C1283">
            <v>20</v>
          </cell>
          <cell r="F1283" t="str">
            <v/>
          </cell>
          <cell r="G1283" t="str">
            <v/>
          </cell>
          <cell r="N1283" t="str">
            <v/>
          </cell>
        </row>
        <row r="1284">
          <cell r="B1284" t="str">
            <v>3703CCA26</v>
          </cell>
          <cell r="D1284">
            <v>2451.3099999999986</v>
          </cell>
          <cell r="E1284">
            <v>32353.739000000016</v>
          </cell>
          <cell r="F1284" t="str">
            <v>-41947.71</v>
          </cell>
          <cell r="G1284" t="str">
            <v>163543.32</v>
          </cell>
          <cell r="I1284" t="str">
            <v>Elev.</v>
          </cell>
          <cell r="J1284" t="str">
            <v>2,8</v>
          </cell>
          <cell r="K1284" t="str">
            <v>Funicular</v>
          </cell>
          <cell r="L1284" t="str">
            <v>HEA 240</v>
          </cell>
          <cell r="M1284" t="str">
            <v>M2</v>
          </cell>
          <cell r="N1284" t="str">
            <v>Delta</v>
          </cell>
          <cell r="O1284" t="str">
            <v>B.Fun.</v>
          </cell>
          <cell r="Q1284">
            <v>5.6</v>
          </cell>
          <cell r="S1284">
            <v>0</v>
          </cell>
          <cell r="T1284">
            <v>-20</v>
          </cell>
          <cell r="Z1284" t="str">
            <v>3703CCA25</v>
          </cell>
          <cell r="AA1284" t="str">
            <v>HEA240</v>
          </cell>
          <cell r="AB1284" t="str">
            <v>3703CCA26</v>
          </cell>
          <cell r="AC1284" t="str">
            <v>HEA240</v>
          </cell>
          <cell r="AD1284" t="str">
            <v>2,8</v>
          </cell>
          <cell r="AE1284" t="str">
            <v>3,1</v>
          </cell>
          <cell r="AF1284" t="str">
            <v>2,8</v>
          </cell>
          <cell r="AG1284" t="str">
            <v>5,60</v>
          </cell>
          <cell r="AH1284" t="str">
            <v>5,60</v>
          </cell>
          <cell r="AI1284" t="str">
            <v>-0,20</v>
          </cell>
          <cell r="AJ1284" t="str">
            <v>-0,20</v>
          </cell>
          <cell r="AK1284">
            <v>6151</v>
          </cell>
          <cell r="AL1284">
            <v>6122</v>
          </cell>
          <cell r="AM1284">
            <v>2667</v>
          </cell>
          <cell r="AN1284">
            <v>3150</v>
          </cell>
          <cell r="AO1284">
            <v>2567</v>
          </cell>
          <cell r="AP1284" t="str">
            <v>12,75%</v>
          </cell>
          <cell r="AQ1284" t="str">
            <v>12,75%</v>
          </cell>
          <cell r="AR1284" t="str">
            <v>5,70</v>
          </cell>
          <cell r="AS1284" t="str">
            <v>5,63</v>
          </cell>
          <cell r="AT1284" t="str">
            <v>0,20</v>
          </cell>
          <cell r="AU1284" t="str">
            <v>-0,30</v>
          </cell>
          <cell r="AV1284">
            <v>6627</v>
          </cell>
          <cell r="AW1284">
            <v>6174</v>
          </cell>
          <cell r="AX1284">
            <v>5266</v>
          </cell>
          <cell r="AY1284">
            <v>3550</v>
          </cell>
          <cell r="AZ1284">
            <v>2245</v>
          </cell>
          <cell r="BA1284" t="str">
            <v>15,00%</v>
          </cell>
          <cell r="BB1284" t="str">
            <v>15,00%</v>
          </cell>
          <cell r="BW1284" t="str">
            <v>C.F.8.A</v>
          </cell>
        </row>
        <row r="1285">
          <cell r="C1285">
            <v>15.5</v>
          </cell>
          <cell r="F1285" t="str">
            <v/>
          </cell>
          <cell r="G1285" t="str">
            <v/>
          </cell>
          <cell r="N1285" t="str">
            <v/>
          </cell>
        </row>
        <row r="1286">
          <cell r="B1286" t="str">
            <v>3703CCA28</v>
          </cell>
          <cell r="D1286">
            <v>2466.8099999999986</v>
          </cell>
          <cell r="E1286">
            <v>32338.239000000016</v>
          </cell>
          <cell r="F1286" t="str">
            <v>-41933.55</v>
          </cell>
          <cell r="G1286" t="str">
            <v>163536.98</v>
          </cell>
          <cell r="I1286" t="str">
            <v>PA30</v>
          </cell>
          <cell r="J1286" t="str">
            <v>2,8</v>
          </cell>
          <cell r="K1286" t="str">
            <v>Funicular</v>
          </cell>
          <cell r="L1286" t="str">
            <v>HEA 240</v>
          </cell>
          <cell r="M1286" t="str">
            <v>M2</v>
          </cell>
          <cell r="N1286" t="str">
            <v>Delta</v>
          </cell>
          <cell r="O1286" t="str">
            <v>B.Fun.</v>
          </cell>
          <cell r="Q1286">
            <v>5.6</v>
          </cell>
          <cell r="S1286" t="str">
            <v>+20</v>
          </cell>
          <cell r="T1286" t="str">
            <v>+10</v>
          </cell>
          <cell r="Z1286" t="str">
            <v>3703CCA27</v>
          </cell>
          <cell r="AA1286" t="str">
            <v>HEA240</v>
          </cell>
          <cell r="AB1286" t="str">
            <v>3703CCA28</v>
          </cell>
          <cell r="AC1286" t="str">
            <v>HEA240</v>
          </cell>
          <cell r="AD1286">
            <v>2.8</v>
          </cell>
          <cell r="AE1286" t="str">
            <v>3,1</v>
          </cell>
          <cell r="AF1286" t="str">
            <v>2,8</v>
          </cell>
          <cell r="AG1286" t="str">
            <v>5,60</v>
          </cell>
          <cell r="AH1286" t="str">
            <v>5,60</v>
          </cell>
          <cell r="AI1286" t="str">
            <v>0,20</v>
          </cell>
          <cell r="AJ1286" t="str">
            <v>0,20</v>
          </cell>
          <cell r="AK1286">
            <v>6064</v>
          </cell>
          <cell r="AL1286">
            <v>6112</v>
          </cell>
          <cell r="AM1286">
            <v>2754</v>
          </cell>
          <cell r="AN1286">
            <v>3350</v>
          </cell>
          <cell r="AO1286">
            <v>3112</v>
          </cell>
          <cell r="AP1286" t="str">
            <v>14,25%</v>
          </cell>
          <cell r="AQ1286" t="str">
            <v>14,25%</v>
          </cell>
          <cell r="AR1286" t="str">
            <v>5,60</v>
          </cell>
          <cell r="AS1286" t="str">
            <v>5,60</v>
          </cell>
          <cell r="AT1286" t="str">
            <v>0,100</v>
          </cell>
          <cell r="AU1286" t="str">
            <v>-0,100</v>
          </cell>
          <cell r="AV1286">
            <v>6117</v>
          </cell>
          <cell r="AW1286">
            <v>6162</v>
          </cell>
          <cell r="AX1286">
            <v>2610</v>
          </cell>
          <cell r="AY1286" t="str">
            <v>0,980</v>
          </cell>
          <cell r="AZ1286">
            <v>2610</v>
          </cell>
          <cell r="BA1286" t="str">
            <v>17,06%</v>
          </cell>
          <cell r="BB1286" t="str">
            <v>17,06%</v>
          </cell>
          <cell r="BW1286" t="str">
            <v>C.F.18.B</v>
          </cell>
        </row>
        <row r="1287">
          <cell r="C1287">
            <v>8.0500000000000007</v>
          </cell>
          <cell r="F1287" t="str">
            <v/>
          </cell>
          <cell r="G1287" t="str">
            <v/>
          </cell>
          <cell r="N1287" t="str">
            <v/>
          </cell>
        </row>
        <row r="1288">
          <cell r="B1288" t="str">
            <v>3703CCA30</v>
          </cell>
          <cell r="D1288">
            <v>2474.8599999999988</v>
          </cell>
          <cell r="E1288">
            <v>32330.189000000017</v>
          </cell>
          <cell r="F1288" t="str">
            <v>-41926.20</v>
          </cell>
          <cell r="G1288" t="str">
            <v>163533.69</v>
          </cell>
          <cell r="I1288" t="str">
            <v>Aislad.</v>
          </cell>
          <cell r="J1288" t="str">
            <v>2,8</v>
          </cell>
          <cell r="K1288" t="str">
            <v>Funicular</v>
          </cell>
          <cell r="L1288" t="str">
            <v>HEA 240</v>
          </cell>
          <cell r="M1288" t="str">
            <v>M2</v>
          </cell>
          <cell r="V1288" t="str">
            <v>Aislador 1HC</v>
          </cell>
          <cell r="Z1288" t="str">
            <v>3703CCA29</v>
          </cell>
          <cell r="AA1288" t="str">
            <v>HEA240</v>
          </cell>
          <cell r="AB1288" t="str">
            <v>3703CCA30</v>
          </cell>
          <cell r="AC1288" t="str">
            <v>HEA240</v>
          </cell>
          <cell r="AD1288" t="str">
            <v>2,8</v>
          </cell>
          <cell r="AE1288" t="str">
            <v>3,1</v>
          </cell>
          <cell r="AF1288" t="str">
            <v>2,8</v>
          </cell>
          <cell r="AG1288" t="str">
            <v>5,60</v>
          </cell>
          <cell r="AK1288">
            <v>6200</v>
          </cell>
          <cell r="AL1288">
            <v>6200</v>
          </cell>
          <cell r="BD1288">
            <v>8710</v>
          </cell>
          <cell r="BW1288" t="str">
            <v>C.F.23</v>
          </cell>
        </row>
        <row r="1289">
          <cell r="C1289">
            <v>8.0500000000000007</v>
          </cell>
          <cell r="F1289" t="str">
            <v/>
          </cell>
          <cell r="G1289" t="str">
            <v/>
          </cell>
          <cell r="N1289" t="str">
            <v/>
          </cell>
        </row>
        <row r="1290">
          <cell r="B1290" t="str">
            <v>3703CCA32</v>
          </cell>
          <cell r="D1290">
            <v>2482.9099999999989</v>
          </cell>
          <cell r="E1290">
            <v>32322.139000000017</v>
          </cell>
          <cell r="F1290" t="str">
            <v>-41918.88</v>
          </cell>
          <cell r="G1290" t="str">
            <v>163530.33</v>
          </cell>
          <cell r="I1290" t="str">
            <v>PA30</v>
          </cell>
          <cell r="J1290" t="str">
            <v>2,8</v>
          </cell>
          <cell r="K1290" t="str">
            <v>Funicular</v>
          </cell>
          <cell r="L1290" t="str">
            <v>HEA 240</v>
          </cell>
          <cell r="M1290" t="str">
            <v>M2</v>
          </cell>
          <cell r="N1290" t="str">
            <v>Delta</v>
          </cell>
          <cell r="O1290" t="str">
            <v>B.Fun.</v>
          </cell>
          <cell r="Q1290">
            <v>5.6</v>
          </cell>
          <cell r="S1290">
            <v>-20</v>
          </cell>
          <cell r="T1290">
            <v>-10</v>
          </cell>
          <cell r="Z1290" t="str">
            <v>3703CCA31</v>
          </cell>
          <cell r="AA1290" t="str">
            <v>HEA240</v>
          </cell>
          <cell r="AB1290" t="str">
            <v>3703CCA32</v>
          </cell>
          <cell r="AC1290" t="str">
            <v>HEA240</v>
          </cell>
          <cell r="AD1290" t="str">
            <v>2,8</v>
          </cell>
          <cell r="AE1290" t="str">
            <v>3,2</v>
          </cell>
          <cell r="AF1290" t="str">
            <v>2,8</v>
          </cell>
          <cell r="AG1290" t="str">
            <v>5,60</v>
          </cell>
          <cell r="AH1290" t="str">
            <v>5,60</v>
          </cell>
          <cell r="AI1290" t="str">
            <v>0,20</v>
          </cell>
          <cell r="AJ1290" t="str">
            <v>0,20</v>
          </cell>
          <cell r="AK1290">
            <v>6165</v>
          </cell>
          <cell r="AL1290">
            <v>6162</v>
          </cell>
          <cell r="AM1290">
            <v>2669</v>
          </cell>
          <cell r="AN1290">
            <v>2950</v>
          </cell>
          <cell r="AO1290">
            <v>2574</v>
          </cell>
          <cell r="AP1290" t="str">
            <v>13,25%</v>
          </cell>
          <cell r="AQ1290" t="str">
            <v>13,25%</v>
          </cell>
          <cell r="AR1290" t="str">
            <v>5,60</v>
          </cell>
          <cell r="AS1290" t="str">
            <v>5,60</v>
          </cell>
          <cell r="AT1290" t="str">
            <v>0,10</v>
          </cell>
          <cell r="AU1290" t="str">
            <v>0,10</v>
          </cell>
          <cell r="AV1290">
            <v>6080</v>
          </cell>
          <cell r="AW1290">
            <v>6080</v>
          </cell>
          <cell r="AX1290">
            <v>2117</v>
          </cell>
          <cell r="AY1290" t="str">
            <v>0,980</v>
          </cell>
          <cell r="AZ1290">
            <v>2117</v>
          </cell>
          <cell r="BA1290" t="str">
            <v>14,45%</v>
          </cell>
          <cell r="BB1290" t="str">
            <v>14,45%</v>
          </cell>
          <cell r="BW1290" t="str">
            <v>C.F.17</v>
          </cell>
        </row>
        <row r="1291">
          <cell r="C1291">
            <v>21</v>
          </cell>
          <cell r="F1291" t="str">
            <v/>
          </cell>
          <cell r="G1291" t="str">
            <v/>
          </cell>
          <cell r="N1291" t="str">
            <v/>
          </cell>
          <cell r="X1291" t="str">
            <v>1PEAD D110mm ou 2PEAD D63mm+ 1PEAD 32mm</v>
          </cell>
        </row>
        <row r="1292">
          <cell r="B1292" t="str">
            <v>3703CCA34</v>
          </cell>
          <cell r="D1292">
            <v>2503.9099999999989</v>
          </cell>
          <cell r="E1292">
            <v>32301.139000000017</v>
          </cell>
          <cell r="F1292" t="str">
            <v>-41899.72</v>
          </cell>
          <cell r="G1292" t="str">
            <v>163521.74</v>
          </cell>
          <cell r="I1292" t="str">
            <v>Elev.</v>
          </cell>
          <cell r="J1292" t="str">
            <v>2,8</v>
          </cell>
          <cell r="K1292" t="str">
            <v>Funicular</v>
          </cell>
          <cell r="L1292" t="str">
            <v>HEA 240</v>
          </cell>
          <cell r="M1292" t="str">
            <v>M2</v>
          </cell>
          <cell r="N1292" t="str">
            <v>Delta</v>
          </cell>
          <cell r="O1292" t="str">
            <v>B.Fun.</v>
          </cell>
          <cell r="Q1292">
            <v>5.6</v>
          </cell>
          <cell r="S1292" t="str">
            <v>+5</v>
          </cell>
          <cell r="T1292" t="str">
            <v>+20</v>
          </cell>
          <cell r="X1292" t="str">
            <v>FR</v>
          </cell>
          <cell r="Z1292" t="str">
            <v>3703CCA33</v>
          </cell>
          <cell r="AA1292" t="str">
            <v>HEA240</v>
          </cell>
          <cell r="AB1292" t="str">
            <v>3703CCA34</v>
          </cell>
          <cell r="AC1292" t="str">
            <v>HEA240</v>
          </cell>
          <cell r="AD1292" t="str">
            <v>2,8</v>
          </cell>
          <cell r="AE1292" t="str">
            <v>3,1</v>
          </cell>
          <cell r="AF1292" t="str">
            <v>2,8</v>
          </cell>
          <cell r="AG1292" t="str">
            <v>5,60</v>
          </cell>
          <cell r="AH1292" t="str">
            <v>5,60</v>
          </cell>
          <cell r="AI1292" t="str">
            <v>0,05</v>
          </cell>
          <cell r="AJ1292" t="str">
            <v>-0,05</v>
          </cell>
          <cell r="AK1292">
            <v>6199</v>
          </cell>
          <cell r="AL1292">
            <v>6202</v>
          </cell>
          <cell r="AM1292">
            <v>2407</v>
          </cell>
          <cell r="AN1292">
            <v>3450</v>
          </cell>
          <cell r="AO1292">
            <v>2360</v>
          </cell>
          <cell r="AP1292" t="str">
            <v>15,91%</v>
          </cell>
          <cell r="AQ1292" t="str">
            <v>15,91%</v>
          </cell>
          <cell r="AR1292" t="str">
            <v>5,70</v>
          </cell>
          <cell r="AS1292" t="str">
            <v>5,70%</v>
          </cell>
          <cell r="AT1292" t="str">
            <v>0,20</v>
          </cell>
          <cell r="AU1292" t="str">
            <v>-0,20</v>
          </cell>
          <cell r="AV1292">
            <v>6274</v>
          </cell>
          <cell r="AW1292">
            <v>6277</v>
          </cell>
          <cell r="AX1292">
            <v>2255</v>
          </cell>
          <cell r="AY1292">
            <v>4219</v>
          </cell>
          <cell r="AZ1292" t="str">
            <v>0,996</v>
          </cell>
          <cell r="BA1292" t="str">
            <v>15,91%</v>
          </cell>
          <cell r="BB1292" t="str">
            <v>15,91%</v>
          </cell>
          <cell r="BW1292" t="str">
            <v>C.F.20.B</v>
          </cell>
        </row>
        <row r="1293">
          <cell r="C1293">
            <v>24</v>
          </cell>
          <cell r="F1293" t="str">
            <v/>
          </cell>
          <cell r="G1293" t="str">
            <v/>
          </cell>
          <cell r="N1293" t="str">
            <v/>
          </cell>
          <cell r="X1293" t="str">
            <v>1PEAD D110mm ou 2PEAD D63mm</v>
          </cell>
        </row>
        <row r="1294">
          <cell r="B1294" t="str">
            <v>3703CCA36</v>
          </cell>
          <cell r="D1294">
            <v>2527.9099999999989</v>
          </cell>
          <cell r="E1294">
            <v>32277.139000000017</v>
          </cell>
          <cell r="I1294" t="str">
            <v>A/S-A/S</v>
          </cell>
          <cell r="J1294" t="str">
            <v>-</v>
          </cell>
          <cell r="K1294" t="str">
            <v>Cons. Dob.</v>
          </cell>
          <cell r="M1294" t="str">
            <v>-</v>
          </cell>
          <cell r="N1294" t="str">
            <v>C3- C.L.</v>
          </cell>
          <cell r="P1294">
            <v>6</v>
          </cell>
          <cell r="Q1294">
            <v>5.6</v>
          </cell>
          <cell r="S1294" t="str">
            <v>+20</v>
          </cell>
        </row>
        <row r="1295">
          <cell r="C1295">
            <v>23.2</v>
          </cell>
          <cell r="N1295" t="str">
            <v/>
          </cell>
        </row>
        <row r="1296">
          <cell r="B1296" t="str">
            <v>3703CCA38</v>
          </cell>
          <cell r="D1296">
            <v>2551.1099999999988</v>
          </cell>
          <cell r="E1296">
            <v>32253.939000000017</v>
          </cell>
          <cell r="I1296" t="str">
            <v>S</v>
          </cell>
          <cell r="J1296" t="str">
            <v>-</v>
          </cell>
          <cell r="K1296" t="str">
            <v>Cons. Dob.</v>
          </cell>
          <cell r="M1296" t="str">
            <v>-</v>
          </cell>
          <cell r="N1296" t="str">
            <v>C3- C.L.</v>
          </cell>
          <cell r="P1296">
            <v>7.2</v>
          </cell>
          <cell r="Q1296">
            <v>5.6</v>
          </cell>
          <cell r="S1296">
            <v>-20</v>
          </cell>
        </row>
        <row r="1297">
          <cell r="C1297">
            <v>20.100000000000001</v>
          </cell>
          <cell r="N1297" t="str">
            <v/>
          </cell>
        </row>
        <row r="1298">
          <cell r="B1298" t="str">
            <v>3703CCA40</v>
          </cell>
          <cell r="D1298">
            <v>2571.2099999999987</v>
          </cell>
          <cell r="E1298">
            <v>32233.839000000018</v>
          </cell>
          <cell r="I1298" t="str">
            <v>S</v>
          </cell>
          <cell r="J1298" t="str">
            <v>-</v>
          </cell>
          <cell r="K1298" t="str">
            <v>Cons. Dob.</v>
          </cell>
          <cell r="M1298" t="str">
            <v>-</v>
          </cell>
          <cell r="N1298" t="str">
            <v>C3- C.L.</v>
          </cell>
          <cell r="P1298">
            <v>6</v>
          </cell>
          <cell r="Q1298">
            <v>5.6</v>
          </cell>
          <cell r="S1298" t="str">
            <v>+20</v>
          </cell>
        </row>
        <row r="1299">
          <cell r="B1299" t="str">
            <v>Inic. Viaduto A1</v>
          </cell>
          <cell r="C1299">
            <v>19.8</v>
          </cell>
          <cell r="N1299" t="str">
            <v/>
          </cell>
        </row>
        <row r="1300">
          <cell r="B1300" t="str">
            <v>3703CCA42</v>
          </cell>
          <cell r="D1300">
            <v>2591.0099999999989</v>
          </cell>
          <cell r="E1300">
            <v>32214.039000000019</v>
          </cell>
          <cell r="H1300" t="str">
            <v>Clo</v>
          </cell>
          <cell r="I1300" t="str">
            <v>S</v>
          </cell>
          <cell r="J1300" t="str">
            <v>-</v>
          </cell>
          <cell r="K1300" t="str">
            <v>Cons. Dob.</v>
          </cell>
          <cell r="M1300" t="str">
            <v>-</v>
          </cell>
          <cell r="N1300" t="str">
            <v>C3- C.L.</v>
          </cell>
          <cell r="P1300">
            <v>6</v>
          </cell>
          <cell r="Q1300">
            <v>5.6</v>
          </cell>
          <cell r="S1300" t="str">
            <v>+20</v>
          </cell>
        </row>
        <row r="1301">
          <cell r="C1301">
            <v>19.899999999999999</v>
          </cell>
          <cell r="N1301" t="str">
            <v/>
          </cell>
        </row>
        <row r="1302">
          <cell r="B1302" t="str">
            <v>3703CCA44</v>
          </cell>
          <cell r="D1302">
            <v>2610.9099999999989</v>
          </cell>
          <cell r="E1302">
            <v>32194.139000000017</v>
          </cell>
          <cell r="H1302" t="str">
            <v>Clo</v>
          </cell>
          <cell r="I1302" t="str">
            <v>S</v>
          </cell>
          <cell r="J1302" t="str">
            <v>-</v>
          </cell>
          <cell r="K1302" t="str">
            <v>Cons. Dob.</v>
          </cell>
          <cell r="M1302" t="str">
            <v>-</v>
          </cell>
          <cell r="N1302" t="str">
            <v>C3- C.L.</v>
          </cell>
          <cell r="P1302">
            <v>6</v>
          </cell>
          <cell r="Q1302">
            <v>5.6</v>
          </cell>
          <cell r="S1302" t="str">
            <v>+20</v>
          </cell>
        </row>
        <row r="1303">
          <cell r="C1303">
            <v>20.2</v>
          </cell>
          <cell r="N1303" t="str">
            <v/>
          </cell>
        </row>
        <row r="1304">
          <cell r="B1304" t="str">
            <v>3703CCA46</v>
          </cell>
          <cell r="D1304">
            <v>2631.1099999999988</v>
          </cell>
          <cell r="E1304">
            <v>32173.939000000017</v>
          </cell>
          <cell r="H1304">
            <v>-310</v>
          </cell>
          <cell r="I1304" t="str">
            <v>S</v>
          </cell>
          <cell r="J1304" t="str">
            <v>-</v>
          </cell>
          <cell r="K1304" t="str">
            <v>Cons. Dob.</v>
          </cell>
          <cell r="M1304" t="str">
            <v>-</v>
          </cell>
          <cell r="N1304" t="str">
            <v>C3- C.L.</v>
          </cell>
          <cell r="P1304">
            <v>6</v>
          </cell>
          <cell r="Q1304">
            <v>5.6</v>
          </cell>
          <cell r="S1304" t="str">
            <v>+20</v>
          </cell>
        </row>
        <row r="1305">
          <cell r="C1305">
            <v>20</v>
          </cell>
          <cell r="N1305" t="str">
            <v/>
          </cell>
        </row>
        <row r="1306">
          <cell r="B1306" t="str">
            <v>3703CCA48</v>
          </cell>
          <cell r="D1306">
            <v>2651.1099999999988</v>
          </cell>
          <cell r="E1306">
            <v>32153.939000000017</v>
          </cell>
          <cell r="H1306">
            <v>-310</v>
          </cell>
          <cell r="I1306" t="str">
            <v>S</v>
          </cell>
          <cell r="J1306" t="str">
            <v>-</v>
          </cell>
          <cell r="K1306" t="str">
            <v>Cons. Dob.</v>
          </cell>
          <cell r="M1306" t="str">
            <v>-</v>
          </cell>
          <cell r="N1306" t="str">
            <v>C3- C.L.</v>
          </cell>
          <cell r="P1306">
            <v>6</v>
          </cell>
          <cell r="Q1306">
            <v>5.6</v>
          </cell>
          <cell r="S1306" t="str">
            <v>+20</v>
          </cell>
        </row>
        <row r="1307">
          <cell r="C1307">
            <v>19.5</v>
          </cell>
          <cell r="N1307" t="str">
            <v/>
          </cell>
        </row>
        <row r="1308">
          <cell r="B1308" t="str">
            <v>3703CCA50</v>
          </cell>
          <cell r="D1308">
            <v>2670.6099999999988</v>
          </cell>
          <cell r="E1308">
            <v>32134.439000000017</v>
          </cell>
          <cell r="H1308">
            <v>-310</v>
          </cell>
          <cell r="I1308" t="str">
            <v>S</v>
          </cell>
          <cell r="J1308" t="str">
            <v>-</v>
          </cell>
          <cell r="K1308" t="str">
            <v>Cons. Dob.</v>
          </cell>
          <cell r="M1308" t="str">
            <v>-</v>
          </cell>
          <cell r="N1308" t="str">
            <v>C3- C.L.</v>
          </cell>
          <cell r="P1308">
            <v>6</v>
          </cell>
          <cell r="Q1308">
            <v>5.6</v>
          </cell>
          <cell r="S1308" t="str">
            <v>+20</v>
          </cell>
        </row>
        <row r="1309">
          <cell r="C1309">
            <v>19.600000000000001</v>
          </cell>
          <cell r="N1309" t="str">
            <v/>
          </cell>
        </row>
        <row r="1310">
          <cell r="B1310" t="str">
            <v>3703CCA52</v>
          </cell>
          <cell r="D1310">
            <v>2690.2099999999987</v>
          </cell>
          <cell r="E1310">
            <v>32114.839000000018</v>
          </cell>
          <cell r="H1310">
            <v>-310</v>
          </cell>
          <cell r="I1310" t="str">
            <v>S</v>
          </cell>
          <cell r="J1310" t="str">
            <v>-</v>
          </cell>
          <cell r="K1310" t="str">
            <v>Cons. Dob.</v>
          </cell>
          <cell r="M1310" t="str">
            <v>-</v>
          </cell>
          <cell r="N1310" t="str">
            <v>C3- C.L.</v>
          </cell>
          <cell r="P1310">
            <v>6</v>
          </cell>
          <cell r="Q1310">
            <v>5.6</v>
          </cell>
          <cell r="S1310" t="str">
            <v>+20</v>
          </cell>
        </row>
        <row r="1311">
          <cell r="C1311">
            <v>20.3</v>
          </cell>
          <cell r="N1311" t="str">
            <v/>
          </cell>
        </row>
        <row r="1312">
          <cell r="B1312" t="str">
            <v>3703CCA54</v>
          </cell>
          <cell r="D1312">
            <v>2710.5099999999989</v>
          </cell>
          <cell r="E1312">
            <v>32094.539000000019</v>
          </cell>
          <cell r="H1312">
            <v>-310</v>
          </cell>
          <cell r="I1312" t="str">
            <v>S</v>
          </cell>
          <cell r="J1312" t="str">
            <v>-</v>
          </cell>
          <cell r="K1312" t="str">
            <v>Cons. Dob.</v>
          </cell>
          <cell r="M1312" t="str">
            <v>-</v>
          </cell>
          <cell r="N1312" t="str">
            <v>C3- C.L.</v>
          </cell>
          <cell r="P1312">
            <v>6</v>
          </cell>
          <cell r="Q1312">
            <v>5.6</v>
          </cell>
          <cell r="S1312" t="str">
            <v>+20</v>
          </cell>
        </row>
        <row r="1313">
          <cell r="C1313">
            <v>19.899999999999999</v>
          </cell>
          <cell r="N1313" t="str">
            <v/>
          </cell>
        </row>
        <row r="1314">
          <cell r="B1314" t="str">
            <v>3703CCA56</v>
          </cell>
          <cell r="D1314">
            <v>2730.4099999999989</v>
          </cell>
          <cell r="E1314">
            <v>32074.639000000017</v>
          </cell>
          <cell r="H1314">
            <v>-310</v>
          </cell>
          <cell r="I1314" t="str">
            <v>S</v>
          </cell>
          <cell r="J1314" t="str">
            <v>-</v>
          </cell>
          <cell r="K1314" t="str">
            <v>Cons. Dob.</v>
          </cell>
          <cell r="M1314" t="str">
            <v>-</v>
          </cell>
          <cell r="N1314" t="str">
            <v>C3- C.L.</v>
          </cell>
          <cell r="P1314">
            <v>6</v>
          </cell>
          <cell r="Q1314">
            <v>5.6</v>
          </cell>
          <cell r="S1314" t="str">
            <v>+20</v>
          </cell>
        </row>
        <row r="1315">
          <cell r="C1315">
            <v>19.600000000000001</v>
          </cell>
          <cell r="N1315" t="str">
            <v/>
          </cell>
        </row>
        <row r="1316">
          <cell r="B1316" t="str">
            <v>3703CCA58</v>
          </cell>
          <cell r="D1316">
            <v>2750.0099999999989</v>
          </cell>
          <cell r="E1316">
            <v>32055.039000000019</v>
          </cell>
          <cell r="H1316">
            <v>-310</v>
          </cell>
          <cell r="I1316" t="str">
            <v>S</v>
          </cell>
          <cell r="J1316" t="str">
            <v>-</v>
          </cell>
          <cell r="K1316" t="str">
            <v>Cons. Dob.</v>
          </cell>
          <cell r="M1316" t="str">
            <v>-</v>
          </cell>
          <cell r="N1316" t="str">
            <v>C3- C.L.</v>
          </cell>
          <cell r="P1316">
            <v>6</v>
          </cell>
          <cell r="Q1316">
            <v>5.6</v>
          </cell>
          <cell r="S1316" t="str">
            <v>+20</v>
          </cell>
        </row>
        <row r="1317">
          <cell r="C1317">
            <v>20.100000000000001</v>
          </cell>
          <cell r="N1317" t="str">
            <v/>
          </cell>
        </row>
        <row r="1318">
          <cell r="B1318" t="str">
            <v>3703CCA60</v>
          </cell>
          <cell r="D1318">
            <v>2770.1099999999988</v>
          </cell>
          <cell r="E1318">
            <v>32034.93900000002</v>
          </cell>
          <cell r="H1318">
            <v>-310</v>
          </cell>
          <cell r="I1318" t="str">
            <v>S</v>
          </cell>
          <cell r="J1318" t="str">
            <v>-</v>
          </cell>
          <cell r="K1318" t="str">
            <v>Cons. Dob.</v>
          </cell>
          <cell r="M1318" t="str">
            <v>-</v>
          </cell>
          <cell r="N1318" t="str">
            <v>C3- C.L.</v>
          </cell>
          <cell r="P1318">
            <v>6</v>
          </cell>
          <cell r="Q1318">
            <v>5.6</v>
          </cell>
          <cell r="S1318" t="str">
            <v>+20</v>
          </cell>
        </row>
        <row r="1319">
          <cell r="B1319" t="str">
            <v>Fin. Viaduto A1</v>
          </cell>
          <cell r="C1319">
            <v>20.100000000000001</v>
          </cell>
          <cell r="N1319" t="str">
            <v/>
          </cell>
        </row>
        <row r="1320">
          <cell r="B1320" t="str">
            <v>3703CCA62</v>
          </cell>
          <cell r="D1320">
            <v>2790.2099999999987</v>
          </cell>
          <cell r="E1320">
            <v>32014.839000000022</v>
          </cell>
          <cell r="H1320">
            <v>-310</v>
          </cell>
          <cell r="I1320" t="str">
            <v>S</v>
          </cell>
          <cell r="J1320" t="str">
            <v>-</v>
          </cell>
          <cell r="K1320" t="str">
            <v>Cons. Dob.</v>
          </cell>
          <cell r="M1320" t="str">
            <v>-</v>
          </cell>
          <cell r="N1320" t="str">
            <v>C3- C.L.</v>
          </cell>
          <cell r="P1320">
            <v>6</v>
          </cell>
          <cell r="Q1320">
            <v>5.6</v>
          </cell>
          <cell r="S1320" t="str">
            <v>+20</v>
          </cell>
        </row>
        <row r="1321">
          <cell r="C1321">
            <v>19.899999999999999</v>
          </cell>
          <cell r="N1321" t="str">
            <v/>
          </cell>
        </row>
        <row r="1322">
          <cell r="B1322" t="str">
            <v>3703CCA64</v>
          </cell>
          <cell r="D1322">
            <v>2810.1099999999988</v>
          </cell>
          <cell r="E1322">
            <v>31994.93900000002</v>
          </cell>
          <cell r="H1322">
            <v>-310</v>
          </cell>
          <cell r="I1322" t="str">
            <v>S</v>
          </cell>
          <cell r="J1322" t="str">
            <v>-</v>
          </cell>
          <cell r="K1322" t="str">
            <v>Cons. Dob.</v>
          </cell>
          <cell r="M1322" t="str">
            <v>-</v>
          </cell>
          <cell r="N1322" t="str">
            <v>C3- C.L.</v>
          </cell>
          <cell r="P1322">
            <v>6</v>
          </cell>
          <cell r="Q1322">
            <v>5.6</v>
          </cell>
          <cell r="S1322" t="str">
            <v>+20</v>
          </cell>
        </row>
        <row r="1323">
          <cell r="C1323">
            <v>20</v>
          </cell>
          <cell r="N1323" t="str">
            <v/>
          </cell>
        </row>
        <row r="1324">
          <cell r="B1324" t="str">
            <v>3703CCA66</v>
          </cell>
          <cell r="D1324">
            <v>2830.1099999999988</v>
          </cell>
          <cell r="E1324">
            <v>31974.93900000002</v>
          </cell>
          <cell r="H1324">
            <v>-310</v>
          </cell>
          <cell r="I1324" t="str">
            <v>S</v>
          </cell>
          <cell r="J1324" t="str">
            <v>-</v>
          </cell>
          <cell r="K1324" t="str">
            <v>Cons. Dob.</v>
          </cell>
          <cell r="M1324" t="str">
            <v>-</v>
          </cell>
          <cell r="N1324" t="str">
            <v>C3- C.L.</v>
          </cell>
          <cell r="P1324">
            <v>6</v>
          </cell>
          <cell r="Q1324">
            <v>5.6</v>
          </cell>
          <cell r="S1324" t="str">
            <v>+20</v>
          </cell>
        </row>
        <row r="1325">
          <cell r="C1325">
            <v>19.899999999999999</v>
          </cell>
          <cell r="N1325" t="str">
            <v/>
          </cell>
          <cell r="X1325" t="str">
            <v>1PEAD D110mm ou 2PEAD D63mm+ 1PEAD 32mm</v>
          </cell>
        </row>
        <row r="1326">
          <cell r="B1326" t="str">
            <v>3703CCA68</v>
          </cell>
          <cell r="D1326">
            <v>2850.0099999999989</v>
          </cell>
          <cell r="E1326">
            <v>31955.039000000019</v>
          </cell>
          <cell r="F1326" t="str">
            <v>-41648.28</v>
          </cell>
          <cell r="G1326" t="str">
            <v>163305.29</v>
          </cell>
          <cell r="H1326">
            <v>-310</v>
          </cell>
          <cell r="I1326" t="str">
            <v>S</v>
          </cell>
          <cell r="J1326" t="str">
            <v>2,95</v>
          </cell>
          <cell r="K1326" t="str">
            <v>Funicular</v>
          </cell>
          <cell r="L1326" t="str">
            <v>HEA 240</v>
          </cell>
          <cell r="M1326" t="str">
            <v>M2</v>
          </cell>
          <cell r="N1326" t="str">
            <v>B. Fun.</v>
          </cell>
          <cell r="Q1326">
            <v>5.6</v>
          </cell>
          <cell r="S1326" t="str">
            <v>+20</v>
          </cell>
          <cell r="X1326" t="str">
            <v>FR</v>
          </cell>
          <cell r="Z1326" t="str">
            <v>3703CCA67</v>
          </cell>
          <cell r="AA1326" t="str">
            <v>HEA240</v>
          </cell>
          <cell r="AB1326" t="str">
            <v>3703CCA68</v>
          </cell>
          <cell r="AC1326" t="str">
            <v>HEA240</v>
          </cell>
          <cell r="AD1326" t="str">
            <v>3,4</v>
          </cell>
          <cell r="AE1326" t="str">
            <v>3,1</v>
          </cell>
          <cell r="AF1326" t="str">
            <v>3,4</v>
          </cell>
          <cell r="AG1326" t="str">
            <v>5,60</v>
          </cell>
          <cell r="AH1326" t="str">
            <v>5,60</v>
          </cell>
          <cell r="AI1326" t="str">
            <v>0,20</v>
          </cell>
          <cell r="AJ1326" t="str">
            <v>0,20</v>
          </cell>
          <cell r="AK1326">
            <v>5982</v>
          </cell>
          <cell r="AL1326">
            <v>6376</v>
          </cell>
          <cell r="AM1326">
            <v>1468</v>
          </cell>
          <cell r="AN1326">
            <v>2859</v>
          </cell>
          <cell r="AO1326">
            <v>3373</v>
          </cell>
          <cell r="AP1326" t="str">
            <v>13,85%</v>
          </cell>
          <cell r="AQ1326" t="str">
            <v>20,00%</v>
          </cell>
          <cell r="AV1326">
            <v>6282</v>
          </cell>
          <cell r="AW1326">
            <v>6676</v>
          </cell>
          <cell r="BW1326" t="str">
            <v>C.F.4.A</v>
          </cell>
        </row>
        <row r="1327">
          <cell r="C1327">
            <v>19.899999999999999</v>
          </cell>
          <cell r="F1327" t="str">
            <v/>
          </cell>
          <cell r="G1327" t="str">
            <v/>
          </cell>
          <cell r="N1327" t="str">
            <v/>
          </cell>
          <cell r="X1327" t="str">
            <v>1PEAD D110mm ou 2PEAD D63mm</v>
          </cell>
        </row>
        <row r="1328">
          <cell r="B1328" t="str">
            <v>3703CCA70</v>
          </cell>
          <cell r="D1328">
            <v>2869.9099999999989</v>
          </cell>
          <cell r="E1328">
            <v>31935.139000000017</v>
          </cell>
          <cell r="F1328" t="str">
            <v>-41642.69</v>
          </cell>
          <cell r="G1328" t="str">
            <v>163286.42</v>
          </cell>
          <cell r="H1328" t="str">
            <v>Clo</v>
          </cell>
          <cell r="I1328" t="str">
            <v>S</v>
          </cell>
          <cell r="J1328" t="str">
            <v>3,4</v>
          </cell>
          <cell r="K1328" t="str">
            <v>Funicular</v>
          </cell>
          <cell r="L1328" t="str">
            <v>HEA 240</v>
          </cell>
          <cell r="M1328" t="str">
            <v>M2</v>
          </cell>
          <cell r="N1328" t="str">
            <v>B. Fun.</v>
          </cell>
          <cell r="Q1328">
            <v>5.6</v>
          </cell>
          <cell r="S1328" t="str">
            <v>+20</v>
          </cell>
          <cell r="Z1328" t="str">
            <v>3703CCA69</v>
          </cell>
          <cell r="AA1328" t="str">
            <v>HEA240</v>
          </cell>
          <cell r="AB1328" t="str">
            <v>3703CCA70</v>
          </cell>
          <cell r="AC1328" t="str">
            <v>HEA240</v>
          </cell>
          <cell r="AD1328" t="str">
            <v>3,4</v>
          </cell>
          <cell r="AE1328" t="str">
            <v>3,1</v>
          </cell>
          <cell r="AF1328" t="str">
            <v>3,4</v>
          </cell>
          <cell r="AG1328" t="str">
            <v>5,60</v>
          </cell>
          <cell r="AH1328" t="str">
            <v>5,60</v>
          </cell>
          <cell r="AI1328" t="str">
            <v>0,20</v>
          </cell>
          <cell r="AJ1328" t="str">
            <v>0,20</v>
          </cell>
          <cell r="AK1328">
            <v>5979</v>
          </cell>
          <cell r="AL1328">
            <v>6376</v>
          </cell>
          <cell r="AM1328">
            <v>1467</v>
          </cell>
          <cell r="AN1328">
            <v>2859</v>
          </cell>
          <cell r="AO1328">
            <v>3373</v>
          </cell>
          <cell r="AP1328" t="str">
            <v>13,71%</v>
          </cell>
          <cell r="AQ1328" t="str">
            <v>20,00%</v>
          </cell>
          <cell r="BW1328" t="str">
            <v>C.F.4.A</v>
          </cell>
        </row>
        <row r="1329">
          <cell r="C1329">
            <v>18.899999999999999</v>
          </cell>
          <cell r="F1329" t="str">
            <v/>
          </cell>
          <cell r="G1329" t="str">
            <v/>
          </cell>
          <cell r="N1329" t="str">
            <v/>
          </cell>
        </row>
        <row r="1330">
          <cell r="B1330" t="str">
            <v>3703CCA72</v>
          </cell>
          <cell r="D1330">
            <v>2888.809999999999</v>
          </cell>
          <cell r="E1330">
            <v>31916.239000000016</v>
          </cell>
          <cell r="F1330" t="str">
            <v>-41637.78</v>
          </cell>
          <cell r="G1330" t="str">
            <v>163268,23</v>
          </cell>
          <cell r="I1330" t="str">
            <v>S</v>
          </cell>
          <cell r="J1330" t="str">
            <v>3,35</v>
          </cell>
          <cell r="K1330" t="str">
            <v>Funicular</v>
          </cell>
          <cell r="L1330" t="str">
            <v>HEA 240</v>
          </cell>
          <cell r="M1330" t="str">
            <v>M2</v>
          </cell>
          <cell r="N1330" t="str">
            <v>Delta</v>
          </cell>
          <cell r="Q1330">
            <v>5.6</v>
          </cell>
          <cell r="S1330">
            <v>-20</v>
          </cell>
          <cell r="Z1330" t="str">
            <v>3703CCA71</v>
          </cell>
          <cell r="AA1330" t="str">
            <v>HEA240</v>
          </cell>
          <cell r="AB1330" t="str">
            <v>3703CCA72</v>
          </cell>
          <cell r="AC1330" t="str">
            <v>HEA240</v>
          </cell>
          <cell r="AD1330" t="str">
            <v>3,55</v>
          </cell>
          <cell r="AE1330" t="str">
            <v>3,1</v>
          </cell>
          <cell r="AF1330" t="str">
            <v>3,35</v>
          </cell>
          <cell r="AG1330" t="str">
            <v>5,60</v>
          </cell>
          <cell r="AH1330" t="str">
            <v>5,60</v>
          </cell>
          <cell r="AI1330" t="str">
            <v>-0,20</v>
          </cell>
          <cell r="AJ1330" t="str">
            <v>-0,20</v>
          </cell>
          <cell r="AK1330">
            <v>6308</v>
          </cell>
          <cell r="AL1330">
            <v>6217</v>
          </cell>
          <cell r="AM1330">
            <v>3468</v>
          </cell>
          <cell r="AN1330">
            <v>3350</v>
          </cell>
          <cell r="AO1330">
            <v>2835</v>
          </cell>
          <cell r="AP1330" t="str">
            <v>14,38%</v>
          </cell>
          <cell r="AQ1330" t="str">
            <v>14,38%</v>
          </cell>
          <cell r="BW1330" t="str">
            <v>C.F.2</v>
          </cell>
        </row>
        <row r="1331">
          <cell r="C1331">
            <v>21.6</v>
          </cell>
          <cell r="F1331" t="str">
            <v/>
          </cell>
          <cell r="G1331" t="str">
            <v/>
          </cell>
          <cell r="N1331" t="str">
            <v/>
          </cell>
        </row>
        <row r="1332">
          <cell r="B1332" t="str">
            <v>3703CCA74</v>
          </cell>
          <cell r="D1332">
            <v>2910.4099999999989</v>
          </cell>
          <cell r="E1332">
            <v>31894.639000000017</v>
          </cell>
          <cell r="F1332" t="str">
            <v>-41632.25</v>
          </cell>
          <cell r="G1332" t="str">
            <v>163247.39</v>
          </cell>
          <cell r="H1332" t="str">
            <v>Clo</v>
          </cell>
          <cell r="I1332" t="str">
            <v>S</v>
          </cell>
          <cell r="J1332" t="str">
            <v>3,3</v>
          </cell>
          <cell r="K1332" t="str">
            <v>Funicular</v>
          </cell>
          <cell r="L1332" t="str">
            <v>HEA 240</v>
          </cell>
          <cell r="M1332" t="str">
            <v>M2</v>
          </cell>
          <cell r="N1332" t="str">
            <v>Delta</v>
          </cell>
          <cell r="Q1332">
            <v>5.6</v>
          </cell>
          <cell r="S1332" t="str">
            <v>+20</v>
          </cell>
          <cell r="Z1332" t="str">
            <v>3703CCA73</v>
          </cell>
          <cell r="AA1332" t="str">
            <v>HEA240</v>
          </cell>
          <cell r="AB1332" t="str">
            <v>3703CCA74</v>
          </cell>
          <cell r="AC1332" t="str">
            <v>HEA240</v>
          </cell>
          <cell r="AD1332" t="str">
            <v>3,3</v>
          </cell>
          <cell r="AE1332" t="str">
            <v>3,1</v>
          </cell>
          <cell r="AF1332" t="str">
            <v>3,3</v>
          </cell>
          <cell r="AG1332" t="str">
            <v>5,60</v>
          </cell>
          <cell r="AH1332" t="str">
            <v>5,60</v>
          </cell>
          <cell r="AI1332" t="str">
            <v>0,20</v>
          </cell>
          <cell r="AJ1332" t="str">
            <v>0,20</v>
          </cell>
          <cell r="AK1332">
            <v>6224</v>
          </cell>
          <cell r="AL1332">
            <v>6288</v>
          </cell>
          <cell r="AM1332">
            <v>2788</v>
          </cell>
          <cell r="AN1332">
            <v>3350</v>
          </cell>
          <cell r="AO1332">
            <v>3218</v>
          </cell>
          <cell r="AP1332" t="str">
            <v>14,85%</v>
          </cell>
          <cell r="AQ1332" t="str">
            <v>14,85%</v>
          </cell>
          <cell r="BW1332" t="str">
            <v>C.F.1</v>
          </cell>
        </row>
        <row r="1333">
          <cell r="C1333">
            <v>20.2</v>
          </cell>
          <cell r="F1333" t="str">
            <v/>
          </cell>
          <cell r="G1333" t="str">
            <v/>
          </cell>
          <cell r="N1333" t="str">
            <v/>
          </cell>
        </row>
        <row r="1334">
          <cell r="B1334" t="str">
            <v>3703CCA76</v>
          </cell>
          <cell r="D1334">
            <v>2930.6099999999988</v>
          </cell>
          <cell r="E1334">
            <v>31874.439000000017</v>
          </cell>
          <cell r="F1334" t="str">
            <v>-41626.99</v>
          </cell>
          <cell r="G1334" t="str">
            <v>163227.89</v>
          </cell>
          <cell r="H1334">
            <v>1200</v>
          </cell>
          <cell r="I1334" t="str">
            <v>S</v>
          </cell>
          <cell r="J1334" t="str">
            <v>3,3</v>
          </cell>
          <cell r="K1334" t="str">
            <v>Funicular</v>
          </cell>
          <cell r="L1334" t="str">
            <v>HEA 240</v>
          </cell>
          <cell r="M1334" t="str">
            <v>M2</v>
          </cell>
          <cell r="N1334" t="str">
            <v>Delta</v>
          </cell>
          <cell r="Q1334">
            <v>5.6</v>
          </cell>
          <cell r="S1334">
            <v>-20</v>
          </cell>
          <cell r="Z1334" t="str">
            <v>3703CCA75</v>
          </cell>
          <cell r="AA1334" t="str">
            <v>HEA240</v>
          </cell>
          <cell r="AB1334" t="str">
            <v>3703CCA76</v>
          </cell>
          <cell r="AC1334" t="str">
            <v>HEA240</v>
          </cell>
          <cell r="AD1334" t="str">
            <v>3,3</v>
          </cell>
          <cell r="AE1334" t="str">
            <v>3,1</v>
          </cell>
          <cell r="AF1334" t="str">
            <v>3,3</v>
          </cell>
          <cell r="AG1334" t="str">
            <v>5,60</v>
          </cell>
          <cell r="AH1334" t="str">
            <v>5,60</v>
          </cell>
          <cell r="AI1334" t="str">
            <v>-0,20</v>
          </cell>
          <cell r="AJ1334" t="str">
            <v>-0,20</v>
          </cell>
          <cell r="AK1334">
            <v>6271</v>
          </cell>
          <cell r="AL1334">
            <v>6210</v>
          </cell>
          <cell r="AM1334">
            <v>3213</v>
          </cell>
          <cell r="AN1334">
            <v>3350</v>
          </cell>
          <cell r="AO1334">
            <v>2784</v>
          </cell>
          <cell r="AP1334" t="str">
            <v>14,38%</v>
          </cell>
          <cell r="AQ1334" t="str">
            <v>14,38%</v>
          </cell>
          <cell r="BW1334" t="str">
            <v>C.F.2</v>
          </cell>
        </row>
        <row r="1335">
          <cell r="C1335">
            <v>20.2</v>
          </cell>
          <cell r="F1335" t="str">
            <v/>
          </cell>
          <cell r="G1335" t="str">
            <v/>
          </cell>
          <cell r="N1335" t="str">
            <v/>
          </cell>
        </row>
        <row r="1336">
          <cell r="B1336" t="str">
            <v>3703CCA78</v>
          </cell>
          <cell r="D1336">
            <v>2950.8099999999986</v>
          </cell>
          <cell r="E1336">
            <v>31854.239000000016</v>
          </cell>
          <cell r="F1336" t="str">
            <v>-41621.38</v>
          </cell>
          <cell r="G1336" t="str">
            <v>163208.33</v>
          </cell>
          <cell r="H1336">
            <v>1200</v>
          </cell>
          <cell r="I1336" t="str">
            <v>S</v>
          </cell>
          <cell r="J1336" t="str">
            <v>3,3</v>
          </cell>
          <cell r="K1336" t="str">
            <v>Funicular</v>
          </cell>
          <cell r="L1336" t="str">
            <v>HEA 240</v>
          </cell>
          <cell r="M1336" t="str">
            <v>M2</v>
          </cell>
          <cell r="N1336" t="str">
            <v>Delta</v>
          </cell>
          <cell r="Q1336">
            <v>5.6</v>
          </cell>
          <cell r="S1336" t="str">
            <v>+5</v>
          </cell>
          <cell r="Z1336" t="str">
            <v>3703CCA77</v>
          </cell>
          <cell r="AA1336" t="str">
            <v>HEA240</v>
          </cell>
          <cell r="AB1336" t="str">
            <v>3703CCA78</v>
          </cell>
          <cell r="AC1336" t="str">
            <v>HEA240</v>
          </cell>
          <cell r="AD1336" t="str">
            <v>3,3</v>
          </cell>
          <cell r="AE1336" t="str">
            <v>3,1</v>
          </cell>
          <cell r="AF1336" t="str">
            <v>3,3</v>
          </cell>
          <cell r="AG1336" t="str">
            <v>5,60</v>
          </cell>
          <cell r="AH1336" t="str">
            <v>5,60</v>
          </cell>
          <cell r="AI1336" t="str">
            <v>0,05</v>
          </cell>
          <cell r="AJ1336" t="str">
            <v>0,05</v>
          </cell>
          <cell r="AK1336">
            <v>6232</v>
          </cell>
          <cell r="AL1336">
            <v>6249</v>
          </cell>
          <cell r="AM1336">
            <v>2937</v>
          </cell>
          <cell r="AN1336">
            <v>3350</v>
          </cell>
          <cell r="AO1336">
            <v>3060</v>
          </cell>
          <cell r="AP1336" t="str">
            <v>14,38%</v>
          </cell>
          <cell r="AQ1336" t="str">
            <v>14,38%</v>
          </cell>
          <cell r="BW1336" t="str">
            <v>C.F.1</v>
          </cell>
        </row>
        <row r="1337">
          <cell r="C1337">
            <v>20.2</v>
          </cell>
          <cell r="F1337" t="str">
            <v/>
          </cell>
          <cell r="G1337" t="str">
            <v/>
          </cell>
          <cell r="N1337" t="str">
            <v/>
          </cell>
        </row>
        <row r="1338">
          <cell r="B1338" t="str">
            <v>3703CCA80</v>
          </cell>
          <cell r="D1338">
            <v>2971.0099999999984</v>
          </cell>
          <cell r="E1338">
            <v>31834.039000000015</v>
          </cell>
          <cell r="F1338" t="str">
            <v>-41615.56</v>
          </cell>
          <cell r="G1338" t="str">
            <v>163189.02</v>
          </cell>
          <cell r="H1338" t="str">
            <v>Clo</v>
          </cell>
          <cell r="I1338" t="str">
            <v>S</v>
          </cell>
          <cell r="J1338" t="str">
            <v>3,3</v>
          </cell>
          <cell r="K1338" t="str">
            <v>Funicular</v>
          </cell>
          <cell r="L1338" t="str">
            <v>HEA 240</v>
          </cell>
          <cell r="M1338" t="str">
            <v>M2</v>
          </cell>
          <cell r="N1338" t="str">
            <v>Delta</v>
          </cell>
          <cell r="Q1338">
            <v>5.6</v>
          </cell>
          <cell r="S1338" t="str">
            <v>+20</v>
          </cell>
          <cell r="Z1338" t="str">
            <v>3703CCA79</v>
          </cell>
          <cell r="AA1338" t="str">
            <v>HEA240</v>
          </cell>
          <cell r="AB1338" t="str">
            <v>3703CCA80</v>
          </cell>
          <cell r="AC1338" t="str">
            <v>HEA240</v>
          </cell>
          <cell r="AD1338" t="str">
            <v>3,3</v>
          </cell>
          <cell r="AE1338" t="str">
            <v>3,1</v>
          </cell>
          <cell r="AF1338" t="str">
            <v>3,3</v>
          </cell>
          <cell r="AG1338" t="str">
            <v>5,60</v>
          </cell>
          <cell r="AH1338" t="str">
            <v>5,60</v>
          </cell>
          <cell r="AI1338" t="str">
            <v>0,20</v>
          </cell>
          <cell r="AJ1338" t="str">
            <v>0,20</v>
          </cell>
          <cell r="AK1338">
            <v>6210</v>
          </cell>
          <cell r="AL1338">
            <v>6271</v>
          </cell>
          <cell r="AM1338">
            <v>2784</v>
          </cell>
          <cell r="AN1338">
            <v>3350</v>
          </cell>
          <cell r="AO1338">
            <v>3213</v>
          </cell>
          <cell r="AP1338" t="str">
            <v>14,38%</v>
          </cell>
          <cell r="AQ1338" t="str">
            <v>14,38%</v>
          </cell>
          <cell r="BW1338" t="str">
            <v>C.F.1</v>
          </cell>
        </row>
        <row r="1339">
          <cell r="C1339">
            <v>20.2</v>
          </cell>
          <cell r="F1339" t="str">
            <v/>
          </cell>
          <cell r="G1339" t="str">
            <v/>
          </cell>
          <cell r="N1339" t="str">
            <v/>
          </cell>
        </row>
        <row r="1340">
          <cell r="B1340" t="str">
            <v>3703CCA82</v>
          </cell>
          <cell r="D1340">
            <v>2991.2099999999982</v>
          </cell>
          <cell r="E1340">
            <v>31813.839000000014</v>
          </cell>
          <cell r="F1340" t="str">
            <v>-41609.68</v>
          </cell>
          <cell r="G1340" t="str">
            <v>163169.72</v>
          </cell>
          <cell r="I1340" t="str">
            <v>S</v>
          </cell>
          <cell r="J1340" t="str">
            <v>3,3</v>
          </cell>
          <cell r="K1340" t="str">
            <v>Funicular</v>
          </cell>
          <cell r="L1340" t="str">
            <v>HEA 220</v>
          </cell>
          <cell r="M1340" t="str">
            <v>M1</v>
          </cell>
          <cell r="N1340" t="str">
            <v>Delta</v>
          </cell>
          <cell r="Q1340">
            <v>5.6</v>
          </cell>
          <cell r="S1340">
            <v>-20</v>
          </cell>
          <cell r="Z1340" t="str">
            <v>3703CCA81</v>
          </cell>
          <cell r="AA1340" t="str">
            <v>HEA220</v>
          </cell>
          <cell r="AB1340" t="str">
            <v>3703CCA82</v>
          </cell>
          <cell r="AC1340" t="str">
            <v>HEA220</v>
          </cell>
          <cell r="AD1340" t="str">
            <v>3,3</v>
          </cell>
          <cell r="AE1340" t="str">
            <v>3,1</v>
          </cell>
          <cell r="AF1340" t="str">
            <v>3,3</v>
          </cell>
          <cell r="AG1340" t="str">
            <v>5,60</v>
          </cell>
          <cell r="AH1340" t="str">
            <v>5,60</v>
          </cell>
          <cell r="AI1340" t="str">
            <v>-0,20</v>
          </cell>
          <cell r="AJ1340" t="str">
            <v>-0,20</v>
          </cell>
          <cell r="AK1340">
            <v>6273</v>
          </cell>
          <cell r="AL1340">
            <v>6211</v>
          </cell>
          <cell r="AM1340">
            <v>3223</v>
          </cell>
          <cell r="AN1340">
            <v>3350</v>
          </cell>
          <cell r="AO1340">
            <v>2794</v>
          </cell>
          <cell r="AP1340" t="str">
            <v>14,38%</v>
          </cell>
          <cell r="AQ1340" t="str">
            <v>14,38%</v>
          </cell>
          <cell r="BW1340" t="str">
            <v>C.F.2</v>
          </cell>
        </row>
        <row r="1341">
          <cell r="C1341">
            <v>20.2</v>
          </cell>
          <cell r="F1341" t="str">
            <v/>
          </cell>
          <cell r="G1341" t="str">
            <v/>
          </cell>
          <cell r="N1341" t="str">
            <v/>
          </cell>
        </row>
        <row r="1342">
          <cell r="B1342" t="str">
            <v>3703CCA84</v>
          </cell>
          <cell r="D1342">
            <v>3011.409999999998</v>
          </cell>
          <cell r="E1342">
            <v>31793.639000000014</v>
          </cell>
          <cell r="F1342" t="str">
            <v>-41603.79</v>
          </cell>
          <cell r="G1342" t="str">
            <v>163150.43</v>
          </cell>
          <cell r="I1342" t="str">
            <v>S</v>
          </cell>
          <cell r="J1342" t="str">
            <v>3,3</v>
          </cell>
          <cell r="K1342" t="str">
            <v>Funicular</v>
          </cell>
          <cell r="L1342" t="str">
            <v>HEA 220</v>
          </cell>
          <cell r="M1342" t="str">
            <v>M1</v>
          </cell>
          <cell r="N1342" t="str">
            <v>Delta</v>
          </cell>
          <cell r="Q1342">
            <v>5.6</v>
          </cell>
          <cell r="S1342" t="str">
            <v>+20</v>
          </cell>
          <cell r="Z1342" t="str">
            <v>3703CCA83</v>
          </cell>
          <cell r="AA1342" t="str">
            <v>HEA220</v>
          </cell>
          <cell r="AB1342" t="str">
            <v>3703CCA84</v>
          </cell>
          <cell r="AC1342" t="str">
            <v>HEA220</v>
          </cell>
          <cell r="AD1342" t="str">
            <v>3,3</v>
          </cell>
          <cell r="AE1342" t="str">
            <v>3,1</v>
          </cell>
          <cell r="AF1342" t="str">
            <v>3,3</v>
          </cell>
          <cell r="AG1342" t="str">
            <v>5,60</v>
          </cell>
          <cell r="AH1342" t="str">
            <v>5,60</v>
          </cell>
          <cell r="AI1342" t="str">
            <v>0,20</v>
          </cell>
          <cell r="AJ1342" t="str">
            <v>0,20</v>
          </cell>
          <cell r="AK1342">
            <v>6249</v>
          </cell>
          <cell r="AL1342">
            <v>6317</v>
          </cell>
          <cell r="AM1342">
            <v>2806</v>
          </cell>
          <cell r="AN1342">
            <v>3350</v>
          </cell>
          <cell r="AO1342">
            <v>3236</v>
          </cell>
          <cell r="AP1342" t="str">
            <v>15,64%</v>
          </cell>
          <cell r="AQ1342" t="str">
            <v>15,64%</v>
          </cell>
          <cell r="BW1342" t="str">
            <v>C.F.1</v>
          </cell>
        </row>
        <row r="1343">
          <cell r="C1343">
            <v>24</v>
          </cell>
          <cell r="F1343" t="str">
            <v/>
          </cell>
          <cell r="G1343" t="str">
            <v/>
          </cell>
          <cell r="N1343" t="str">
            <v/>
          </cell>
        </row>
        <row r="1344">
          <cell r="B1344" t="str">
            <v>3703CCA86</v>
          </cell>
          <cell r="D1344">
            <v>3035.409999999998</v>
          </cell>
          <cell r="E1344">
            <v>31769.639000000014</v>
          </cell>
          <cell r="F1344" t="str">
            <v>-41596.78</v>
          </cell>
          <cell r="G1344" t="str">
            <v>163127.45</v>
          </cell>
          <cell r="I1344" t="str">
            <v>S</v>
          </cell>
          <cell r="J1344" t="str">
            <v>3,3</v>
          </cell>
          <cell r="K1344" t="str">
            <v>Funicular</v>
          </cell>
          <cell r="L1344" t="str">
            <v>HEA 220</v>
          </cell>
          <cell r="M1344" t="str">
            <v>M1</v>
          </cell>
          <cell r="N1344" t="str">
            <v>Delta</v>
          </cell>
          <cell r="Q1344">
            <v>5.6</v>
          </cell>
          <cell r="S1344">
            <v>-20</v>
          </cell>
          <cell r="Z1344" t="str">
            <v>3703CCA85</v>
          </cell>
          <cell r="AA1344" t="str">
            <v>HEA220</v>
          </cell>
          <cell r="AB1344" t="str">
            <v>3703CCA86</v>
          </cell>
          <cell r="AC1344" t="str">
            <v>HEA220</v>
          </cell>
          <cell r="AD1344" t="str">
            <v>3,3</v>
          </cell>
          <cell r="AE1344" t="str">
            <v>3,1</v>
          </cell>
          <cell r="AF1344" t="str">
            <v>3,3</v>
          </cell>
          <cell r="AG1344" t="str">
            <v>5,60</v>
          </cell>
          <cell r="AH1344" t="str">
            <v>5,60</v>
          </cell>
          <cell r="AI1344" t="str">
            <v>-0,20</v>
          </cell>
          <cell r="AJ1344" t="str">
            <v>-0,20</v>
          </cell>
          <cell r="AK1344">
            <v>6367</v>
          </cell>
          <cell r="AL1344">
            <v>6293</v>
          </cell>
          <cell r="AM1344">
            <v>3253</v>
          </cell>
          <cell r="AN1344">
            <v>3350</v>
          </cell>
          <cell r="AO1344">
            <v>2820</v>
          </cell>
          <cell r="AP1344" t="str">
            <v>17,06%</v>
          </cell>
          <cell r="AQ1344" t="str">
            <v>17,06%</v>
          </cell>
          <cell r="BW1344" t="str">
            <v>C.F.2</v>
          </cell>
        </row>
        <row r="1345">
          <cell r="C1345">
            <v>24.5</v>
          </cell>
          <cell r="F1345" t="str">
            <v/>
          </cell>
          <cell r="G1345" t="str">
            <v/>
          </cell>
          <cell r="N1345" t="str">
            <v/>
          </cell>
          <cell r="X1345" t="str">
            <v>1PEAD D110mm ou 2PEAD D63mm+ 1PEAD 32mm</v>
          </cell>
        </row>
        <row r="1346">
          <cell r="B1346" t="str">
            <v>3703CCA88</v>
          </cell>
          <cell r="D1346">
            <v>3059.909999999998</v>
          </cell>
          <cell r="E1346">
            <v>31745.139000000014</v>
          </cell>
          <cell r="F1346" t="str">
            <v>-41589.60</v>
          </cell>
          <cell r="G1346" t="str">
            <v>163104.01</v>
          </cell>
          <cell r="I1346" t="str">
            <v>S</v>
          </cell>
          <cell r="J1346" t="str">
            <v>3,3</v>
          </cell>
          <cell r="K1346" t="str">
            <v>Funicular</v>
          </cell>
          <cell r="L1346" t="str">
            <v>HEA 220</v>
          </cell>
          <cell r="M1346" t="str">
            <v>M1</v>
          </cell>
          <cell r="N1346" t="str">
            <v>Delta</v>
          </cell>
          <cell r="Q1346">
            <v>5.6</v>
          </cell>
          <cell r="S1346" t="str">
            <v>+20</v>
          </cell>
          <cell r="X1346" t="str">
            <v>FR</v>
          </cell>
          <cell r="Z1346" t="str">
            <v>3703CCA87</v>
          </cell>
          <cell r="AA1346" t="str">
            <v>HEA220</v>
          </cell>
          <cell r="AB1346" t="str">
            <v>3703CCA88</v>
          </cell>
          <cell r="AC1346" t="str">
            <v>HEA220</v>
          </cell>
          <cell r="AD1346" t="str">
            <v>3,3</v>
          </cell>
          <cell r="AE1346" t="str">
            <v>3,1</v>
          </cell>
          <cell r="AF1346" t="str">
            <v>3,3</v>
          </cell>
          <cell r="AG1346" t="str">
            <v>5,60</v>
          </cell>
          <cell r="AH1346" t="str">
            <v>5,60</v>
          </cell>
          <cell r="AI1346" t="str">
            <v>0,20</v>
          </cell>
          <cell r="AJ1346" t="str">
            <v>0,20</v>
          </cell>
          <cell r="AK1346">
            <v>6200</v>
          </cell>
          <cell r="AL1346">
            <v>6260</v>
          </cell>
          <cell r="AM1346">
            <v>2763</v>
          </cell>
          <cell r="AN1346">
            <v>3350</v>
          </cell>
          <cell r="AO1346">
            <v>3120</v>
          </cell>
          <cell r="AP1346" t="str">
            <v>14,02%</v>
          </cell>
          <cell r="AQ1346" t="str">
            <v>14,02%</v>
          </cell>
          <cell r="AV1346">
            <v>6500</v>
          </cell>
          <cell r="AW1346">
            <v>6560</v>
          </cell>
          <cell r="BW1346" t="str">
            <v>C.F.24</v>
          </cell>
        </row>
        <row r="1347">
          <cell r="C1347">
            <v>14.8</v>
          </cell>
          <cell r="F1347" t="str">
            <v/>
          </cell>
          <cell r="G1347" t="str">
            <v/>
          </cell>
          <cell r="N1347" t="str">
            <v/>
          </cell>
          <cell r="X1347" t="str">
            <v>1PEAD D110mm ou 2PEAD D63mm</v>
          </cell>
        </row>
        <row r="1348">
          <cell r="B1348" t="str">
            <v>3703CCA90</v>
          </cell>
          <cell r="D1348">
            <v>3074.7099999999982</v>
          </cell>
          <cell r="E1348">
            <v>31730.339000000014</v>
          </cell>
          <cell r="F1348" t="str">
            <v>-41585.98</v>
          </cell>
          <cell r="G1348" t="str">
            <v>163089.63</v>
          </cell>
          <cell r="I1348" t="str">
            <v>S</v>
          </cell>
          <cell r="J1348" t="str">
            <v>3,3</v>
          </cell>
          <cell r="K1348" t="str">
            <v>Funicular</v>
          </cell>
          <cell r="L1348" t="str">
            <v>HEA 220</v>
          </cell>
          <cell r="M1348" t="str">
            <v>M1</v>
          </cell>
          <cell r="N1348" t="str">
            <v>Delta</v>
          </cell>
          <cell r="Q1348">
            <v>5.6</v>
          </cell>
          <cell r="S1348">
            <v>-20</v>
          </cell>
          <cell r="Z1348" t="str">
            <v>3703CCA89</v>
          </cell>
          <cell r="AA1348" t="str">
            <v>HEA220</v>
          </cell>
          <cell r="AB1348" t="str">
            <v>3703CCA90</v>
          </cell>
          <cell r="AC1348" t="str">
            <v>HEA220</v>
          </cell>
          <cell r="AD1348" t="str">
            <v>3,3</v>
          </cell>
          <cell r="AE1348" t="str">
            <v>3,1</v>
          </cell>
          <cell r="AF1348" t="str">
            <v>3,3</v>
          </cell>
          <cell r="AG1348" t="str">
            <v>5,60</v>
          </cell>
          <cell r="AH1348" t="str">
            <v>5,60</v>
          </cell>
          <cell r="AI1348" t="str">
            <v>-0,20</v>
          </cell>
          <cell r="AJ1348" t="str">
            <v>-0,20</v>
          </cell>
          <cell r="AK1348">
            <v>6152</v>
          </cell>
          <cell r="AL1348">
            <v>6106</v>
          </cell>
          <cell r="AM1348">
            <v>3192</v>
          </cell>
          <cell r="AN1348">
            <v>3350</v>
          </cell>
          <cell r="AO1348">
            <v>2767</v>
          </cell>
          <cell r="AP1348" t="str">
            <v>10,83%</v>
          </cell>
          <cell r="AQ1348" t="str">
            <v>10,83%</v>
          </cell>
          <cell r="BW1348" t="str">
            <v>C.F.2</v>
          </cell>
        </row>
        <row r="1349">
          <cell r="C1349">
            <v>15</v>
          </cell>
        </row>
        <row r="1350">
          <cell r="B1350" t="str">
            <v>3703CCA92</v>
          </cell>
          <cell r="D1350">
            <v>3089.7099999999982</v>
          </cell>
          <cell r="E1350">
            <v>31715.339000000014</v>
          </cell>
          <cell r="F1350" t="str">
            <v>-41581.61</v>
          </cell>
          <cell r="G1350" t="str">
            <v>163075.28</v>
          </cell>
          <cell r="I1350" t="str">
            <v>S</v>
          </cell>
          <cell r="J1350" t="str">
            <v>4,75</v>
          </cell>
          <cell r="K1350" t="str">
            <v>Funicular</v>
          </cell>
          <cell r="L1350" t="str">
            <v>HEA 220</v>
          </cell>
          <cell r="M1350" t="str">
            <v>M1</v>
          </cell>
          <cell r="N1350" t="str">
            <v>Delta</v>
          </cell>
          <cell r="Q1350">
            <v>5.6</v>
          </cell>
          <cell r="S1350" t="str">
            <v>+20</v>
          </cell>
          <cell r="Z1350" t="str">
            <v>3703CCA91</v>
          </cell>
          <cell r="AA1350" t="str">
            <v>HEA220</v>
          </cell>
          <cell r="AB1350" t="str">
            <v>3703CCA92</v>
          </cell>
          <cell r="AC1350" t="str">
            <v>HEA220</v>
          </cell>
          <cell r="AD1350" t="str">
            <v>4,74</v>
          </cell>
          <cell r="AE1350" t="str">
            <v>3,1</v>
          </cell>
          <cell r="AF1350" t="str">
            <v>4,74</v>
          </cell>
          <cell r="AG1350" t="str">
            <v>5,60</v>
          </cell>
          <cell r="AH1350" t="str">
            <v>5,60</v>
          </cell>
          <cell r="AI1350" t="str">
            <v>0,20</v>
          </cell>
          <cell r="AJ1350" t="str">
            <v>0,20</v>
          </cell>
          <cell r="AK1350">
            <v>6337</v>
          </cell>
          <cell r="AL1350">
            <v>6390</v>
          </cell>
          <cell r="AM1350">
            <v>4242</v>
          </cell>
          <cell r="AN1350">
            <v>3350</v>
          </cell>
          <cell r="AO1350">
            <v>4669</v>
          </cell>
          <cell r="AP1350" t="str">
            <v>12,48%</v>
          </cell>
          <cell r="AQ1350" t="str">
            <v>12,48%</v>
          </cell>
          <cell r="BW1350" t="str">
            <v>C.F.1</v>
          </cell>
        </row>
        <row r="1351">
          <cell r="B1351" t="str">
            <v>Inic. Est./Anden Candal (03+096)</v>
          </cell>
          <cell r="C1351">
            <v>19.7</v>
          </cell>
          <cell r="N1351" t="str">
            <v/>
          </cell>
        </row>
        <row r="1352">
          <cell r="B1352" t="str">
            <v>3704CCA02</v>
          </cell>
          <cell r="D1352">
            <v>3109.409999999998</v>
          </cell>
          <cell r="E1352">
            <v>31695.639000000014</v>
          </cell>
          <cell r="F1352" t="str">
            <v>-41575.79</v>
          </cell>
          <cell r="G1352" t="str">
            <v>163056.49</v>
          </cell>
          <cell r="I1352" t="str">
            <v>S</v>
          </cell>
          <cell r="J1352" t="str">
            <v>4,0</v>
          </cell>
          <cell r="K1352" t="str">
            <v>Funicular</v>
          </cell>
          <cell r="L1352" t="str">
            <v>Marquise</v>
          </cell>
          <cell r="M1352" t="str">
            <v>-</v>
          </cell>
          <cell r="N1352" t="str">
            <v>Delta</v>
          </cell>
          <cell r="Q1352">
            <v>5.5333000000000006</v>
          </cell>
          <cell r="S1352">
            <v>-20</v>
          </cell>
          <cell r="Z1352" t="str">
            <v>3704CCA01</v>
          </cell>
          <cell r="AA1352" t="str">
            <v>HEB240</v>
          </cell>
          <cell r="AB1352" t="str">
            <v>3704CCA02</v>
          </cell>
          <cell r="AC1352" t="str">
            <v>HEB240</v>
          </cell>
          <cell r="AD1352" t="str">
            <v>4,0</v>
          </cell>
          <cell r="AE1352" t="str">
            <v>3,1</v>
          </cell>
          <cell r="AF1352" t="str">
            <v>4,0</v>
          </cell>
          <cell r="AG1352" t="str">
            <v>5,58</v>
          </cell>
          <cell r="AH1352" t="str">
            <v>5,53</v>
          </cell>
          <cell r="AI1352" t="str">
            <v>-0,20</v>
          </cell>
          <cell r="AJ1352" t="str">
            <v>-0,20</v>
          </cell>
          <cell r="AK1352">
            <v>6246</v>
          </cell>
          <cell r="AL1352">
            <v>6150</v>
          </cell>
          <cell r="AM1352">
            <v>3895</v>
          </cell>
          <cell r="AN1352">
            <v>3350</v>
          </cell>
          <cell r="AO1352">
            <v>3469</v>
          </cell>
          <cell r="AP1352" t="str">
            <v>14,70%</v>
          </cell>
          <cell r="AQ1352" t="str">
            <v>11,82%</v>
          </cell>
          <cell r="BW1352" t="str">
            <v>C.F.2</v>
          </cell>
        </row>
        <row r="1353">
          <cell r="C1353">
            <v>17.25</v>
          </cell>
          <cell r="F1353" t="str">
            <v/>
          </cell>
          <cell r="G1353" t="str">
            <v/>
          </cell>
          <cell r="N1353" t="str">
            <v/>
          </cell>
        </row>
        <row r="1354">
          <cell r="B1354" t="str">
            <v>3704CCA04</v>
          </cell>
          <cell r="D1354">
            <v>3126.659999999998</v>
          </cell>
          <cell r="E1354">
            <v>31678.389000000014</v>
          </cell>
          <cell r="F1354" t="str">
            <v>-41570.76</v>
          </cell>
          <cell r="G1354" t="str">
            <v>163039.99</v>
          </cell>
          <cell r="I1354" t="str">
            <v>S</v>
          </cell>
          <cell r="J1354" t="str">
            <v>4,0</v>
          </cell>
          <cell r="K1354" t="str">
            <v>Funicular</v>
          </cell>
          <cell r="L1354" t="str">
            <v>Marquise</v>
          </cell>
          <cell r="M1354" t="str">
            <v>-</v>
          </cell>
          <cell r="N1354" t="str">
            <v>Delta</v>
          </cell>
          <cell r="Q1354">
            <v>5.4643000000000006</v>
          </cell>
          <cell r="S1354" t="str">
            <v>+20</v>
          </cell>
          <cell r="Z1354" t="str">
            <v>3704CCA03</v>
          </cell>
          <cell r="AA1354" t="str">
            <v>HEB240</v>
          </cell>
          <cell r="AB1354" t="str">
            <v>3704CCA04</v>
          </cell>
          <cell r="AC1354" t="str">
            <v>HEB240</v>
          </cell>
          <cell r="AD1354" t="str">
            <v>4,0</v>
          </cell>
          <cell r="AE1354" t="str">
            <v>3,1</v>
          </cell>
          <cell r="AF1354" t="str">
            <v>4,0</v>
          </cell>
          <cell r="AG1354" t="str">
            <v>5,51</v>
          </cell>
          <cell r="AH1354" t="str">
            <v>5,46</v>
          </cell>
          <cell r="AI1354" t="str">
            <v>0,20</v>
          </cell>
          <cell r="AJ1354" t="str">
            <v>0,20</v>
          </cell>
          <cell r="AK1354">
            <v>6096</v>
          </cell>
          <cell r="AL1354">
            <v>6098</v>
          </cell>
          <cell r="AM1354">
            <v>3462</v>
          </cell>
          <cell r="AN1354">
            <v>3350</v>
          </cell>
          <cell r="AO1354">
            <v>3887</v>
          </cell>
          <cell r="AP1354" t="str">
            <v>13,88%</v>
          </cell>
          <cell r="AQ1354" t="str">
            <v>10,99%</v>
          </cell>
          <cell r="BW1354" t="str">
            <v>C.F.1</v>
          </cell>
        </row>
        <row r="1355">
          <cell r="C1355">
            <v>17.25</v>
          </cell>
          <cell r="F1355" t="str">
            <v/>
          </cell>
          <cell r="G1355" t="str">
            <v/>
          </cell>
          <cell r="N1355" t="str">
            <v/>
          </cell>
        </row>
        <row r="1356">
          <cell r="B1356" t="str">
            <v>3704CCA06</v>
          </cell>
          <cell r="D1356">
            <v>3143.909999999998</v>
          </cell>
          <cell r="E1356">
            <v>31661.139000000014</v>
          </cell>
          <cell r="F1356" t="str">
            <v>-41565.73</v>
          </cell>
          <cell r="G1356" t="str">
            <v>163023.49</v>
          </cell>
          <cell r="I1356" t="str">
            <v>S</v>
          </cell>
          <cell r="J1356" t="str">
            <v>4,0</v>
          </cell>
          <cell r="K1356" t="str">
            <v>Funicular</v>
          </cell>
          <cell r="L1356" t="str">
            <v>Marquise</v>
          </cell>
          <cell r="M1356" t="str">
            <v>-</v>
          </cell>
          <cell r="N1356" t="str">
            <v>Delta</v>
          </cell>
          <cell r="Q1356">
            <v>5.3608000000000002</v>
          </cell>
          <cell r="S1356">
            <v>-20</v>
          </cell>
          <cell r="Z1356" t="str">
            <v>3704CCA05</v>
          </cell>
          <cell r="AA1356" t="str">
            <v>HEB240</v>
          </cell>
          <cell r="AB1356" t="str">
            <v>3704CCA06</v>
          </cell>
          <cell r="AC1356" t="str">
            <v>HEB240</v>
          </cell>
          <cell r="AD1356" t="str">
            <v>4,0</v>
          </cell>
          <cell r="AE1356" t="str">
            <v>3,1</v>
          </cell>
          <cell r="AF1356" t="str">
            <v>4,0</v>
          </cell>
          <cell r="AG1356" t="str">
            <v>5,41</v>
          </cell>
          <cell r="AH1356" t="str">
            <v>5,36</v>
          </cell>
          <cell r="AI1356" t="str">
            <v>-0,20</v>
          </cell>
          <cell r="AJ1356" t="str">
            <v>-0,20</v>
          </cell>
          <cell r="AK1356">
            <v>6039</v>
          </cell>
          <cell r="AL1356">
            <v>5948</v>
          </cell>
          <cell r="AM1356">
            <v>3887</v>
          </cell>
          <cell r="AN1356">
            <v>3350</v>
          </cell>
          <cell r="AO1356">
            <v>3462</v>
          </cell>
          <cell r="AP1356" t="str">
            <v>13,88%</v>
          </cell>
          <cell r="AQ1356" t="str">
            <v>10,99%</v>
          </cell>
          <cell r="BW1356" t="str">
            <v>C.F.2</v>
          </cell>
        </row>
        <row r="1357">
          <cell r="C1357">
            <v>17.25</v>
          </cell>
          <cell r="F1357" t="str">
            <v/>
          </cell>
          <cell r="G1357" t="str">
            <v/>
          </cell>
          <cell r="N1357" t="str">
            <v/>
          </cell>
        </row>
        <row r="1358">
          <cell r="B1358" t="str">
            <v>3704CCA08</v>
          </cell>
          <cell r="D1358">
            <v>3161.159999999998</v>
          </cell>
          <cell r="E1358">
            <v>31643.889000000014</v>
          </cell>
          <cell r="F1358" t="str">
            <v>-41560.70</v>
          </cell>
          <cell r="G1358" t="str">
            <v>163006.99</v>
          </cell>
          <cell r="I1358" t="str">
            <v>S</v>
          </cell>
          <cell r="J1358" t="str">
            <v>4,0</v>
          </cell>
          <cell r="K1358" t="str">
            <v>Funicular</v>
          </cell>
          <cell r="L1358" t="str">
            <v>Marquise</v>
          </cell>
          <cell r="M1358" t="str">
            <v>-</v>
          </cell>
          <cell r="N1358" t="str">
            <v>Delta</v>
          </cell>
          <cell r="Q1358">
            <v>5.2572999999999999</v>
          </cell>
          <cell r="S1358" t="str">
            <v>+20</v>
          </cell>
          <cell r="Z1358" t="str">
            <v>3704CCA07</v>
          </cell>
          <cell r="AA1358" t="str">
            <v>HEB240</v>
          </cell>
          <cell r="AB1358" t="str">
            <v>3704CCA08</v>
          </cell>
          <cell r="AC1358" t="str">
            <v>HEB240</v>
          </cell>
          <cell r="AD1358" t="str">
            <v>4,0</v>
          </cell>
          <cell r="AE1358" t="str">
            <v>3,1</v>
          </cell>
          <cell r="AF1358" t="str">
            <v>4,0</v>
          </cell>
          <cell r="AG1358" t="str">
            <v>5,30</v>
          </cell>
          <cell r="AH1358" t="str">
            <v>5,26</v>
          </cell>
          <cell r="AI1358" t="str">
            <v>0,20</v>
          </cell>
          <cell r="AJ1358" t="str">
            <v>0,20</v>
          </cell>
          <cell r="AK1358">
            <v>5912</v>
          </cell>
          <cell r="AL1358">
            <v>5916</v>
          </cell>
          <cell r="AM1358">
            <v>3467</v>
          </cell>
          <cell r="AN1358">
            <v>3350</v>
          </cell>
          <cell r="AO1358">
            <v>3893</v>
          </cell>
          <cell r="AP1358" t="str">
            <v>14,50%</v>
          </cell>
          <cell r="AQ1358" t="str">
            <v>11,61%</v>
          </cell>
          <cell r="BW1358" t="str">
            <v>C.F.1</v>
          </cell>
        </row>
        <row r="1359">
          <cell r="B1359" t="str">
            <v>Fin. Est./Anden Candal (03+168)</v>
          </cell>
          <cell r="C1359">
            <v>19.100000000000001</v>
          </cell>
          <cell r="N1359" t="str">
            <v/>
          </cell>
        </row>
        <row r="1360">
          <cell r="B1360" t="str">
            <v>3705CCA02</v>
          </cell>
          <cell r="D1360">
            <v>3180.2599999999979</v>
          </cell>
          <cell r="E1360">
            <v>31624.789000000015</v>
          </cell>
          <cell r="F1360" t="str">
            <v>-41555,11</v>
          </cell>
          <cell r="G1360" t="str">
            <v>162988,76</v>
          </cell>
          <cell r="I1360" t="str">
            <v>S</v>
          </cell>
          <cell r="J1360" t="str">
            <v>4,75</v>
          </cell>
          <cell r="K1360" t="str">
            <v>Funicular</v>
          </cell>
          <cell r="L1360" t="str">
            <v>HEA 220</v>
          </cell>
          <cell r="M1360" t="str">
            <v>M1</v>
          </cell>
          <cell r="N1360" t="str">
            <v/>
          </cell>
          <cell r="Q1360">
            <v>5.2450000000000001</v>
          </cell>
          <cell r="S1360">
            <v>-20</v>
          </cell>
          <cell r="Z1360" t="str">
            <v>3705CCA01</v>
          </cell>
          <cell r="AA1360" t="str">
            <v>HEA220</v>
          </cell>
          <cell r="AB1360" t="str">
            <v>3705CCA02</v>
          </cell>
          <cell r="AC1360" t="str">
            <v>HEA220</v>
          </cell>
          <cell r="AD1360" t="str">
            <v>4,75</v>
          </cell>
          <cell r="AE1360" t="str">
            <v>3,1</v>
          </cell>
          <cell r="AF1360" t="str">
            <v>4,75</v>
          </cell>
          <cell r="AG1360" t="str">
            <v>5,25</v>
          </cell>
          <cell r="AH1360" t="str">
            <v>5,25</v>
          </cell>
          <cell r="AI1360" t="str">
            <v>-0,20</v>
          </cell>
          <cell r="AJ1360" t="str">
            <v>-0,20</v>
          </cell>
          <cell r="AK1360">
            <v>6027</v>
          </cell>
          <cell r="AL1360">
            <v>5974</v>
          </cell>
          <cell r="AM1360">
            <v>4676</v>
          </cell>
          <cell r="AN1360">
            <v>3350</v>
          </cell>
          <cell r="AO1360">
            <v>4250</v>
          </cell>
          <cell r="AP1360" t="str">
            <v>12,28%</v>
          </cell>
          <cell r="AQ1360" t="str">
            <v>12,28%</v>
          </cell>
          <cell r="BW1360" t="str">
            <v>C.F.2</v>
          </cell>
        </row>
        <row r="1361">
          <cell r="C1361">
            <v>15</v>
          </cell>
        </row>
        <row r="1362">
          <cell r="B1362" t="str">
            <v>3705CCA04</v>
          </cell>
          <cell r="D1362">
            <v>3195.2599999999979</v>
          </cell>
          <cell r="E1362">
            <v>31609.789000000015</v>
          </cell>
          <cell r="F1362" t="str">
            <v>-41550,75</v>
          </cell>
          <cell r="G1362" t="str">
            <v>162974,39</v>
          </cell>
          <cell r="I1362" t="str">
            <v>A/S</v>
          </cell>
          <cell r="J1362" t="str">
            <v>3,4</v>
          </cell>
          <cell r="K1362" t="str">
            <v>Funicular</v>
          </cell>
          <cell r="L1362" t="str">
            <v>HEM 320</v>
          </cell>
          <cell r="M1362" t="str">
            <v>M7</v>
          </cell>
          <cell r="N1362" t="str">
            <v>Delta</v>
          </cell>
          <cell r="Q1362">
            <v>5.2</v>
          </cell>
          <cell r="R1362">
            <v>5.5</v>
          </cell>
          <cell r="S1362" t="str">
            <v>+20</v>
          </cell>
          <cell r="V1362" t="str">
            <v>Ancoraem 2HC</v>
          </cell>
          <cell r="Z1362" t="str">
            <v>3705CCA03</v>
          </cell>
          <cell r="AA1362" t="str">
            <v>HEM 320</v>
          </cell>
          <cell r="AB1362" t="str">
            <v>3705CCA04</v>
          </cell>
          <cell r="AC1362" t="str">
            <v>HEM 320</v>
          </cell>
          <cell r="AD1362" t="str">
            <v>3,4</v>
          </cell>
          <cell r="AE1362" t="str">
            <v>3,1</v>
          </cell>
          <cell r="AF1362" t="str">
            <v>3,4</v>
          </cell>
          <cell r="AG1362" t="str">
            <v>5,20</v>
          </cell>
          <cell r="AH1362" t="str">
            <v>5,20</v>
          </cell>
          <cell r="AI1362" t="str">
            <v>0,20</v>
          </cell>
          <cell r="AJ1362" t="str">
            <v>0,20</v>
          </cell>
          <cell r="AK1362">
            <v>5716</v>
          </cell>
          <cell r="AL1362">
            <v>5763</v>
          </cell>
          <cell r="AM1362">
            <v>2788</v>
          </cell>
          <cell r="AN1362">
            <v>3350</v>
          </cell>
          <cell r="AO1362">
            <v>3132</v>
          </cell>
          <cell r="AP1362" t="str">
            <v>11,03%</v>
          </cell>
          <cell r="AQ1362" t="str">
            <v>11,03%</v>
          </cell>
          <cell r="AV1362" t="str">
            <v>5,50</v>
          </cell>
          <cell r="AW1362" t="str">
            <v>5,50</v>
          </cell>
          <cell r="BW1362" t="str">
            <v>C.F.6</v>
          </cell>
        </row>
        <row r="1363">
          <cell r="C1363">
            <v>15.4</v>
          </cell>
          <cell r="F1363" t="str">
            <v/>
          </cell>
          <cell r="G1363" t="str">
            <v/>
          </cell>
          <cell r="N1363" t="str">
            <v/>
          </cell>
          <cell r="U1363" t="str">
            <v>Cantón 983,7 m</v>
          </cell>
        </row>
        <row r="1364">
          <cell r="B1364" t="str">
            <v>3705CCA06</v>
          </cell>
          <cell r="D1364">
            <v>3210.659999999998</v>
          </cell>
          <cell r="E1364">
            <v>31594.389000000014</v>
          </cell>
          <cell r="F1364" t="str">
            <v>-41545.74</v>
          </cell>
          <cell r="G1364" t="str">
            <v>162959.80</v>
          </cell>
          <cell r="I1364" t="str">
            <v>SE</v>
          </cell>
          <cell r="J1364" t="str">
            <v>3,4</v>
          </cell>
          <cell r="K1364" t="str">
            <v>Funicular</v>
          </cell>
          <cell r="L1364" t="str">
            <v>HEA 240</v>
          </cell>
          <cell r="M1364" t="str">
            <v>M2</v>
          </cell>
          <cell r="N1364" t="str">
            <v>B. Fun.</v>
          </cell>
          <cell r="O1364" t="str">
            <v>Delta</v>
          </cell>
          <cell r="Q1364">
            <v>5.2</v>
          </cell>
          <cell r="R1364">
            <v>5.3902000000000001</v>
          </cell>
          <cell r="S1364">
            <v>0</v>
          </cell>
          <cell r="T1364">
            <v>-20</v>
          </cell>
          <cell r="Z1364" t="str">
            <v>3705CCA05</v>
          </cell>
          <cell r="AA1364" t="str">
            <v>HEA240</v>
          </cell>
          <cell r="AB1364" t="str">
            <v>3705CCA06</v>
          </cell>
          <cell r="AC1364" t="str">
            <v>HEA240</v>
          </cell>
          <cell r="AD1364" t="str">
            <v>3,4</v>
          </cell>
          <cell r="AE1364" t="str">
            <v>3,1</v>
          </cell>
          <cell r="AF1364" t="str">
            <v>3,4</v>
          </cell>
          <cell r="AG1364" t="str">
            <v>5,20</v>
          </cell>
          <cell r="AH1364" t="str">
            <v>5,20</v>
          </cell>
          <cell r="AI1364" t="str">
            <v>-0,20</v>
          </cell>
          <cell r="AJ1364" t="str">
            <v>-0,20</v>
          </cell>
          <cell r="AK1364">
            <v>5847</v>
          </cell>
          <cell r="AL1364">
            <v>5790</v>
          </cell>
          <cell r="AM1364">
            <v>3274</v>
          </cell>
          <cell r="AN1364">
            <v>3350</v>
          </cell>
          <cell r="AO1364">
            <v>2778</v>
          </cell>
          <cell r="AP1364" t="str">
            <v>13,28%</v>
          </cell>
          <cell r="AQ1364" t="str">
            <v>13,28%</v>
          </cell>
          <cell r="AR1364" t="str">
            <v>5,39</v>
          </cell>
          <cell r="AS1364" t="str">
            <v>5,39</v>
          </cell>
          <cell r="AT1364" t="str">
            <v>0,00</v>
          </cell>
          <cell r="AU1364" t="str">
            <v>0,00</v>
          </cell>
          <cell r="AV1364">
            <v>5970</v>
          </cell>
          <cell r="AW1364">
            <v>5970</v>
          </cell>
          <cell r="AX1364">
            <v>3232</v>
          </cell>
          <cell r="AY1364" t="str">
            <v>0,980</v>
          </cell>
          <cell r="AZ1364">
            <v>3232</v>
          </cell>
          <cell r="BA1364" t="str">
            <v>14,70%</v>
          </cell>
          <cell r="BB1364" t="str">
            <v>14,70%</v>
          </cell>
          <cell r="BW1364" t="str">
            <v>C.F.17</v>
          </cell>
        </row>
        <row r="1365">
          <cell r="C1365">
            <v>21.7</v>
          </cell>
          <cell r="F1365" t="str">
            <v/>
          </cell>
          <cell r="G1365" t="str">
            <v/>
          </cell>
          <cell r="N1365" t="str">
            <v/>
          </cell>
        </row>
        <row r="1366">
          <cell r="B1366" t="str">
            <v>3705CCA08</v>
          </cell>
          <cell r="D1366">
            <v>3232.3599999999979</v>
          </cell>
          <cell r="E1366">
            <v>31572.689000000013</v>
          </cell>
          <cell r="F1366" t="str">
            <v>-41539.40</v>
          </cell>
          <cell r="G1366" t="str">
            <v>162939.13</v>
          </cell>
          <cell r="I1366" t="str">
            <v>E</v>
          </cell>
          <cell r="J1366" t="str">
            <v>3,4</v>
          </cell>
          <cell r="K1366" t="str">
            <v>Funicular</v>
          </cell>
          <cell r="L1366" t="str">
            <v>HEA 240</v>
          </cell>
          <cell r="M1366" t="str">
            <v>M2</v>
          </cell>
          <cell r="N1366" t="str">
            <v>B. Fun.</v>
          </cell>
          <cell r="O1366" t="str">
            <v>Delta</v>
          </cell>
          <cell r="Q1366">
            <v>5.2</v>
          </cell>
          <cell r="R1366">
            <v>5.26</v>
          </cell>
          <cell r="S1366" t="str">
            <v>+20</v>
          </cell>
          <cell r="T1366">
            <v>0</v>
          </cell>
          <cell r="Z1366" t="str">
            <v>3705CCA07</v>
          </cell>
          <cell r="AA1366" t="str">
            <v>HEA240</v>
          </cell>
          <cell r="AB1366" t="str">
            <v>3705CCA08</v>
          </cell>
          <cell r="AC1366" t="str">
            <v>HEA240</v>
          </cell>
          <cell r="AD1366" t="str">
            <v>3,4</v>
          </cell>
          <cell r="AE1366" t="str">
            <v>3,1</v>
          </cell>
          <cell r="AF1366" t="str">
            <v>3,4</v>
          </cell>
          <cell r="AG1366" t="str">
            <v>5,20</v>
          </cell>
          <cell r="AH1366" t="str">
            <v>5,20</v>
          </cell>
          <cell r="AI1366" t="str">
            <v>0,00</v>
          </cell>
          <cell r="AJ1366" t="str">
            <v>0,00</v>
          </cell>
          <cell r="AK1366">
            <v>5875</v>
          </cell>
          <cell r="AL1366">
            <v>5887</v>
          </cell>
          <cell r="AM1366">
            <v>3029</v>
          </cell>
          <cell r="AN1366">
            <v>3350</v>
          </cell>
          <cell r="AO1366">
            <v>3047</v>
          </cell>
          <cell r="AP1366" t="str">
            <v>14,81%</v>
          </cell>
          <cell r="AQ1366" t="str">
            <v>14,81%</v>
          </cell>
          <cell r="AR1366" t="str">
            <v>5,26</v>
          </cell>
          <cell r="AS1366" t="str">
            <v>5,26</v>
          </cell>
          <cell r="AT1366" t="str">
            <v>0,20</v>
          </cell>
          <cell r="AU1366" t="str">
            <v>0,20</v>
          </cell>
          <cell r="AV1366">
            <v>5718</v>
          </cell>
          <cell r="AW1366">
            <v>6036</v>
          </cell>
          <cell r="AX1366" t="str">
            <v>1,47</v>
          </cell>
          <cell r="AY1366">
            <v>2859</v>
          </cell>
          <cell r="AZ1366">
            <v>3374</v>
          </cell>
          <cell r="BA1366" t="str">
            <v>17,68%</v>
          </cell>
          <cell r="BB1366" t="str">
            <v>20,00%</v>
          </cell>
          <cell r="BW1366" t="str">
            <v>C.F.21</v>
          </cell>
        </row>
        <row r="1367">
          <cell r="C1367">
            <v>20</v>
          </cell>
          <cell r="F1367" t="str">
            <v/>
          </cell>
          <cell r="G1367" t="str">
            <v/>
          </cell>
          <cell r="N1367" t="str">
            <v/>
          </cell>
          <cell r="U1367" t="str">
            <v>Seccionamento</v>
          </cell>
        </row>
        <row r="1368">
          <cell r="B1368" t="str">
            <v>3705CCA10</v>
          </cell>
          <cell r="D1368">
            <v>3252.3599999999979</v>
          </cell>
          <cell r="E1368">
            <v>31552.689000000013</v>
          </cell>
          <cell r="F1368" t="str">
            <v>-41533.57</v>
          </cell>
          <cell r="G1368" t="str">
            <v>162920.00</v>
          </cell>
          <cell r="I1368" t="str">
            <v>E</v>
          </cell>
          <cell r="J1368" t="str">
            <v>3,4</v>
          </cell>
          <cell r="K1368" t="str">
            <v>Funicular</v>
          </cell>
          <cell r="L1368" t="str">
            <v>HEA 240</v>
          </cell>
          <cell r="M1368" t="str">
            <v>M2</v>
          </cell>
          <cell r="N1368" t="str">
            <v>Delta</v>
          </cell>
          <cell r="O1368" t="str">
            <v>B.Fun.</v>
          </cell>
          <cell r="Q1368">
            <v>5.2</v>
          </cell>
          <cell r="R1368">
            <v>5.26</v>
          </cell>
          <cell r="S1368">
            <v>0</v>
          </cell>
          <cell r="T1368">
            <v>-20</v>
          </cell>
          <cell r="Z1368" t="str">
            <v>3705CCA09</v>
          </cell>
          <cell r="AA1368" t="str">
            <v>HEA240</v>
          </cell>
          <cell r="AB1368" t="str">
            <v>3705CCA10</v>
          </cell>
          <cell r="AC1368" t="str">
            <v>HEA240</v>
          </cell>
          <cell r="AD1368" t="str">
            <v>3,4</v>
          </cell>
          <cell r="AE1368" t="str">
            <v>3,1</v>
          </cell>
          <cell r="AF1368" t="str">
            <v>3,4</v>
          </cell>
          <cell r="AG1368" t="str">
            <v>5,20</v>
          </cell>
          <cell r="AH1368" t="str">
            <v>5,20</v>
          </cell>
          <cell r="AI1368" t="str">
            <v>0,00</v>
          </cell>
          <cell r="AJ1368" t="str">
            <v>0,00</v>
          </cell>
          <cell r="AK1368">
            <v>5856</v>
          </cell>
          <cell r="AL1368">
            <v>5868</v>
          </cell>
          <cell r="AM1368">
            <v>3026</v>
          </cell>
          <cell r="AN1368">
            <v>3350</v>
          </cell>
          <cell r="AO1368">
            <v>3041</v>
          </cell>
          <cell r="AP1368" t="str">
            <v>14,25%</v>
          </cell>
          <cell r="AQ1368" t="str">
            <v>14,25%</v>
          </cell>
          <cell r="AR1368" t="str">
            <v>5,26</v>
          </cell>
          <cell r="AS1368" t="str">
            <v>5,26</v>
          </cell>
          <cell r="AT1368" t="str">
            <v>-0,20</v>
          </cell>
          <cell r="AU1368" t="str">
            <v>-0,20</v>
          </cell>
          <cell r="AV1368">
            <v>6036</v>
          </cell>
          <cell r="AW1368">
            <v>5715</v>
          </cell>
          <cell r="AX1368">
            <v>3374</v>
          </cell>
          <cell r="AY1368">
            <v>2859</v>
          </cell>
          <cell r="AZ1368">
            <v>1476</v>
          </cell>
          <cell r="BA1368" t="str">
            <v>20,00%</v>
          </cell>
          <cell r="BB1368" t="str">
            <v>17,52%</v>
          </cell>
          <cell r="BW1368" t="str">
            <v>C.F.20.B</v>
          </cell>
        </row>
        <row r="1369">
          <cell r="C1369">
            <v>20</v>
          </cell>
          <cell r="F1369" t="str">
            <v/>
          </cell>
          <cell r="G1369" t="str">
            <v/>
          </cell>
          <cell r="N1369" t="str">
            <v/>
          </cell>
        </row>
        <row r="1370">
          <cell r="B1370" t="str">
            <v>3705CCA12</v>
          </cell>
          <cell r="D1370">
            <v>3272.3599999999979</v>
          </cell>
          <cell r="E1370">
            <v>31532.689000000013</v>
          </cell>
          <cell r="F1370" t="str">
            <v>-41527.74</v>
          </cell>
          <cell r="G1370" t="str">
            <v>162900.87</v>
          </cell>
          <cell r="I1370" t="str">
            <v>SE</v>
          </cell>
          <cell r="J1370" t="str">
            <v>3,4</v>
          </cell>
          <cell r="K1370" t="str">
            <v>Funicular</v>
          </cell>
          <cell r="L1370" t="str">
            <v>HEA 240</v>
          </cell>
          <cell r="M1370" t="str">
            <v>M2</v>
          </cell>
          <cell r="N1370" t="str">
            <v>Delta</v>
          </cell>
          <cell r="O1370" t="str">
            <v>B.Fun.</v>
          </cell>
          <cell r="Q1370">
            <v>5.2</v>
          </cell>
          <cell r="R1370">
            <v>5.38</v>
          </cell>
          <cell r="S1370" t="str">
            <v>+20</v>
          </cell>
          <cell r="T1370">
            <v>0</v>
          </cell>
          <cell r="Z1370" t="str">
            <v>3705CCA11</v>
          </cell>
          <cell r="AA1370" t="str">
            <v>HEA240</v>
          </cell>
          <cell r="AB1370" t="str">
            <v>3705CCA12</v>
          </cell>
          <cell r="AC1370" t="str">
            <v>HEA240</v>
          </cell>
          <cell r="AD1370" t="str">
            <v>3,4</v>
          </cell>
          <cell r="AE1370" t="str">
            <v>3,1</v>
          </cell>
          <cell r="AF1370" t="str">
            <v>3,4</v>
          </cell>
          <cell r="AG1370" t="str">
            <v>5,20</v>
          </cell>
          <cell r="AH1370" t="str">
            <v>5,20</v>
          </cell>
          <cell r="AI1370" t="str">
            <v>0,20</v>
          </cell>
          <cell r="AJ1370" t="str">
            <v>0,20</v>
          </cell>
          <cell r="AK1370">
            <v>5820</v>
          </cell>
          <cell r="AL1370">
            <v>5881</v>
          </cell>
          <cell r="AM1370">
            <v>2855</v>
          </cell>
          <cell r="AN1370">
            <v>3350</v>
          </cell>
          <cell r="AO1370">
            <v>3215</v>
          </cell>
          <cell r="AP1370" t="str">
            <v>14,25%</v>
          </cell>
          <cell r="AQ1370" t="str">
            <v>14,25%</v>
          </cell>
          <cell r="AR1370" t="str">
            <v>5,39</v>
          </cell>
          <cell r="AS1370" t="str">
            <v>5,39</v>
          </cell>
          <cell r="AT1370" t="str">
            <v>0,00</v>
          </cell>
          <cell r="AU1370" t="str">
            <v>0,00</v>
          </cell>
          <cell r="AV1370">
            <v>6002</v>
          </cell>
          <cell r="AW1370">
            <v>6002</v>
          </cell>
          <cell r="AX1370">
            <v>3237</v>
          </cell>
          <cell r="AY1370" t="str">
            <v>0,980</v>
          </cell>
          <cell r="AZ1370">
            <v>3237</v>
          </cell>
          <cell r="BA1370" t="str">
            <v>15,66%</v>
          </cell>
          <cell r="BB1370" t="str">
            <v>15,66%</v>
          </cell>
          <cell r="BW1370" t="str">
            <v>C.F.18.A</v>
          </cell>
        </row>
        <row r="1371">
          <cell r="C1371">
            <v>20</v>
          </cell>
          <cell r="F1371" t="str">
            <v/>
          </cell>
          <cell r="G1371" t="str">
            <v/>
          </cell>
          <cell r="N1371" t="str">
            <v/>
          </cell>
          <cell r="U1371" t="str">
            <v>Cantón 887,1 m</v>
          </cell>
        </row>
        <row r="1372">
          <cell r="B1372" t="str">
            <v>3705CCA14</v>
          </cell>
          <cell r="D1372">
            <v>3292.3599999999979</v>
          </cell>
          <cell r="E1372">
            <v>31512.689000000013</v>
          </cell>
          <cell r="F1372" t="str">
            <v>-41521.90</v>
          </cell>
          <cell r="G1372" t="str">
            <v>162881.74</v>
          </cell>
          <cell r="I1372" t="str">
            <v>A/S</v>
          </cell>
          <cell r="J1372" t="str">
            <v>3,4</v>
          </cell>
          <cell r="K1372" t="str">
            <v>Funicular</v>
          </cell>
          <cell r="L1372" t="str">
            <v>HEM 320</v>
          </cell>
          <cell r="M1372" t="str">
            <v>M7</v>
          </cell>
          <cell r="N1372" t="str">
            <v>Delta</v>
          </cell>
          <cell r="Q1372">
            <v>5.2</v>
          </cell>
          <cell r="R1372">
            <v>5.5</v>
          </cell>
          <cell r="S1372">
            <v>-20</v>
          </cell>
          <cell r="V1372" t="str">
            <v>Ancoraem 2HC</v>
          </cell>
          <cell r="Z1372" t="str">
            <v>3705CCA13</v>
          </cell>
          <cell r="AA1372" t="str">
            <v>HEM 320</v>
          </cell>
          <cell r="AB1372" t="str">
            <v>3705CCA14</v>
          </cell>
          <cell r="AC1372" t="str">
            <v>HEM 320</v>
          </cell>
          <cell r="AD1372" t="str">
            <v>3,4</v>
          </cell>
          <cell r="AE1372" t="str">
            <v>3,1</v>
          </cell>
          <cell r="AF1372" t="str">
            <v>3,4</v>
          </cell>
          <cell r="AG1372" t="str">
            <v>5,20</v>
          </cell>
          <cell r="AH1372" t="str">
            <v>5,20</v>
          </cell>
          <cell r="AI1372" t="str">
            <v>-0,20</v>
          </cell>
          <cell r="AJ1372" t="str">
            <v>-0,20</v>
          </cell>
          <cell r="AK1372">
            <v>5874</v>
          </cell>
          <cell r="AL1372">
            <v>5812</v>
          </cell>
          <cell r="AM1372">
            <v>3258</v>
          </cell>
          <cell r="AN1372">
            <v>3350</v>
          </cell>
          <cell r="AO1372">
            <v>2830</v>
          </cell>
          <cell r="AP1372" t="str">
            <v>14,25%</v>
          </cell>
          <cell r="AQ1372" t="str">
            <v>14,25%</v>
          </cell>
          <cell r="AV1372" t="str">
            <v>5,50</v>
          </cell>
          <cell r="AW1372" t="str">
            <v>5,50</v>
          </cell>
          <cell r="BW1372" t="str">
            <v>C.F.7.A</v>
          </cell>
        </row>
        <row r="1373">
          <cell r="C1373">
            <v>20</v>
          </cell>
          <cell r="F1373" t="str">
            <v/>
          </cell>
          <cell r="G1373" t="str">
            <v/>
          </cell>
          <cell r="N1373" t="str">
            <v/>
          </cell>
          <cell r="X1373" t="str">
            <v>1PEAD D110mm ou 2PEAD D63mm</v>
          </cell>
        </row>
        <row r="1374">
          <cell r="B1374" t="str">
            <v>3705CCA16</v>
          </cell>
          <cell r="D1374">
            <v>3312.3599999999979</v>
          </cell>
          <cell r="E1374">
            <v>31492.689000000013</v>
          </cell>
          <cell r="F1374" t="str">
            <v>-41516.07</v>
          </cell>
          <cell r="G1374" t="str">
            <v>162862.61</v>
          </cell>
          <cell r="I1374" t="str">
            <v>S</v>
          </cell>
          <cell r="J1374" t="str">
            <v>3,4</v>
          </cell>
          <cell r="K1374" t="str">
            <v>Funicular</v>
          </cell>
          <cell r="L1374" t="str">
            <v>HEA 220</v>
          </cell>
          <cell r="M1374" t="str">
            <v>M1</v>
          </cell>
          <cell r="N1374" t="str">
            <v>Delta</v>
          </cell>
          <cell r="Q1374">
            <v>5.0678000000000001</v>
          </cell>
          <cell r="S1374" t="str">
            <v>+20</v>
          </cell>
          <cell r="X1374" t="str">
            <v>FR</v>
          </cell>
          <cell r="Z1374" t="str">
            <v>3705CCA15</v>
          </cell>
          <cell r="AA1374" t="str">
            <v>HEA220</v>
          </cell>
          <cell r="AB1374" t="str">
            <v>3705CCA16</v>
          </cell>
          <cell r="AC1374" t="str">
            <v>HEA220</v>
          </cell>
          <cell r="AD1374" t="str">
            <v>3,4</v>
          </cell>
          <cell r="AE1374" t="str">
            <v>3,1</v>
          </cell>
          <cell r="AF1374" t="str">
            <v>3,4</v>
          </cell>
          <cell r="AG1374" t="str">
            <v>5,07</v>
          </cell>
          <cell r="AH1374" t="str">
            <v>5,07</v>
          </cell>
          <cell r="AI1374" t="str">
            <v>0,20</v>
          </cell>
          <cell r="AJ1374" t="str">
            <v>0,20</v>
          </cell>
          <cell r="AK1374">
            <v>5690</v>
          </cell>
          <cell r="AL1374">
            <v>5751</v>
          </cell>
          <cell r="AM1374">
            <v>2865</v>
          </cell>
          <cell r="AN1374">
            <v>3350</v>
          </cell>
          <cell r="AO1374">
            <v>3225</v>
          </cell>
          <cell r="AP1374" t="str">
            <v>14,25%</v>
          </cell>
          <cell r="AQ1374" t="str">
            <v>14,25%</v>
          </cell>
          <cell r="AV1374">
            <v>5990</v>
          </cell>
          <cell r="AW1374">
            <v>6051</v>
          </cell>
          <cell r="BW1374" t="str">
            <v>C.F.24</v>
          </cell>
        </row>
        <row r="1375">
          <cell r="C1375">
            <v>20</v>
          </cell>
          <cell r="F1375" t="str">
            <v/>
          </cell>
          <cell r="G1375" t="str">
            <v/>
          </cell>
          <cell r="N1375" t="str">
            <v/>
          </cell>
          <cell r="X1375" t="str">
            <v>1PEAD D110mm ou 2PEAD D63mm</v>
          </cell>
        </row>
        <row r="1376">
          <cell r="B1376" t="str">
            <v>3705CCA18</v>
          </cell>
          <cell r="D1376">
            <v>3332.3599999999979</v>
          </cell>
          <cell r="E1376">
            <v>31472.689000000013</v>
          </cell>
          <cell r="F1376" t="str">
            <v>-41510.24</v>
          </cell>
          <cell r="G1376" t="str">
            <v>162843.48</v>
          </cell>
          <cell r="I1376" t="str">
            <v>S</v>
          </cell>
          <cell r="J1376" t="str">
            <v>3,4</v>
          </cell>
          <cell r="K1376" t="str">
            <v>Funicular</v>
          </cell>
          <cell r="L1376" t="str">
            <v>HEA 220</v>
          </cell>
          <cell r="M1376" t="str">
            <v>M1</v>
          </cell>
          <cell r="N1376" t="str">
            <v>Delta</v>
          </cell>
          <cell r="Q1376">
            <v>4.9478</v>
          </cell>
          <cell r="S1376">
            <v>-20</v>
          </cell>
          <cell r="Z1376" t="str">
            <v>3705CCA17</v>
          </cell>
          <cell r="AA1376" t="str">
            <v>HEA220</v>
          </cell>
          <cell r="AB1376" t="str">
            <v>3705CCA18</v>
          </cell>
          <cell r="AC1376" t="str">
            <v>HEA220</v>
          </cell>
          <cell r="AD1376" t="str">
            <v>3,4</v>
          </cell>
          <cell r="AE1376" t="str">
            <v>3,1</v>
          </cell>
          <cell r="AF1376" t="str">
            <v>3,4</v>
          </cell>
          <cell r="AG1376" t="str">
            <v>4,95</v>
          </cell>
          <cell r="AH1376" t="str">
            <v>4,95</v>
          </cell>
          <cell r="AI1376" t="str">
            <v>-0,20</v>
          </cell>
          <cell r="AJ1376" t="str">
            <v>-0,20</v>
          </cell>
          <cell r="AK1376">
            <v>5631</v>
          </cell>
          <cell r="AL1376">
            <v>5570</v>
          </cell>
          <cell r="AM1376">
            <v>3324</v>
          </cell>
          <cell r="AN1376">
            <v>3350</v>
          </cell>
          <cell r="AO1376">
            <v>2895</v>
          </cell>
          <cell r="AP1376" t="str">
            <v>14,25%</v>
          </cell>
          <cell r="AQ1376" t="str">
            <v>14,25%</v>
          </cell>
          <cell r="BW1376" t="str">
            <v>C.F.2</v>
          </cell>
        </row>
        <row r="1377">
          <cell r="C1377">
            <v>20</v>
          </cell>
          <cell r="F1377" t="str">
            <v/>
          </cell>
          <cell r="G1377" t="str">
            <v/>
          </cell>
          <cell r="N1377" t="str">
            <v/>
          </cell>
        </row>
        <row r="1378">
          <cell r="B1378" t="str">
            <v>3705CCA20</v>
          </cell>
          <cell r="D1378">
            <v>3352.3599999999979</v>
          </cell>
          <cell r="E1378">
            <v>31452.689000000013</v>
          </cell>
          <cell r="F1378" t="str">
            <v>-41504.41</v>
          </cell>
          <cell r="G1378" t="str">
            <v>162824.35</v>
          </cell>
          <cell r="I1378" t="str">
            <v>S</v>
          </cell>
          <cell r="J1378" t="str">
            <v>3,4</v>
          </cell>
          <cell r="K1378" t="str">
            <v>Funicular</v>
          </cell>
          <cell r="L1378" t="str">
            <v>HEA 220</v>
          </cell>
          <cell r="M1378" t="str">
            <v>M1</v>
          </cell>
          <cell r="N1378" t="str">
            <v>Delta</v>
          </cell>
          <cell r="Q1378">
            <v>4.8277999999999999</v>
          </cell>
          <cell r="S1378" t="str">
            <v>+20</v>
          </cell>
          <cell r="Z1378" t="str">
            <v>3705CCA19</v>
          </cell>
          <cell r="AA1378" t="str">
            <v>HEA220</v>
          </cell>
          <cell r="AB1378" t="str">
            <v>3705CCA20</v>
          </cell>
          <cell r="AC1378" t="str">
            <v>HEA220</v>
          </cell>
          <cell r="AD1378" t="str">
            <v>3,4</v>
          </cell>
          <cell r="AE1378" t="str">
            <v>3,1</v>
          </cell>
          <cell r="AF1378" t="str">
            <v>3,4</v>
          </cell>
          <cell r="AG1378" t="str">
            <v>4,83</v>
          </cell>
          <cell r="AH1378" t="str">
            <v>4,83</v>
          </cell>
          <cell r="AI1378" t="str">
            <v>0,20</v>
          </cell>
          <cell r="AJ1378" t="str">
            <v>0,20</v>
          </cell>
          <cell r="AK1378">
            <v>5484</v>
          </cell>
          <cell r="AL1378">
            <v>5550</v>
          </cell>
          <cell r="AM1378">
            <v>2905</v>
          </cell>
          <cell r="AN1378">
            <v>3350</v>
          </cell>
          <cell r="AO1378">
            <v>3336</v>
          </cell>
          <cell r="AP1378" t="str">
            <v>15,35%</v>
          </cell>
          <cell r="AQ1378" t="str">
            <v>15,35%</v>
          </cell>
          <cell r="BW1378" t="str">
            <v>C.F.1</v>
          </cell>
        </row>
        <row r="1379">
          <cell r="C1379">
            <v>23.3</v>
          </cell>
          <cell r="F1379" t="str">
            <v/>
          </cell>
          <cell r="G1379" t="str">
            <v/>
          </cell>
          <cell r="N1379" t="str">
            <v/>
          </cell>
        </row>
        <row r="1380">
          <cell r="B1380" t="str">
            <v>3705CCA22</v>
          </cell>
          <cell r="D1380">
            <v>3375.659999999998</v>
          </cell>
          <cell r="E1380">
            <v>31429.389000000014</v>
          </cell>
          <cell r="F1380" t="str">
            <v>-41497.57</v>
          </cell>
          <cell r="G1380" t="str">
            <v>162802.03</v>
          </cell>
          <cell r="I1380" t="str">
            <v>S</v>
          </cell>
          <cell r="J1380" t="str">
            <v>3,4</v>
          </cell>
          <cell r="K1380" t="str">
            <v>Funicular</v>
          </cell>
          <cell r="L1380" t="str">
            <v>HEA 220</v>
          </cell>
          <cell r="M1380" t="str">
            <v>M1</v>
          </cell>
          <cell r="N1380" t="str">
            <v>Delta</v>
          </cell>
          <cell r="Q1380">
            <v>4.6879999999999997</v>
          </cell>
          <cell r="S1380">
            <v>-20</v>
          </cell>
          <cell r="Z1380" t="str">
            <v>3705CCA21</v>
          </cell>
          <cell r="AA1380" t="str">
            <v>HEA220</v>
          </cell>
          <cell r="AB1380" t="str">
            <v>3705CCA22</v>
          </cell>
          <cell r="AC1380" t="str">
            <v>HEA220</v>
          </cell>
          <cell r="AD1380" t="str">
            <v>3,4</v>
          </cell>
          <cell r="AE1380" t="str">
            <v>3,1</v>
          </cell>
          <cell r="AF1380" t="str">
            <v>3,4</v>
          </cell>
          <cell r="AG1380" t="str">
            <v>4,69</v>
          </cell>
          <cell r="AH1380" t="str">
            <v>4,69</v>
          </cell>
          <cell r="AI1380" t="str">
            <v>-0,20</v>
          </cell>
          <cell r="AJ1380" t="str">
            <v>-0,20</v>
          </cell>
          <cell r="AK1380">
            <v>5434</v>
          </cell>
          <cell r="AL1380">
            <v>5365</v>
          </cell>
          <cell r="AM1380">
            <v>3343</v>
          </cell>
          <cell r="AN1380">
            <v>3350</v>
          </cell>
          <cell r="AO1380">
            <v>2912</v>
          </cell>
          <cell r="AP1380" t="str">
            <v>16,01%</v>
          </cell>
          <cell r="AQ1380" t="str">
            <v>16,01%</v>
          </cell>
          <cell r="BW1380" t="str">
            <v>C.F.2</v>
          </cell>
        </row>
        <row r="1381">
          <cell r="C1381">
            <v>22</v>
          </cell>
          <cell r="F1381" t="str">
            <v/>
          </cell>
          <cell r="G1381" t="str">
            <v/>
          </cell>
          <cell r="N1381" t="str">
            <v/>
          </cell>
        </row>
        <row r="1382">
          <cell r="B1382" t="str">
            <v>3705CCA24</v>
          </cell>
          <cell r="D1382">
            <v>3397.659999999998</v>
          </cell>
          <cell r="E1382">
            <v>31407.389000000014</v>
          </cell>
          <cell r="F1382" t="str">
            <v>-41491.18</v>
          </cell>
          <cell r="G1382" t="str">
            <v>162780.98</v>
          </cell>
          <cell r="I1382" t="str">
            <v>S</v>
          </cell>
          <cell r="J1382" t="str">
            <v>3,3</v>
          </cell>
          <cell r="K1382" t="str">
            <v>Funicular</v>
          </cell>
          <cell r="L1382" t="str">
            <v>HEA 220</v>
          </cell>
          <cell r="M1382" t="str">
            <v>M1</v>
          </cell>
          <cell r="N1382" t="str">
            <v>Delta</v>
          </cell>
          <cell r="Q1382">
            <v>4.556</v>
          </cell>
          <cell r="S1382" t="str">
            <v>+20</v>
          </cell>
          <cell r="Z1382" t="str">
            <v>3705CCA23</v>
          </cell>
          <cell r="AA1382" t="str">
            <v>HEA220</v>
          </cell>
          <cell r="AB1382" t="str">
            <v>3705CCA24</v>
          </cell>
          <cell r="AC1382" t="str">
            <v>HEA220</v>
          </cell>
          <cell r="AD1382" t="str">
            <v>3,3</v>
          </cell>
          <cell r="AE1382" t="str">
            <v>3,1</v>
          </cell>
          <cell r="AF1382" t="str">
            <v>3,3</v>
          </cell>
          <cell r="AG1382" t="str">
            <v>4,56</v>
          </cell>
          <cell r="AH1382" t="str">
            <v>4,56</v>
          </cell>
          <cell r="AI1382" t="str">
            <v>0,20</v>
          </cell>
          <cell r="AJ1382" t="str">
            <v>0,20</v>
          </cell>
          <cell r="AK1382">
            <v>5143</v>
          </cell>
          <cell r="AL1382">
            <v>5201</v>
          </cell>
          <cell r="AM1382">
            <v>2787</v>
          </cell>
          <cell r="AN1382">
            <v>3350</v>
          </cell>
          <cell r="AO1382">
            <v>3215</v>
          </cell>
          <cell r="AP1382" t="str">
            <v>13,58%</v>
          </cell>
          <cell r="AQ1382" t="str">
            <v>13,58%</v>
          </cell>
          <cell r="BW1382" t="str">
            <v>C.F.1</v>
          </cell>
        </row>
        <row r="1383">
          <cell r="C1383">
            <v>16</v>
          </cell>
          <cell r="F1383" t="str">
            <v/>
          </cell>
          <cell r="G1383" t="str">
            <v/>
          </cell>
          <cell r="N1383" t="str">
            <v/>
          </cell>
        </row>
        <row r="1384">
          <cell r="B1384" t="str">
            <v>3705CCA26</v>
          </cell>
          <cell r="D1384">
            <v>3413.659999999998</v>
          </cell>
          <cell r="E1384">
            <v>31391.389000000014</v>
          </cell>
          <cell r="F1384" t="str">
            <v>-41486.56</v>
          </cell>
          <cell r="G1384" t="str">
            <v>162765.68</v>
          </cell>
          <cell r="I1384" t="str">
            <v>S</v>
          </cell>
          <cell r="J1384" t="str">
            <v>3,3</v>
          </cell>
          <cell r="K1384" t="str">
            <v>Funicular</v>
          </cell>
          <cell r="L1384" t="str">
            <v>HEA 220</v>
          </cell>
          <cell r="M1384" t="str">
            <v>M1</v>
          </cell>
          <cell r="N1384" t="str">
            <v>Delta</v>
          </cell>
          <cell r="Q1384">
            <v>4.46</v>
          </cell>
          <cell r="S1384">
            <v>-20</v>
          </cell>
          <cell r="Z1384" t="str">
            <v>3705CCA25</v>
          </cell>
          <cell r="AA1384" t="str">
            <v>HEA220</v>
          </cell>
          <cell r="AB1384" t="str">
            <v>3705CCA26</v>
          </cell>
          <cell r="AC1384" t="str">
            <v>HEA220</v>
          </cell>
          <cell r="AD1384" t="str">
            <v>3,3</v>
          </cell>
          <cell r="AE1384" t="str">
            <v>3,1</v>
          </cell>
          <cell r="AF1384" t="str">
            <v>3,3</v>
          </cell>
          <cell r="AG1384" t="str">
            <v>4,46</v>
          </cell>
          <cell r="AH1384" t="str">
            <v>4,46</v>
          </cell>
          <cell r="AI1384" t="str">
            <v>-0,20</v>
          </cell>
          <cell r="AJ1384" t="str">
            <v>-0,20</v>
          </cell>
          <cell r="AK1384">
            <v>5082</v>
          </cell>
          <cell r="AL1384">
            <v>5027</v>
          </cell>
          <cell r="AM1384">
            <v>3209</v>
          </cell>
          <cell r="AN1384">
            <v>3350</v>
          </cell>
          <cell r="AO1384">
            <v>2782</v>
          </cell>
          <cell r="AP1384" t="str">
            <v>12,92%</v>
          </cell>
          <cell r="AQ1384" t="str">
            <v>12,92%</v>
          </cell>
          <cell r="BW1384" t="str">
            <v>C.F.2</v>
          </cell>
        </row>
        <row r="1385">
          <cell r="C1385">
            <v>20</v>
          </cell>
          <cell r="F1385" t="str">
            <v/>
          </cell>
          <cell r="G1385" t="str">
            <v/>
          </cell>
          <cell r="N1385" t="str">
            <v/>
          </cell>
        </row>
        <row r="1386">
          <cell r="B1386" t="str">
            <v>3705CCA28</v>
          </cell>
          <cell r="D1386">
            <v>3433.659999999998</v>
          </cell>
          <cell r="E1386">
            <v>31371.389000000014</v>
          </cell>
          <cell r="F1386" t="str">
            <v>-41480.71</v>
          </cell>
          <cell r="G1386" t="str">
            <v>162746.55</v>
          </cell>
          <cell r="I1386" t="str">
            <v>S</v>
          </cell>
          <cell r="J1386" t="str">
            <v>3,4</v>
          </cell>
          <cell r="K1386" t="str">
            <v>Funicular</v>
          </cell>
          <cell r="L1386" t="str">
            <v>HEA 220</v>
          </cell>
          <cell r="M1386" t="str">
            <v>M1</v>
          </cell>
          <cell r="N1386" t="str">
            <v>Delta</v>
          </cell>
          <cell r="Q1386">
            <v>4.34</v>
          </cell>
          <cell r="S1386" t="str">
            <v>+20</v>
          </cell>
          <cell r="Z1386" t="str">
            <v>3705CCA27</v>
          </cell>
          <cell r="AA1386" t="str">
            <v>HEA220</v>
          </cell>
          <cell r="AB1386" t="str">
            <v>3705CCA28</v>
          </cell>
          <cell r="AC1386" t="str">
            <v>HEA220</v>
          </cell>
          <cell r="AD1386" t="str">
            <v>3,4</v>
          </cell>
          <cell r="AE1386" t="str">
            <v>3,1</v>
          </cell>
          <cell r="AF1386" t="str">
            <v>3,4</v>
          </cell>
          <cell r="AG1386" t="str">
            <v>4,34</v>
          </cell>
          <cell r="AH1386" t="str">
            <v>4,34</v>
          </cell>
          <cell r="AI1386" t="str">
            <v>0,20</v>
          </cell>
          <cell r="AJ1386" t="str">
            <v>0,20</v>
          </cell>
          <cell r="AK1386">
            <v>4962</v>
          </cell>
          <cell r="AL1386">
            <v>5023</v>
          </cell>
          <cell r="AM1386">
            <v>2895</v>
          </cell>
          <cell r="AN1386">
            <v>3350</v>
          </cell>
          <cell r="AO1386">
            <v>3324</v>
          </cell>
          <cell r="AP1386" t="str">
            <v>14,25%</v>
          </cell>
          <cell r="AQ1386" t="str">
            <v>14,25%</v>
          </cell>
          <cell r="BW1386" t="str">
            <v>C.F.1</v>
          </cell>
        </row>
        <row r="1387">
          <cell r="C1387">
            <v>20</v>
          </cell>
          <cell r="F1387" t="str">
            <v/>
          </cell>
          <cell r="G1387" t="str">
            <v/>
          </cell>
          <cell r="N1387" t="str">
            <v/>
          </cell>
          <cell r="X1387" t="str">
            <v>1PEAD D110mm ou 2PEAD D63mm+ 1PEAD 32mm</v>
          </cell>
        </row>
        <row r="1388">
          <cell r="B1388" t="str">
            <v>3705CCA30</v>
          </cell>
          <cell r="D1388">
            <v>3453.659999999998</v>
          </cell>
          <cell r="E1388">
            <v>31351.389000000014</v>
          </cell>
          <cell r="F1388" t="str">
            <v>-41474.87</v>
          </cell>
          <cell r="G1388" t="str">
            <v>162727.43</v>
          </cell>
          <cell r="I1388" t="str">
            <v>S</v>
          </cell>
          <cell r="J1388" t="str">
            <v>3,4</v>
          </cell>
          <cell r="K1388" t="str">
            <v>Funicular</v>
          </cell>
          <cell r="L1388" t="str">
            <v>HEA 220</v>
          </cell>
          <cell r="M1388" t="str">
            <v>M1</v>
          </cell>
          <cell r="N1388" t="str">
            <v>Delta</v>
          </cell>
          <cell r="Q1388">
            <v>4.22</v>
          </cell>
          <cell r="S1388">
            <v>-20</v>
          </cell>
          <cell r="X1388" t="str">
            <v>FR</v>
          </cell>
          <cell r="Z1388" t="str">
            <v>3705CCA29</v>
          </cell>
          <cell r="AA1388" t="str">
            <v>HEA220</v>
          </cell>
          <cell r="AB1388" t="str">
            <v>3705CCA30</v>
          </cell>
          <cell r="AC1388" t="str">
            <v>HEA220</v>
          </cell>
          <cell r="AD1388" t="str">
            <v>3,4</v>
          </cell>
          <cell r="AE1388" t="str">
            <v>3,1</v>
          </cell>
          <cell r="AF1388" t="str">
            <v>3,4</v>
          </cell>
          <cell r="AG1388" t="str">
            <v>4,22</v>
          </cell>
          <cell r="AH1388" t="str">
            <v>4,22</v>
          </cell>
          <cell r="AI1388" t="str">
            <v>0,20</v>
          </cell>
          <cell r="AJ1388" t="str">
            <v>-0,20</v>
          </cell>
          <cell r="AK1388">
            <v>4903</v>
          </cell>
          <cell r="AL1388">
            <v>4842</v>
          </cell>
          <cell r="AM1388">
            <v>3289</v>
          </cell>
          <cell r="AN1388">
            <v>3350</v>
          </cell>
          <cell r="AO1388">
            <v>2796</v>
          </cell>
          <cell r="AP1388" t="str">
            <v>14,25%</v>
          </cell>
          <cell r="AQ1388" t="str">
            <v>14,25%</v>
          </cell>
          <cell r="AV1388">
            <v>5203</v>
          </cell>
          <cell r="AW1388">
            <v>5442</v>
          </cell>
          <cell r="BW1388" t="str">
            <v>C.F.26</v>
          </cell>
        </row>
        <row r="1389">
          <cell r="C1389">
            <v>20</v>
          </cell>
          <cell r="F1389" t="str">
            <v/>
          </cell>
          <cell r="G1389" t="str">
            <v/>
          </cell>
          <cell r="N1389" t="str">
            <v/>
          </cell>
          <cell r="X1389" t="str">
            <v>1PEAD D110mm ou 2PEAD D63mm</v>
          </cell>
        </row>
        <row r="1390">
          <cell r="B1390" t="str">
            <v>3705CCA32</v>
          </cell>
          <cell r="D1390">
            <v>3473.659999999998</v>
          </cell>
          <cell r="E1390">
            <v>31331.389000000014</v>
          </cell>
          <cell r="F1390" t="str">
            <v>-41469.03</v>
          </cell>
          <cell r="G1390" t="str">
            <v>162708.29</v>
          </cell>
          <cell r="I1390" t="str">
            <v>S</v>
          </cell>
          <cell r="J1390" t="str">
            <v>3,4</v>
          </cell>
          <cell r="K1390" t="str">
            <v>Funicular</v>
          </cell>
          <cell r="L1390" t="str">
            <v>HEA 220</v>
          </cell>
          <cell r="M1390" t="str">
            <v>M1</v>
          </cell>
          <cell r="N1390" t="str">
            <v>Delta</v>
          </cell>
          <cell r="Q1390">
            <v>4.0999999999999996</v>
          </cell>
          <cell r="S1390" t="str">
            <v>+20</v>
          </cell>
          <cell r="Z1390" t="str">
            <v>3705CCA31</v>
          </cell>
          <cell r="AA1390" t="str">
            <v>HEA220</v>
          </cell>
          <cell r="AB1390" t="str">
            <v>3705CCA32</v>
          </cell>
          <cell r="AC1390" t="str">
            <v>HEA220</v>
          </cell>
          <cell r="AD1390" t="str">
            <v>3,4</v>
          </cell>
          <cell r="AE1390" t="str">
            <v>3,1</v>
          </cell>
          <cell r="AF1390" t="str">
            <v>3,4</v>
          </cell>
          <cell r="AG1390" t="str">
            <v>4,10</v>
          </cell>
          <cell r="AH1390" t="str">
            <v>4,10</v>
          </cell>
          <cell r="AI1390" t="str">
            <v>0,20</v>
          </cell>
          <cell r="AJ1390" t="str">
            <v>0,20</v>
          </cell>
          <cell r="AK1390">
            <v>4722</v>
          </cell>
          <cell r="AL1390">
            <v>4783</v>
          </cell>
          <cell r="AM1390">
            <v>2895</v>
          </cell>
          <cell r="AN1390">
            <v>3350</v>
          </cell>
          <cell r="AO1390">
            <v>3324</v>
          </cell>
          <cell r="AP1390" t="str">
            <v>14,25%</v>
          </cell>
          <cell r="AQ1390" t="str">
            <v>14,25%</v>
          </cell>
          <cell r="BW1390" t="str">
            <v>C.F.1</v>
          </cell>
        </row>
        <row r="1391">
          <cell r="C1391">
            <v>20</v>
          </cell>
          <cell r="F1391" t="str">
            <v/>
          </cell>
          <cell r="G1391" t="str">
            <v/>
          </cell>
          <cell r="N1391" t="str">
            <v/>
          </cell>
        </row>
        <row r="1392">
          <cell r="B1392" t="str">
            <v>3705CCA34</v>
          </cell>
          <cell r="D1392">
            <v>3493.659999999998</v>
          </cell>
          <cell r="E1392">
            <v>31311.389000000014</v>
          </cell>
          <cell r="F1392" t="str">
            <v>-41463.20</v>
          </cell>
          <cell r="G1392" t="str">
            <v>162689.16</v>
          </cell>
          <cell r="I1392" t="str">
            <v>S</v>
          </cell>
          <cell r="J1392" t="str">
            <v>3,4</v>
          </cell>
          <cell r="K1392" t="str">
            <v>Funicular</v>
          </cell>
          <cell r="L1392" t="str">
            <v>HEA 220</v>
          </cell>
          <cell r="M1392" t="str">
            <v>M1</v>
          </cell>
          <cell r="N1392" t="str">
            <v>Delta</v>
          </cell>
          <cell r="Q1392">
            <v>3.98</v>
          </cell>
          <cell r="S1392">
            <v>-20</v>
          </cell>
          <cell r="Z1392" t="str">
            <v>3705CCA33</v>
          </cell>
          <cell r="AA1392" t="str">
            <v>HEA220</v>
          </cell>
          <cell r="AB1392" t="str">
            <v>3705CCA34</v>
          </cell>
          <cell r="AC1392" t="str">
            <v>HEA220</v>
          </cell>
          <cell r="AD1392" t="str">
            <v>3,4</v>
          </cell>
          <cell r="AE1392" t="str">
            <v>3,1</v>
          </cell>
          <cell r="AF1392" t="str">
            <v>3,4</v>
          </cell>
          <cell r="AG1392" t="str">
            <v>3,98</v>
          </cell>
          <cell r="AH1392" t="str">
            <v>3,98</v>
          </cell>
          <cell r="AI1392" t="str">
            <v>-0,20</v>
          </cell>
          <cell r="AJ1392" t="str">
            <v>-0,20</v>
          </cell>
          <cell r="AK1392">
            <v>4663</v>
          </cell>
          <cell r="AL1392">
            <v>4602</v>
          </cell>
          <cell r="AM1392">
            <v>3324</v>
          </cell>
          <cell r="AN1392">
            <v>3350</v>
          </cell>
          <cell r="AO1392">
            <v>2895</v>
          </cell>
          <cell r="AP1392" t="str">
            <v>14,25%</v>
          </cell>
          <cell r="AQ1392" t="str">
            <v>14,25%</v>
          </cell>
          <cell r="BW1392" t="str">
            <v>C.F.2</v>
          </cell>
        </row>
        <row r="1393">
          <cell r="C1393">
            <v>20</v>
          </cell>
          <cell r="F1393" t="str">
            <v/>
          </cell>
          <cell r="G1393" t="str">
            <v/>
          </cell>
          <cell r="N1393" t="str">
            <v/>
          </cell>
        </row>
        <row r="1394">
          <cell r="B1394" t="str">
            <v>3705CCA36</v>
          </cell>
          <cell r="D1394">
            <v>3513.659999999998</v>
          </cell>
          <cell r="E1394">
            <v>31291.389000000014</v>
          </cell>
          <cell r="F1394" t="str">
            <v>-41457.37</v>
          </cell>
          <cell r="G1394" t="str">
            <v>162670.03</v>
          </cell>
          <cell r="I1394" t="str">
            <v>S</v>
          </cell>
          <cell r="J1394" t="str">
            <v>3,4</v>
          </cell>
          <cell r="K1394" t="str">
            <v>Funicular</v>
          </cell>
          <cell r="L1394" t="str">
            <v>HEA 220</v>
          </cell>
          <cell r="M1394" t="str">
            <v>M1</v>
          </cell>
          <cell r="N1394" t="str">
            <v>Delta</v>
          </cell>
          <cell r="Q1394">
            <v>3.86</v>
          </cell>
          <cell r="S1394" t="str">
            <v>+20</v>
          </cell>
          <cell r="Z1394" t="str">
            <v>3705CCA35</v>
          </cell>
          <cell r="AA1394" t="str">
            <v>HEA220</v>
          </cell>
          <cell r="AB1394" t="str">
            <v>3705CCA36</v>
          </cell>
          <cell r="AC1394" t="str">
            <v>HEA220</v>
          </cell>
          <cell r="AD1394" t="str">
            <v>3,4</v>
          </cell>
          <cell r="AE1394" t="str">
            <v>3,1</v>
          </cell>
          <cell r="AF1394" t="str">
            <v>3,4</v>
          </cell>
          <cell r="AG1394" t="str">
            <v>3,86</v>
          </cell>
          <cell r="AH1394" t="str">
            <v>3,86</v>
          </cell>
          <cell r="AI1394" t="str">
            <v>0,20</v>
          </cell>
          <cell r="AJ1394" t="str">
            <v>0,20</v>
          </cell>
          <cell r="AK1394">
            <v>4482</v>
          </cell>
          <cell r="AL1394">
            <v>4543</v>
          </cell>
          <cell r="AM1394">
            <v>2895</v>
          </cell>
          <cell r="AN1394">
            <v>3350</v>
          </cell>
          <cell r="AO1394">
            <v>3324</v>
          </cell>
          <cell r="AP1394" t="str">
            <v>14,25%</v>
          </cell>
          <cell r="AQ1394" t="str">
            <v>14,25%</v>
          </cell>
          <cell r="BW1394" t="str">
            <v>C.F.1</v>
          </cell>
        </row>
        <row r="1395">
          <cell r="C1395">
            <v>20</v>
          </cell>
          <cell r="F1395" t="str">
            <v/>
          </cell>
          <cell r="G1395" t="str">
            <v/>
          </cell>
          <cell r="N1395" t="str">
            <v/>
          </cell>
        </row>
        <row r="1396">
          <cell r="B1396" t="str">
            <v>3705CCA38</v>
          </cell>
          <cell r="D1396">
            <v>3533.659999999998</v>
          </cell>
          <cell r="E1396">
            <v>31271.389000000014</v>
          </cell>
          <cell r="F1396" t="str">
            <v>-41451.53</v>
          </cell>
          <cell r="G1396" t="str">
            <v>162650.90</v>
          </cell>
          <cell r="I1396" t="str">
            <v>A/S</v>
          </cell>
          <cell r="J1396" t="str">
            <v>3,4</v>
          </cell>
          <cell r="K1396" t="str">
            <v>Funicular</v>
          </cell>
          <cell r="L1396" t="str">
            <v>HEM 320</v>
          </cell>
          <cell r="M1396" t="str">
            <v>M5</v>
          </cell>
          <cell r="N1396" t="str">
            <v>Delta</v>
          </cell>
          <cell r="Q1396">
            <v>3.8</v>
          </cell>
          <cell r="S1396">
            <v>-20</v>
          </cell>
          <cell r="Z1396" t="str">
            <v>3705CCA37</v>
          </cell>
          <cell r="AA1396" t="str">
            <v>HEA240</v>
          </cell>
          <cell r="AB1396" t="str">
            <v>3705CCA38</v>
          </cell>
          <cell r="AC1396" t="str">
            <v>HEM 320</v>
          </cell>
          <cell r="AD1396" t="str">
            <v>3,4</v>
          </cell>
          <cell r="AE1396" t="str">
            <v>3,1</v>
          </cell>
          <cell r="AF1396" t="str">
            <v>3,4</v>
          </cell>
          <cell r="AG1396" t="str">
            <v>3,80</v>
          </cell>
          <cell r="AH1396" t="str">
            <v>3,80</v>
          </cell>
          <cell r="AI1396" t="str">
            <v>-0,20</v>
          </cell>
          <cell r="AJ1396" t="str">
            <v>-0,20</v>
          </cell>
          <cell r="AK1396">
            <v>4481</v>
          </cell>
          <cell r="AL1396">
            <v>4412</v>
          </cell>
          <cell r="AM1396">
            <v>3314</v>
          </cell>
          <cell r="AN1396">
            <v>3350</v>
          </cell>
          <cell r="AO1396">
            <v>2830</v>
          </cell>
          <cell r="AP1396" t="str">
            <v>14,25%</v>
          </cell>
          <cell r="AQ1396" t="str">
            <v>14,25%</v>
          </cell>
          <cell r="AV1396" t="str">
            <v>-</v>
          </cell>
          <cell r="AW1396" t="str">
            <v>4,08</v>
          </cell>
          <cell r="BW1396" t="str">
            <v>C.F.7.A</v>
          </cell>
        </row>
        <row r="1397">
          <cell r="C1397">
            <v>20</v>
          </cell>
          <cell r="F1397" t="str">
            <v/>
          </cell>
          <cell r="G1397" t="str">
            <v/>
          </cell>
          <cell r="N1397" t="str">
            <v/>
          </cell>
        </row>
        <row r="1398">
          <cell r="B1398" t="str">
            <v>3705CCA40</v>
          </cell>
          <cell r="D1398">
            <v>3553.659999999998</v>
          </cell>
          <cell r="E1398">
            <v>31251.389000000014</v>
          </cell>
          <cell r="F1398" t="str">
            <v>-41445.70</v>
          </cell>
          <cell r="G1398" t="str">
            <v>162631.77</v>
          </cell>
          <cell r="I1398" t="str">
            <v>Elev.</v>
          </cell>
          <cell r="J1398" t="str">
            <v>3,4</v>
          </cell>
          <cell r="K1398" t="str">
            <v>Funicular</v>
          </cell>
          <cell r="L1398" t="str">
            <v>HEA 240</v>
          </cell>
          <cell r="M1398" t="str">
            <v>M2</v>
          </cell>
          <cell r="N1398" t="str">
            <v>Delta</v>
          </cell>
          <cell r="O1398" t="str">
            <v>B.Fun.</v>
          </cell>
          <cell r="Q1398">
            <v>3.8</v>
          </cell>
          <cell r="S1398">
            <v>0</v>
          </cell>
          <cell r="T1398" t="str">
            <v>+20</v>
          </cell>
          <cell r="Z1398" t="str">
            <v>3705CCA39</v>
          </cell>
          <cell r="AA1398" t="str">
            <v>HEA240</v>
          </cell>
          <cell r="AB1398" t="str">
            <v>3705CCA40</v>
          </cell>
          <cell r="AC1398" t="str">
            <v>HEA240</v>
          </cell>
          <cell r="AD1398" t="str">
            <v>3,4</v>
          </cell>
          <cell r="AE1398" t="str">
            <v>3,1</v>
          </cell>
          <cell r="AF1398" t="str">
            <v>3,4</v>
          </cell>
          <cell r="AG1398" t="str">
            <v>3,80</v>
          </cell>
          <cell r="AH1398" t="str">
            <v>3,80</v>
          </cell>
          <cell r="AI1398" t="str">
            <v>0,20</v>
          </cell>
          <cell r="AJ1398" t="str">
            <v>0,20</v>
          </cell>
          <cell r="AK1398">
            <v>4420</v>
          </cell>
          <cell r="AL1398">
            <v>4481</v>
          </cell>
          <cell r="AM1398">
            <v>2855</v>
          </cell>
          <cell r="AN1398">
            <v>3350</v>
          </cell>
          <cell r="AO1398">
            <v>3215</v>
          </cell>
          <cell r="AP1398" t="str">
            <v>14,25%</v>
          </cell>
          <cell r="AQ1398" t="str">
            <v>14,25%</v>
          </cell>
          <cell r="AS1398" t="str">
            <v>3,92</v>
          </cell>
          <cell r="AU1398" t="str">
            <v>0,00</v>
          </cell>
          <cell r="AV1398" t="str">
            <v>6,27</v>
          </cell>
          <cell r="AW1398" t="str">
            <v>6,10</v>
          </cell>
          <cell r="AX1398">
            <v>4560</v>
          </cell>
          <cell r="AZ1398">
            <v>4070</v>
          </cell>
          <cell r="BA1398" t="str">
            <v>14,64%</v>
          </cell>
          <cell r="BB1398" t="str">
            <v>15,00%</v>
          </cell>
          <cell r="BW1398" t="str">
            <v>C.F.12</v>
          </cell>
        </row>
        <row r="1399">
          <cell r="C1399">
            <v>20</v>
          </cell>
          <cell r="F1399" t="str">
            <v/>
          </cell>
          <cell r="G1399" t="str">
            <v/>
          </cell>
          <cell r="N1399" t="str">
            <v/>
          </cell>
        </row>
        <row r="1400">
          <cell r="B1400" t="str">
            <v>3705CCA42</v>
          </cell>
          <cell r="D1400">
            <v>3573.659999999998</v>
          </cell>
          <cell r="E1400">
            <v>31231.389000000014</v>
          </cell>
          <cell r="F1400" t="str">
            <v>-41439.87</v>
          </cell>
          <cell r="G1400" t="str">
            <v>162612.64</v>
          </cell>
          <cell r="I1400" t="str">
            <v>Elev.</v>
          </cell>
          <cell r="J1400" t="str">
            <v>3,4</v>
          </cell>
          <cell r="K1400" t="str">
            <v>Funicular</v>
          </cell>
          <cell r="L1400" t="str">
            <v>HEA 240</v>
          </cell>
          <cell r="M1400" t="str">
            <v>M2</v>
          </cell>
          <cell r="N1400" t="str">
            <v>Delta</v>
          </cell>
          <cell r="O1400" t="str">
            <v>B.Fun.</v>
          </cell>
          <cell r="Q1400">
            <v>3.8</v>
          </cell>
          <cell r="S1400">
            <v>-20</v>
          </cell>
          <cell r="T1400">
            <v>0</v>
          </cell>
          <cell r="Z1400" t="str">
            <v>3705CCA41</v>
          </cell>
          <cell r="AA1400" t="str">
            <v>HEA240</v>
          </cell>
          <cell r="AB1400" t="str">
            <v>3705CCA42</v>
          </cell>
          <cell r="AC1400" t="str">
            <v>HEA240</v>
          </cell>
          <cell r="AD1400" t="str">
            <v>3,4</v>
          </cell>
          <cell r="AE1400" t="str">
            <v>3,1</v>
          </cell>
          <cell r="AF1400" t="str">
            <v>3,4</v>
          </cell>
          <cell r="AG1400" t="str">
            <v>3,80</v>
          </cell>
          <cell r="AH1400" t="str">
            <v>3,80</v>
          </cell>
          <cell r="AI1400" t="str">
            <v>-0,20</v>
          </cell>
          <cell r="AJ1400" t="str">
            <v>-0,20</v>
          </cell>
          <cell r="AK1400">
            <v>4529</v>
          </cell>
          <cell r="AL1400">
            <v>4462</v>
          </cell>
          <cell r="AM1400">
            <v>3286</v>
          </cell>
          <cell r="AN1400">
            <v>3350</v>
          </cell>
          <cell r="AO1400">
            <v>2798</v>
          </cell>
          <cell r="AP1400" t="str">
            <v>15,58%</v>
          </cell>
          <cell r="AQ1400" t="str">
            <v>15,58%</v>
          </cell>
          <cell r="AS1400" t="str">
            <v>3,83</v>
          </cell>
          <cell r="AU1400" t="str">
            <v>0,00</v>
          </cell>
          <cell r="AV1400">
            <v>5287</v>
          </cell>
          <cell r="AW1400">
            <v>4651</v>
          </cell>
          <cell r="AX1400">
            <v>6369</v>
          </cell>
          <cell r="AZ1400">
            <v>3126</v>
          </cell>
          <cell r="BA1400" t="str">
            <v>20,00%</v>
          </cell>
          <cell r="BB1400" t="str">
            <v>20,00%</v>
          </cell>
          <cell r="BW1400" t="str">
            <v>C.F.8.A</v>
          </cell>
        </row>
        <row r="1401">
          <cell r="C1401">
            <v>24</v>
          </cell>
          <cell r="F1401" t="str">
            <v/>
          </cell>
          <cell r="G1401" t="str">
            <v/>
          </cell>
          <cell r="N1401" t="str">
            <v/>
          </cell>
        </row>
        <row r="1402">
          <cell r="B1402" t="str">
            <v>3705CCA44</v>
          </cell>
          <cell r="D1402">
            <v>3597.659999999998</v>
          </cell>
          <cell r="E1402">
            <v>31207.389000000014</v>
          </cell>
          <cell r="F1402" t="str">
            <v>-41432.83</v>
          </cell>
          <cell r="G1402" t="str">
            <v>162589.62</v>
          </cell>
          <cell r="I1402" t="str">
            <v>PA30</v>
          </cell>
          <cell r="J1402" t="str">
            <v>3,3</v>
          </cell>
          <cell r="K1402" t="str">
            <v>Funicular</v>
          </cell>
          <cell r="L1402" t="str">
            <v>HEA 240</v>
          </cell>
          <cell r="M1402" t="str">
            <v>M2</v>
          </cell>
          <cell r="N1402" t="str">
            <v>Delta</v>
          </cell>
          <cell r="O1402" t="str">
            <v>B.Fun.</v>
          </cell>
          <cell r="Q1402">
            <v>3.8</v>
          </cell>
          <cell r="S1402" t="str">
            <v>+20</v>
          </cell>
          <cell r="T1402" t="str">
            <v>10</v>
          </cell>
          <cell r="Z1402" t="str">
            <v>3705CCA43</v>
          </cell>
          <cell r="AA1402" t="str">
            <v>HEA240</v>
          </cell>
          <cell r="AB1402" t="str">
            <v>3705CCA44</v>
          </cell>
          <cell r="AC1402" t="str">
            <v>HEA240</v>
          </cell>
          <cell r="AD1402" t="str">
            <v>3,3</v>
          </cell>
          <cell r="AE1402" t="str">
            <v>3,1</v>
          </cell>
          <cell r="AF1402" t="str">
            <v>3,3</v>
          </cell>
          <cell r="AG1402" t="str">
            <v>3,80</v>
          </cell>
          <cell r="AH1402" t="str">
            <v>3,80</v>
          </cell>
          <cell r="AI1402">
            <v>20</v>
          </cell>
          <cell r="AJ1402">
            <v>0.2</v>
          </cell>
          <cell r="AK1402">
            <v>4406</v>
          </cell>
          <cell r="AL1402">
            <v>4467</v>
          </cell>
          <cell r="AM1402">
            <v>2754</v>
          </cell>
          <cell r="AN1402">
            <v>3350</v>
          </cell>
          <cell r="AO1402">
            <v>3112</v>
          </cell>
          <cell r="AP1402" t="str">
            <v>14,25%</v>
          </cell>
          <cell r="AQ1402" t="str">
            <v>14,25%</v>
          </cell>
          <cell r="AS1402" t="str">
            <v>3,80</v>
          </cell>
          <cell r="AU1402" t="str">
            <v>0,10</v>
          </cell>
          <cell r="AV1402" t="str">
            <v>4,21</v>
          </cell>
          <cell r="AW1402">
            <v>4530</v>
          </cell>
          <cell r="AX1402">
            <v>6097</v>
          </cell>
          <cell r="AZ1402">
            <v>1684</v>
          </cell>
          <cell r="BA1402" t="str">
            <v>15,00%</v>
          </cell>
          <cell r="BB1402" t="str">
            <v>40,97%</v>
          </cell>
          <cell r="BW1402" t="str">
            <v>C.F.9</v>
          </cell>
        </row>
        <row r="1403">
          <cell r="C1403">
            <v>8.0500000000000007</v>
          </cell>
          <cell r="F1403" t="str">
            <v/>
          </cell>
          <cell r="G1403" t="str">
            <v/>
          </cell>
          <cell r="N1403" t="str">
            <v/>
          </cell>
        </row>
        <row r="1404">
          <cell r="B1404" t="str">
            <v>3705CCA46</v>
          </cell>
          <cell r="D1404">
            <v>3605.7099999999982</v>
          </cell>
          <cell r="E1404">
            <v>31199.339000000014</v>
          </cell>
          <cell r="F1404" t="str">
            <v>-41430.50</v>
          </cell>
          <cell r="G1404" t="str">
            <v>162581.96</v>
          </cell>
          <cell r="I1404" t="str">
            <v>Aislad.</v>
          </cell>
          <cell r="J1404" t="str">
            <v>3,3</v>
          </cell>
          <cell r="K1404" t="str">
            <v>Funicular</v>
          </cell>
          <cell r="L1404" t="str">
            <v>HEA 220</v>
          </cell>
          <cell r="M1404" t="str">
            <v>M1</v>
          </cell>
          <cell r="V1404" t="str">
            <v>Aislador 1HC</v>
          </cell>
          <cell r="Z1404" t="str">
            <v>3705CCA45</v>
          </cell>
          <cell r="AA1404" t="str">
            <v>HEA240</v>
          </cell>
          <cell r="AB1404" t="str">
            <v>3705CCA46</v>
          </cell>
          <cell r="AC1404" t="str">
            <v>HEA220</v>
          </cell>
          <cell r="AD1404" t="str">
            <v>3,3</v>
          </cell>
          <cell r="AE1404" t="str">
            <v>3,1</v>
          </cell>
          <cell r="AF1404" t="str">
            <v>3,3</v>
          </cell>
          <cell r="AG1404" t="str">
            <v>3,80</v>
          </cell>
          <cell r="AK1404">
            <v>4400</v>
          </cell>
          <cell r="AL1404">
            <v>4400</v>
          </cell>
          <cell r="BD1404">
            <v>9490</v>
          </cell>
          <cell r="BW1404" t="str">
            <v>C.F.23</v>
          </cell>
        </row>
        <row r="1405">
          <cell r="C1405">
            <v>8.0500000000000007</v>
          </cell>
          <cell r="F1405" t="str">
            <v/>
          </cell>
          <cell r="G1405" t="str">
            <v/>
          </cell>
          <cell r="N1405" t="str">
            <v/>
          </cell>
        </row>
        <row r="1406">
          <cell r="B1406" t="str">
            <v>3705CCA48</v>
          </cell>
          <cell r="D1406">
            <v>3613.7599999999984</v>
          </cell>
          <cell r="E1406">
            <v>31191.289000000015</v>
          </cell>
          <cell r="F1406" t="str">
            <v>-41428.15</v>
          </cell>
          <cell r="G1406" t="str">
            <v>162574.26</v>
          </cell>
          <cell r="I1406" t="str">
            <v>S</v>
          </cell>
          <cell r="J1406" t="str">
            <v>3,4</v>
          </cell>
          <cell r="K1406" t="str">
            <v>Funicular</v>
          </cell>
          <cell r="L1406" t="str">
            <v>HEA 220</v>
          </cell>
          <cell r="M1406" t="str">
            <v>M1</v>
          </cell>
          <cell r="N1406" t="str">
            <v>Delta</v>
          </cell>
          <cell r="Q1406">
            <v>3.8</v>
          </cell>
          <cell r="S1406">
            <v>0</v>
          </cell>
          <cell r="Z1406" t="str">
            <v>3705CCA47</v>
          </cell>
          <cell r="AA1406" t="str">
            <v>HEA240</v>
          </cell>
          <cell r="AB1406" t="str">
            <v>3705CCA48</v>
          </cell>
          <cell r="AC1406" t="str">
            <v>HEA220</v>
          </cell>
          <cell r="AD1406" t="str">
            <v>3,4</v>
          </cell>
          <cell r="AE1406" t="str">
            <v>3,1</v>
          </cell>
          <cell r="AF1406" t="str">
            <v>3,4</v>
          </cell>
          <cell r="AG1406" t="str">
            <v>3,80</v>
          </cell>
          <cell r="AH1406" t="str">
            <v>3,40</v>
          </cell>
          <cell r="AI1406" t="str">
            <v>-0,20</v>
          </cell>
          <cell r="AJ1406" t="str">
            <v>-0,20</v>
          </cell>
          <cell r="AK1406">
            <v>4433</v>
          </cell>
          <cell r="AL1406">
            <v>4379</v>
          </cell>
          <cell r="AM1406">
            <v>3272</v>
          </cell>
          <cell r="AN1406">
            <v>3350</v>
          </cell>
          <cell r="AO1406">
            <v>2785</v>
          </cell>
          <cell r="AP1406" t="str">
            <v>12,88%</v>
          </cell>
          <cell r="AQ1406" t="str">
            <v>12,88%</v>
          </cell>
          <cell r="AS1406" t="str">
            <v>3,80</v>
          </cell>
          <cell r="AU1406" t="str">
            <v>-0,10</v>
          </cell>
          <cell r="AV1406" t="str">
            <v>5,49</v>
          </cell>
          <cell r="AW1406" t="str">
            <v>4,16</v>
          </cell>
          <cell r="AX1406">
            <v>1568</v>
          </cell>
          <cell r="AZ1406">
            <v>5250</v>
          </cell>
          <cell r="BA1406" t="str">
            <v>24,96%</v>
          </cell>
          <cell r="BB1406" t="str">
            <v>15,00%</v>
          </cell>
          <cell r="BW1406" t="str">
            <v>C.F.10</v>
          </cell>
        </row>
        <row r="1407">
          <cell r="B1407" t="str">
            <v>Inic. Soterramiento</v>
          </cell>
          <cell r="C1407">
            <v>19.899999999999999</v>
          </cell>
          <cell r="N1407" t="str">
            <v/>
          </cell>
        </row>
        <row r="1408">
          <cell r="B1408" t="str">
            <v>3705CCA50</v>
          </cell>
          <cell r="D1408">
            <v>3633.6599999999985</v>
          </cell>
          <cell r="E1408">
            <v>31171.389000000014</v>
          </cell>
          <cell r="F1408" t="str">
            <v>-41422.34</v>
          </cell>
          <cell r="G1408" t="str">
            <v>162555.21</v>
          </cell>
          <cell r="I1408" t="str">
            <v>S</v>
          </cell>
          <cell r="J1408" t="str">
            <v>3,4</v>
          </cell>
          <cell r="K1408" t="str">
            <v>Funicular</v>
          </cell>
          <cell r="L1408" t="str">
            <v>HEA 220</v>
          </cell>
          <cell r="M1408" t="str">
            <v>M1</v>
          </cell>
          <cell r="N1408" t="str">
            <v>Delta</v>
          </cell>
          <cell r="Q1408">
            <v>3.8</v>
          </cell>
          <cell r="S1408" t="str">
            <v>+20</v>
          </cell>
          <cell r="Z1408" t="str">
            <v>3705CCA49</v>
          </cell>
          <cell r="AA1408" t="str">
            <v>HEA240</v>
          </cell>
          <cell r="AB1408" t="str">
            <v>3705CCA50</v>
          </cell>
          <cell r="AC1408" t="str">
            <v>HEA220</v>
          </cell>
          <cell r="AD1408" t="str">
            <v>3,4</v>
          </cell>
          <cell r="AE1408" t="str">
            <v>3,1</v>
          </cell>
          <cell r="AF1408" t="str">
            <v>3,4</v>
          </cell>
          <cell r="AG1408" t="str">
            <v>3,80</v>
          </cell>
          <cell r="AH1408" t="str">
            <v>3,80</v>
          </cell>
          <cell r="AI1408" t="str">
            <v>0,00</v>
          </cell>
          <cell r="AJ1408" t="str">
            <v>0,20</v>
          </cell>
          <cell r="AK1408">
            <v>4448</v>
          </cell>
          <cell r="AL1408">
            <v>4482</v>
          </cell>
          <cell r="AM1408">
            <v>3057</v>
          </cell>
          <cell r="AN1408">
            <v>3150</v>
          </cell>
          <cell r="AO1408">
            <v>3224</v>
          </cell>
          <cell r="AP1408" t="str">
            <v>14,22%</v>
          </cell>
          <cell r="AQ1408" t="str">
            <v>14,22%</v>
          </cell>
          <cell r="AS1408" t="str">
            <v>3,83</v>
          </cell>
          <cell r="AU1408" t="str">
            <v>0,00</v>
          </cell>
          <cell r="AV1408">
            <v>4395</v>
          </cell>
          <cell r="AW1408">
            <v>4808</v>
          </cell>
          <cell r="AX1408">
            <v>2976</v>
          </cell>
          <cell r="AZ1408">
            <v>6421</v>
          </cell>
          <cell r="BA1408" t="str">
            <v>20,00%</v>
          </cell>
          <cell r="BB1408" t="str">
            <v>20,00%</v>
          </cell>
          <cell r="BW1408" t="str">
            <v>C.F.8.B</v>
          </cell>
        </row>
        <row r="1409">
          <cell r="C1409">
            <v>20</v>
          </cell>
          <cell r="F1409" t="str">
            <v/>
          </cell>
          <cell r="G1409" t="str">
            <v/>
          </cell>
          <cell r="N1409" t="str">
            <v/>
          </cell>
        </row>
        <row r="1410">
          <cell r="B1410" t="str">
            <v>3705CCA52</v>
          </cell>
          <cell r="D1410">
            <v>3653.6599999999985</v>
          </cell>
          <cell r="E1410">
            <v>31151.389000000014</v>
          </cell>
          <cell r="F1410" t="str">
            <v>-41416.51</v>
          </cell>
          <cell r="G1410" t="str">
            <v>162536.08</v>
          </cell>
          <cell r="I1410" t="str">
            <v>S</v>
          </cell>
          <cell r="J1410" t="str">
            <v>3,4</v>
          </cell>
          <cell r="K1410" t="str">
            <v>Funicular</v>
          </cell>
          <cell r="L1410" t="str">
            <v>IPE 120</v>
          </cell>
          <cell r="M1410" t="str">
            <v>Anc. Sot.</v>
          </cell>
          <cell r="N1410" t="str">
            <v>Delta</v>
          </cell>
          <cell r="Q1410">
            <v>3.8</v>
          </cell>
          <cell r="S1410">
            <v>-20</v>
          </cell>
          <cell r="Z1410" t="str">
            <v>3705CCA51</v>
          </cell>
          <cell r="AA1410" t="str">
            <v>IPE120</v>
          </cell>
          <cell r="AB1410" t="str">
            <v>3705CCA52</v>
          </cell>
          <cell r="AC1410" t="str">
            <v>IPE120</v>
          </cell>
          <cell r="AD1410" t="str">
            <v>3,34</v>
          </cell>
          <cell r="AE1410" t="str">
            <v>3,1</v>
          </cell>
          <cell r="AF1410" t="str">
            <v>3,34</v>
          </cell>
          <cell r="AG1410" t="str">
            <v>3,80</v>
          </cell>
          <cell r="AH1410" t="str">
            <v>3,80</v>
          </cell>
          <cell r="AI1410" t="str">
            <v>-0,20</v>
          </cell>
          <cell r="AJ1410" t="str">
            <v>-0,20</v>
          </cell>
          <cell r="AK1410">
            <v>4550</v>
          </cell>
          <cell r="AL1410">
            <v>4481</v>
          </cell>
          <cell r="AM1410">
            <v>3344</v>
          </cell>
          <cell r="AN1410">
            <v>3350</v>
          </cell>
          <cell r="AO1410">
            <v>2858</v>
          </cell>
          <cell r="AP1410" t="str">
            <v>15,91%</v>
          </cell>
          <cell r="AQ1410" t="str">
            <v>15,91%</v>
          </cell>
          <cell r="AS1410" t="str">
            <v>3,86</v>
          </cell>
          <cell r="AU1410" t="str">
            <v>0,00</v>
          </cell>
          <cell r="AV1410" t="str">
            <v>4,46</v>
          </cell>
          <cell r="AW1410" t="str">
            <v>4,86</v>
          </cell>
          <cell r="AX1410">
            <v>6355</v>
          </cell>
          <cell r="AZ1410">
            <v>2288</v>
          </cell>
          <cell r="BA1410" t="str">
            <v>15,00%</v>
          </cell>
          <cell r="BB1410" t="str">
            <v>24,02%</v>
          </cell>
          <cell r="BW1410" t="str">
            <v>C.F.13</v>
          </cell>
        </row>
        <row r="1411">
          <cell r="B1411" t="str">
            <v>Fin. Soterramiento / Inic. Est./Anden Rotunda (03+666)</v>
          </cell>
          <cell r="C1411">
            <v>25</v>
          </cell>
          <cell r="N1411" t="str">
            <v/>
          </cell>
        </row>
        <row r="1412">
          <cell r="B1412" t="str">
            <v>3706CCA02</v>
          </cell>
          <cell r="D1412">
            <v>3678.6599999999985</v>
          </cell>
          <cell r="E1412">
            <v>31126.389000000014</v>
          </cell>
          <cell r="F1412" t="str">
            <v>-41409.75</v>
          </cell>
          <cell r="G1412" t="str">
            <v>162511.98</v>
          </cell>
          <cell r="I1412" t="str">
            <v>S</v>
          </cell>
          <cell r="J1412" t="str">
            <v>4,0</v>
          </cell>
          <cell r="K1412" t="str">
            <v>Funicular</v>
          </cell>
          <cell r="L1412" t="str">
            <v>Marquise</v>
          </cell>
          <cell r="M1412" t="str">
            <v>-</v>
          </cell>
          <cell r="N1412" t="str">
            <v>Delta</v>
          </cell>
          <cell r="Q1412">
            <v>3.8</v>
          </cell>
          <cell r="S1412" t="str">
            <v>+20</v>
          </cell>
          <cell r="Z1412" t="str">
            <v>3706CCA01</v>
          </cell>
          <cell r="AA1412" t="str">
            <v>HEB240</v>
          </cell>
          <cell r="AB1412" t="str">
            <v>3706CCA02</v>
          </cell>
          <cell r="AC1412" t="str">
            <v>HEB240</v>
          </cell>
          <cell r="AD1412" t="str">
            <v>4,0</v>
          </cell>
          <cell r="AE1412" t="str">
            <v>3,1</v>
          </cell>
          <cell r="AF1412" t="str">
            <v>4,0</v>
          </cell>
          <cell r="AG1412" t="str">
            <v>3,80</v>
          </cell>
          <cell r="AH1412" t="str">
            <v>3,80</v>
          </cell>
          <cell r="AI1412" t="str">
            <v>0,20</v>
          </cell>
          <cell r="AJ1412" t="str">
            <v>0,20</v>
          </cell>
          <cell r="AK1412">
            <v>4535</v>
          </cell>
          <cell r="AL1412">
            <v>4599</v>
          </cell>
          <cell r="AM1412">
            <v>3460</v>
          </cell>
          <cell r="AN1412">
            <v>3350</v>
          </cell>
          <cell r="AO1412">
            <v>3831</v>
          </cell>
          <cell r="AP1412" t="str">
            <v>15,00%</v>
          </cell>
          <cell r="AQ1412" t="str">
            <v>15,00%</v>
          </cell>
          <cell r="AV1412" t="str">
            <v>3,86</v>
          </cell>
          <cell r="AW1412" t="str">
            <v>-</v>
          </cell>
          <cell r="BW1412" t="str">
            <v>C.F.6</v>
          </cell>
        </row>
        <row r="1413">
          <cell r="C1413">
            <v>17.25</v>
          </cell>
          <cell r="F1413" t="str">
            <v/>
          </cell>
          <cell r="G1413" t="str">
            <v/>
          </cell>
          <cell r="N1413" t="str">
            <v/>
          </cell>
        </row>
        <row r="1414">
          <cell r="B1414" t="str">
            <v>3706CCA04</v>
          </cell>
          <cell r="D1414">
            <v>3695.9099999999985</v>
          </cell>
          <cell r="E1414">
            <v>31109.139000000014</v>
          </cell>
          <cell r="F1414" t="str">
            <v>-41404.72</v>
          </cell>
          <cell r="G1414" t="str">
            <v>162495.48</v>
          </cell>
          <cell r="I1414" t="str">
            <v>S</v>
          </cell>
          <cell r="J1414" t="str">
            <v>4,0</v>
          </cell>
          <cell r="K1414" t="str">
            <v>Funicular</v>
          </cell>
          <cell r="L1414" t="str">
            <v>Marquise</v>
          </cell>
          <cell r="M1414" t="str">
            <v>-</v>
          </cell>
          <cell r="N1414" t="str">
            <v>Delta</v>
          </cell>
          <cell r="Q1414">
            <v>3.8</v>
          </cell>
          <cell r="S1414">
            <v>-20</v>
          </cell>
          <cell r="Z1414" t="str">
            <v>3706CCA03</v>
          </cell>
          <cell r="AA1414" t="str">
            <v>HEB240</v>
          </cell>
          <cell r="AB1414" t="str">
            <v>3706CCA04</v>
          </cell>
          <cell r="AC1414" t="str">
            <v>HEB240</v>
          </cell>
          <cell r="AD1414" t="str">
            <v>4,0</v>
          </cell>
          <cell r="AE1414" t="str">
            <v>3,1</v>
          </cell>
          <cell r="AF1414" t="str">
            <v>4,0</v>
          </cell>
          <cell r="AG1414" t="str">
            <v>3,80</v>
          </cell>
          <cell r="AH1414" t="str">
            <v>3,80</v>
          </cell>
          <cell r="AI1414" t="str">
            <v>-0,20</v>
          </cell>
          <cell r="AJ1414" t="str">
            <v>-0,20</v>
          </cell>
          <cell r="AK1414">
            <v>4492</v>
          </cell>
          <cell r="AL1414">
            <v>4439</v>
          </cell>
          <cell r="AM1414">
            <v>3901</v>
          </cell>
          <cell r="AN1414">
            <v>3350</v>
          </cell>
          <cell r="AO1414">
            <v>3474</v>
          </cell>
          <cell r="AP1414" t="str">
            <v>12,41%</v>
          </cell>
          <cell r="AQ1414" t="str">
            <v>12,41%</v>
          </cell>
          <cell r="BW1414" t="str">
            <v>C.F.2</v>
          </cell>
        </row>
        <row r="1415">
          <cell r="C1415">
            <v>17.25</v>
          </cell>
          <cell r="F1415" t="str">
            <v/>
          </cell>
          <cell r="G1415" t="str">
            <v/>
          </cell>
          <cell r="N1415" t="str">
            <v/>
          </cell>
        </row>
        <row r="1416">
          <cell r="B1416" t="str">
            <v>3706CCA06</v>
          </cell>
          <cell r="D1416">
            <v>3713.1599999999985</v>
          </cell>
          <cell r="E1416">
            <v>31091.889000000014</v>
          </cell>
          <cell r="F1416" t="str">
            <v>-41399.69</v>
          </cell>
          <cell r="G1416" t="str">
            <v>162478.98</v>
          </cell>
          <cell r="I1416" t="str">
            <v>S</v>
          </cell>
          <cell r="J1416" t="str">
            <v>4,0</v>
          </cell>
          <cell r="K1416" t="str">
            <v>Funicular</v>
          </cell>
          <cell r="L1416" t="str">
            <v>Marquise</v>
          </cell>
          <cell r="M1416" t="str">
            <v>-</v>
          </cell>
          <cell r="N1416" t="str">
            <v>Delta</v>
          </cell>
          <cell r="Q1416">
            <v>3.8</v>
          </cell>
          <cell r="S1416" t="str">
            <v>+20</v>
          </cell>
          <cell r="V1416" t="str">
            <v>Caix. Secc. e Con.</v>
          </cell>
          <cell r="W1416" t="str">
            <v>Caix. Imped.</v>
          </cell>
          <cell r="Z1416" t="str">
            <v>3706CCA05</v>
          </cell>
          <cell r="AA1416" t="str">
            <v>HEB240</v>
          </cell>
          <cell r="AB1416" t="str">
            <v>3706CCA06</v>
          </cell>
          <cell r="AC1416" t="str">
            <v>HEB240</v>
          </cell>
          <cell r="AD1416" t="str">
            <v>4,0</v>
          </cell>
          <cell r="AE1416" t="str">
            <v>3,1</v>
          </cell>
          <cell r="AF1416" t="str">
            <v>4,0</v>
          </cell>
          <cell r="AG1416" t="str">
            <v>3,80</v>
          </cell>
          <cell r="AH1416" t="str">
            <v>3,80</v>
          </cell>
          <cell r="AI1416" t="str">
            <v>0,20</v>
          </cell>
          <cell r="AJ1416" t="str">
            <v>0,20</v>
          </cell>
          <cell r="AK1416">
            <v>4439</v>
          </cell>
          <cell r="AL1416">
            <v>4492</v>
          </cell>
          <cell r="AM1416">
            <v>3474</v>
          </cell>
          <cell r="AN1416">
            <v>3350</v>
          </cell>
          <cell r="AO1416">
            <v>3901</v>
          </cell>
          <cell r="AP1416" t="str">
            <v>12,41%</v>
          </cell>
          <cell r="AQ1416" t="str">
            <v>12,41%</v>
          </cell>
          <cell r="BW1416" t="str">
            <v>C.F.1</v>
          </cell>
        </row>
        <row r="1417">
          <cell r="C1417">
            <v>17.25</v>
          </cell>
          <cell r="N1417" t="str">
            <v/>
          </cell>
          <cell r="V1417" t="str">
            <v>Aislador 2HC</v>
          </cell>
        </row>
        <row r="1418">
          <cell r="B1418" t="str">
            <v>3706CCA08</v>
          </cell>
          <cell r="D1418">
            <v>3730.4099999999985</v>
          </cell>
          <cell r="E1418">
            <v>31074.639000000014</v>
          </cell>
          <cell r="F1418" t="str">
            <v>-41394.66</v>
          </cell>
          <cell r="G1418" t="str">
            <v>162462.48</v>
          </cell>
          <cell r="I1418" t="str">
            <v>S</v>
          </cell>
          <cell r="J1418" t="str">
            <v>4,0</v>
          </cell>
          <cell r="K1418" t="str">
            <v>Funicular</v>
          </cell>
          <cell r="L1418" t="str">
            <v>Marquise</v>
          </cell>
          <cell r="M1418" t="str">
            <v>-</v>
          </cell>
          <cell r="N1418" t="str">
            <v>Delta</v>
          </cell>
          <cell r="Q1418">
            <v>3.8</v>
          </cell>
          <cell r="S1418">
            <v>-20</v>
          </cell>
          <cell r="Z1418" t="str">
            <v>3706CCA07</v>
          </cell>
          <cell r="AA1418" t="str">
            <v>HEB240</v>
          </cell>
          <cell r="AB1418" t="str">
            <v>3706CCA08</v>
          </cell>
          <cell r="AC1418" t="str">
            <v>HEB240</v>
          </cell>
          <cell r="AD1418" t="str">
            <v>4,0</v>
          </cell>
          <cell r="AE1418" t="str">
            <v>3,1</v>
          </cell>
          <cell r="AF1418" t="str">
            <v>4,0</v>
          </cell>
          <cell r="AG1418" t="str">
            <v>3,80</v>
          </cell>
          <cell r="AH1418" t="str">
            <v>3,80</v>
          </cell>
          <cell r="AI1418" t="str">
            <v>-0,20</v>
          </cell>
          <cell r="AJ1418" t="str">
            <v>-0,20</v>
          </cell>
          <cell r="AK1418">
            <v>4594</v>
          </cell>
          <cell r="AL1418">
            <v>4530</v>
          </cell>
          <cell r="AM1418">
            <v>3929</v>
          </cell>
          <cell r="AN1418">
            <v>3350</v>
          </cell>
          <cell r="AO1418">
            <v>3499</v>
          </cell>
          <cell r="AP1418" t="str">
            <v>14,86%</v>
          </cell>
          <cell r="AQ1418" t="str">
            <v>14,86%</v>
          </cell>
          <cell r="BW1418" t="str">
            <v>C.F.2</v>
          </cell>
        </row>
        <row r="1419">
          <cell r="B1419" t="str">
            <v>Fin. Est./Anden Rotunda (03+736)</v>
          </cell>
          <cell r="C1419">
            <v>24.6</v>
          </cell>
          <cell r="N1419" t="str">
            <v/>
          </cell>
          <cell r="X1419" t="str">
            <v>3PEAD D63mm ou 1PEAD D125mm + D40mm</v>
          </cell>
        </row>
        <row r="1420">
          <cell r="B1420" t="str">
            <v>3707CCA02</v>
          </cell>
          <cell r="D1420">
            <v>3755.0099999999984</v>
          </cell>
          <cell r="E1420">
            <v>31050.039000000015</v>
          </cell>
          <cell r="F1420" t="str">
            <v>-41386.84</v>
          </cell>
          <cell r="G1420" t="str">
            <v>162439.10</v>
          </cell>
          <cell r="I1420" t="str">
            <v>S</v>
          </cell>
          <cell r="J1420" t="str">
            <v>3,3</v>
          </cell>
          <cell r="K1420" t="str">
            <v>Funicular</v>
          </cell>
          <cell r="L1420" t="str">
            <v>HEA 240</v>
          </cell>
          <cell r="M1420" t="str">
            <v>M2</v>
          </cell>
          <cell r="N1420" t="str">
            <v>Delta</v>
          </cell>
          <cell r="Q1420">
            <v>3.8</v>
          </cell>
          <cell r="S1420">
            <v>-20</v>
          </cell>
          <cell r="V1420" t="str">
            <v>Caix. Secc. e Con.</v>
          </cell>
          <cell r="W1420" t="str">
            <v>Caix. Imped.</v>
          </cell>
          <cell r="X1420" t="str">
            <v>FA</v>
          </cell>
          <cell r="Z1420" t="str">
            <v>3707CCA01</v>
          </cell>
          <cell r="AA1420" t="str">
            <v>HEA 240</v>
          </cell>
          <cell r="AB1420" t="str">
            <v>3707CCA02</v>
          </cell>
          <cell r="AC1420" t="str">
            <v>HEA 240</v>
          </cell>
          <cell r="AD1420" t="str">
            <v>3,3</v>
          </cell>
          <cell r="AE1420" t="str">
            <v>3,1</v>
          </cell>
          <cell r="AF1420" t="str">
            <v>3,3</v>
          </cell>
          <cell r="AG1420" t="str">
            <v>3,80</v>
          </cell>
          <cell r="AH1420" t="str">
            <v>3,80</v>
          </cell>
          <cell r="AI1420" t="str">
            <v>-0,20</v>
          </cell>
          <cell r="AJ1420" t="str">
            <v>-0,20</v>
          </cell>
          <cell r="AK1420">
            <v>4499</v>
          </cell>
          <cell r="AL1420">
            <v>4434</v>
          </cell>
          <cell r="AM1420">
            <v>3183</v>
          </cell>
          <cell r="AN1420">
            <v>3350</v>
          </cell>
          <cell r="AO1420">
            <v>2692</v>
          </cell>
          <cell r="AP1420" t="str">
            <v>15,18%</v>
          </cell>
          <cell r="AQ1420" t="str">
            <v>15,18%</v>
          </cell>
          <cell r="BW1420" t="str">
            <v>C.F.22</v>
          </cell>
        </row>
        <row r="1421">
          <cell r="C1421">
            <v>18.2</v>
          </cell>
          <cell r="F1421" t="str">
            <v/>
          </cell>
          <cell r="G1421" t="str">
            <v/>
          </cell>
          <cell r="N1421" t="str">
            <v/>
          </cell>
          <cell r="V1421" t="str">
            <v>Aislador 2HC</v>
          </cell>
          <cell r="X1421" t="str">
            <v>3PEAD D63mm ou 1PEAD D125mm</v>
          </cell>
        </row>
        <row r="1422">
          <cell r="B1422" t="str">
            <v>3707CCA04</v>
          </cell>
          <cell r="D1422">
            <v>3773.2099999999982</v>
          </cell>
          <cell r="E1422">
            <v>31031.839000000014</v>
          </cell>
          <cell r="F1422" t="str">
            <v>-41381.23</v>
          </cell>
          <cell r="G1422" t="str">
            <v>162421.77</v>
          </cell>
          <cell r="H1422" t="str">
            <v>Clo</v>
          </cell>
          <cell r="I1422" t="str">
            <v>S</v>
          </cell>
          <cell r="J1422" t="str">
            <v>3,4</v>
          </cell>
          <cell r="K1422" t="str">
            <v>Funicular</v>
          </cell>
          <cell r="L1422" t="str">
            <v>HEA 240</v>
          </cell>
          <cell r="M1422" t="str">
            <v>M2</v>
          </cell>
          <cell r="N1422" t="str">
            <v>B. Fun.</v>
          </cell>
          <cell r="Q1422">
            <v>3.8</v>
          </cell>
          <cell r="S1422">
            <v>-20</v>
          </cell>
          <cell r="Z1422" t="str">
            <v>3707CCA03</v>
          </cell>
          <cell r="AA1422" t="str">
            <v>HEA240</v>
          </cell>
          <cell r="AB1422" t="str">
            <v>3707CCA04</v>
          </cell>
          <cell r="AC1422" t="str">
            <v>HEA240</v>
          </cell>
          <cell r="AD1422" t="str">
            <v>3,4</v>
          </cell>
          <cell r="AE1422" t="str">
            <v>3,1</v>
          </cell>
          <cell r="AF1422" t="str">
            <v>3,4</v>
          </cell>
          <cell r="AG1422" t="str">
            <v>3,80</v>
          </cell>
          <cell r="AH1422" t="str">
            <v>3,80</v>
          </cell>
          <cell r="AI1422" t="str">
            <v>-0,20</v>
          </cell>
          <cell r="AJ1422" t="str">
            <v>-0,20</v>
          </cell>
          <cell r="AK1422">
            <v>4576</v>
          </cell>
          <cell r="AL1422">
            <v>4209</v>
          </cell>
          <cell r="AM1422">
            <v>3439</v>
          </cell>
          <cell r="AN1422">
            <v>2859</v>
          </cell>
          <cell r="AO1422">
            <v>1442</v>
          </cell>
          <cell r="AP1422" t="str">
            <v>20,00%</v>
          </cell>
          <cell r="AQ1422" t="str">
            <v>15,38%</v>
          </cell>
          <cell r="BW1422" t="str">
            <v>C.F.5.A</v>
          </cell>
        </row>
        <row r="1423">
          <cell r="B1423" t="str">
            <v>Inic. Soterramiento (03+785)</v>
          </cell>
          <cell r="C1423">
            <v>20</v>
          </cell>
          <cell r="N1423" t="str">
            <v/>
          </cell>
        </row>
        <row r="1424">
          <cell r="B1424" t="str">
            <v>3707CCA06</v>
          </cell>
          <cell r="D1424">
            <v>3793.2099999999982</v>
          </cell>
          <cell r="E1424">
            <v>31011.839000000014</v>
          </cell>
          <cell r="F1424" t="str">
            <v>-41373.33</v>
          </cell>
          <cell r="G1424" t="str">
            <v>162403.01</v>
          </cell>
          <cell r="H1424">
            <v>135</v>
          </cell>
          <cell r="I1424" t="str">
            <v>S</v>
          </cell>
          <cell r="J1424" t="str">
            <v>2,5</v>
          </cell>
          <cell r="K1424" t="str">
            <v>Funicular</v>
          </cell>
          <cell r="L1424" t="str">
            <v>IPE 120</v>
          </cell>
          <cell r="M1424" t="str">
            <v>Anc. Sot.</v>
          </cell>
          <cell r="N1424" t="str">
            <v>B. Fun.</v>
          </cell>
          <cell r="Q1424">
            <v>3.8</v>
          </cell>
          <cell r="S1424">
            <v>-20</v>
          </cell>
          <cell r="Z1424" t="str">
            <v>3707CCA05</v>
          </cell>
          <cell r="AA1424" t="str">
            <v>IPE120</v>
          </cell>
          <cell r="AB1424" t="str">
            <v>3707CCA06</v>
          </cell>
          <cell r="AC1424" t="str">
            <v>IPE120</v>
          </cell>
          <cell r="AD1424" t="str">
            <v>2,5</v>
          </cell>
          <cell r="AE1424" t="str">
            <v>3,1</v>
          </cell>
          <cell r="AF1424" t="str">
            <v>2,5</v>
          </cell>
          <cell r="AG1424" t="str">
            <v>3,80</v>
          </cell>
          <cell r="AH1424" t="str">
            <v>3,80</v>
          </cell>
          <cell r="AI1424" t="str">
            <v>-0,20</v>
          </cell>
          <cell r="AJ1424" t="str">
            <v>-0,20</v>
          </cell>
          <cell r="AK1424">
            <v>4407</v>
          </cell>
          <cell r="AL1424">
            <v>4045</v>
          </cell>
          <cell r="AM1424">
            <v>2561</v>
          </cell>
          <cell r="AN1424">
            <v>2859</v>
          </cell>
          <cell r="AO1424" t="str">
            <v>0,445</v>
          </cell>
          <cell r="AP1424" t="str">
            <v>20,00%</v>
          </cell>
          <cell r="AQ1424" t="str">
            <v>12,34%</v>
          </cell>
          <cell r="BW1424" t="str">
            <v>C.F.5.A</v>
          </cell>
        </row>
        <row r="1425">
          <cell r="C1425">
            <v>20</v>
          </cell>
          <cell r="F1425" t="str">
            <v/>
          </cell>
          <cell r="G1425" t="str">
            <v/>
          </cell>
          <cell r="N1425" t="str">
            <v/>
          </cell>
        </row>
        <row r="1426">
          <cell r="B1426" t="str">
            <v>3707CCA08</v>
          </cell>
          <cell r="D1426">
            <v>3813.2099999999982</v>
          </cell>
          <cell r="E1426">
            <v>30991.839000000014</v>
          </cell>
          <cell r="F1426" t="str">
            <v>-41363.50</v>
          </cell>
          <cell r="G1426" t="str">
            <v>162385.19</v>
          </cell>
          <cell r="H1426">
            <v>135</v>
          </cell>
          <cell r="I1426" t="str">
            <v>S</v>
          </cell>
          <cell r="J1426" t="str">
            <v>2,5</v>
          </cell>
          <cell r="K1426" t="str">
            <v>Funicular</v>
          </cell>
          <cell r="L1426" t="str">
            <v>IPE 120</v>
          </cell>
          <cell r="M1426" t="str">
            <v>Anc. Sot.</v>
          </cell>
          <cell r="N1426" t="str">
            <v>B. Fun.</v>
          </cell>
          <cell r="Q1426">
            <v>4</v>
          </cell>
          <cell r="S1426">
            <v>-20</v>
          </cell>
          <cell r="Z1426" t="str">
            <v>3707CCA07</v>
          </cell>
          <cell r="AA1426" t="str">
            <v>IPE120</v>
          </cell>
          <cell r="AB1426" t="str">
            <v>3707CCA08</v>
          </cell>
          <cell r="AC1426" t="str">
            <v>IPE120</v>
          </cell>
          <cell r="AD1426" t="str">
            <v>2,5</v>
          </cell>
          <cell r="AE1426" t="str">
            <v>3,1</v>
          </cell>
          <cell r="AF1426" t="str">
            <v>2,5</v>
          </cell>
          <cell r="AG1426" t="str">
            <v>4,00</v>
          </cell>
          <cell r="AH1426" t="str">
            <v>4,00</v>
          </cell>
          <cell r="AI1426" t="str">
            <v>-0,20</v>
          </cell>
          <cell r="AJ1426" t="str">
            <v>-0,20</v>
          </cell>
          <cell r="AK1426">
            <v>4732</v>
          </cell>
          <cell r="AL1426">
            <v>4230</v>
          </cell>
          <cell r="AM1426">
            <v>2615</v>
          </cell>
          <cell r="AN1426">
            <v>2859</v>
          </cell>
          <cell r="AO1426" t="str">
            <v>0,444</v>
          </cell>
          <cell r="AP1426" t="str">
            <v>25,00%</v>
          </cell>
          <cell r="AQ1426" t="str">
            <v>11,02%</v>
          </cell>
          <cell r="BW1426" t="str">
            <v>C.F.5.A</v>
          </cell>
        </row>
        <row r="1427">
          <cell r="C1427">
            <v>20</v>
          </cell>
          <cell r="F1427" t="str">
            <v/>
          </cell>
          <cell r="G1427" t="str">
            <v/>
          </cell>
          <cell r="N1427" t="str">
            <v/>
          </cell>
        </row>
        <row r="1428">
          <cell r="B1428" t="str">
            <v>3707CCA10</v>
          </cell>
          <cell r="D1428">
            <v>3833.2099999999982</v>
          </cell>
          <cell r="E1428">
            <v>30971.839000000014</v>
          </cell>
          <cell r="F1428" t="str">
            <v>-41351.19</v>
          </cell>
          <cell r="G1428" t="str">
            <v>162368.94</v>
          </cell>
          <cell r="H1428">
            <v>135</v>
          </cell>
          <cell r="I1428" t="str">
            <v>S</v>
          </cell>
          <cell r="J1428" t="str">
            <v>2,5</v>
          </cell>
          <cell r="K1428" t="str">
            <v>Funicular</v>
          </cell>
          <cell r="L1428" t="str">
            <v>IPE 120</v>
          </cell>
          <cell r="M1428" t="str">
            <v>Anc. Sot.</v>
          </cell>
          <cell r="N1428" t="str">
            <v>B. Fun.</v>
          </cell>
          <cell r="Q1428">
            <v>4.4000000000000004</v>
          </cell>
          <cell r="S1428">
            <v>-20</v>
          </cell>
          <cell r="Z1428" t="str">
            <v>3707CCA09</v>
          </cell>
          <cell r="AA1428" t="str">
            <v>IPE120</v>
          </cell>
          <cell r="AB1428" t="str">
            <v>3707CCA10</v>
          </cell>
          <cell r="AC1428" t="str">
            <v>IPE120</v>
          </cell>
          <cell r="AD1428" t="str">
            <v>2,5</v>
          </cell>
          <cell r="AE1428" t="str">
            <v>3,1</v>
          </cell>
          <cell r="AF1428" t="str">
            <v>2,5</v>
          </cell>
          <cell r="AG1428" t="str">
            <v>4,40</v>
          </cell>
          <cell r="AH1428" t="str">
            <v>4,40</v>
          </cell>
          <cell r="AI1428" t="str">
            <v>-0,20</v>
          </cell>
          <cell r="AJ1428" t="str">
            <v>-0,20</v>
          </cell>
          <cell r="AK1428">
            <v>5132</v>
          </cell>
          <cell r="AL1428">
            <v>4630</v>
          </cell>
          <cell r="AM1428">
            <v>2615</v>
          </cell>
          <cell r="AN1428">
            <v>2859</v>
          </cell>
          <cell r="AO1428" t="str">
            <v>0,444</v>
          </cell>
          <cell r="AP1428" t="str">
            <v>25,00%</v>
          </cell>
          <cell r="AQ1428" t="str">
            <v>11,02%</v>
          </cell>
          <cell r="BW1428" t="str">
            <v>C.F.5.A</v>
          </cell>
        </row>
        <row r="1429">
          <cell r="C1429">
            <v>20</v>
          </cell>
          <cell r="F1429" t="str">
            <v/>
          </cell>
          <cell r="G1429" t="str">
            <v/>
          </cell>
          <cell r="N1429" t="str">
            <v/>
          </cell>
        </row>
        <row r="1430">
          <cell r="B1430" t="str">
            <v>3707CCA12</v>
          </cell>
          <cell r="D1430">
            <v>3853.2099999999982</v>
          </cell>
          <cell r="E1430">
            <v>30951.839000000014</v>
          </cell>
          <cell r="F1430" t="str">
            <v>-41336.64</v>
          </cell>
          <cell r="G1430" t="str">
            <v>162354.69</v>
          </cell>
          <cell r="H1430">
            <v>135</v>
          </cell>
          <cell r="I1430" t="str">
            <v>S</v>
          </cell>
          <cell r="J1430" t="str">
            <v>2,55</v>
          </cell>
          <cell r="K1430" t="str">
            <v>Funicular</v>
          </cell>
          <cell r="L1430" t="str">
            <v>HEA 240</v>
          </cell>
          <cell r="M1430" t="str">
            <v>M2</v>
          </cell>
          <cell r="N1430" t="str">
            <v>B. Fun.</v>
          </cell>
          <cell r="Q1430">
            <v>4.8600000000000003</v>
          </cell>
          <cell r="S1430">
            <v>-20</v>
          </cell>
          <cell r="Z1430" t="str">
            <v>3707CCA11</v>
          </cell>
          <cell r="AA1430" t="str">
            <v>HEA240</v>
          </cell>
          <cell r="AB1430" t="str">
            <v>3707CCA12</v>
          </cell>
          <cell r="AC1430" t="str">
            <v>HEA240</v>
          </cell>
          <cell r="AD1430">
            <v>2550</v>
          </cell>
          <cell r="AE1430" t="str">
            <v>3,1</v>
          </cell>
          <cell r="AF1430">
            <v>2550</v>
          </cell>
          <cell r="AG1430" t="str">
            <v>4,86</v>
          </cell>
          <cell r="AH1430" t="str">
            <v>4,86</v>
          </cell>
          <cell r="AI1430" t="str">
            <v>-0,20</v>
          </cell>
          <cell r="AJ1430" t="str">
            <v>-0,20</v>
          </cell>
          <cell r="AK1430">
            <v>5591</v>
          </cell>
          <cell r="AL1430">
            <v>5090</v>
          </cell>
          <cell r="AM1430">
            <v>2610</v>
          </cell>
          <cell r="AN1430">
            <v>2859</v>
          </cell>
          <cell r="AO1430" t="str">
            <v>0,439</v>
          </cell>
          <cell r="AP1430" t="str">
            <v>25,00%</v>
          </cell>
          <cell r="AQ1430" t="str">
            <v>11,06%</v>
          </cell>
          <cell r="BW1430" t="str">
            <v>C.F.5.A</v>
          </cell>
        </row>
        <row r="1431">
          <cell r="B1431" t="str">
            <v>Fin. Soterramiento (03+865)</v>
          </cell>
          <cell r="C1431">
            <v>17.399999999999999</v>
          </cell>
          <cell r="N1431" t="str">
            <v/>
          </cell>
        </row>
        <row r="1432">
          <cell r="B1432" t="str">
            <v>3707CCA14</v>
          </cell>
          <cell r="D1432">
            <v>3870.6099999999983</v>
          </cell>
          <cell r="E1432">
            <v>30934.439000000013</v>
          </cell>
          <cell r="F1432" t="str">
            <v>-41322,52</v>
          </cell>
          <cell r="G1432" t="str">
            <v>162344.80</v>
          </cell>
          <cell r="H1432">
            <v>135</v>
          </cell>
          <cell r="I1432" t="str">
            <v>S</v>
          </cell>
          <cell r="J1432" t="str">
            <v>2,8</v>
          </cell>
          <cell r="K1432" t="str">
            <v>Funicular</v>
          </cell>
          <cell r="L1432" t="str">
            <v>HEA 240</v>
          </cell>
          <cell r="M1432" t="str">
            <v>M2</v>
          </cell>
          <cell r="N1432" t="str">
            <v>B. Fun.</v>
          </cell>
          <cell r="Q1432">
            <v>5.24</v>
          </cell>
          <cell r="S1432">
            <v>-20</v>
          </cell>
          <cell r="Z1432" t="str">
            <v>3707CCA13</v>
          </cell>
          <cell r="AA1432" t="str">
            <v>HEA240</v>
          </cell>
          <cell r="AB1432" t="str">
            <v>3707CCA14</v>
          </cell>
          <cell r="AC1432" t="str">
            <v>HEA240</v>
          </cell>
          <cell r="AD1432" t="str">
            <v>2,8</v>
          </cell>
          <cell r="AE1432" t="str">
            <v>3,1</v>
          </cell>
          <cell r="AF1432" t="str">
            <v>2,8</v>
          </cell>
          <cell r="AG1432" t="str">
            <v>5,25</v>
          </cell>
          <cell r="AH1432" t="str">
            <v>5,24</v>
          </cell>
          <cell r="AI1432" t="str">
            <v>-0,20</v>
          </cell>
          <cell r="AJ1432" t="str">
            <v>-0,20</v>
          </cell>
          <cell r="AK1432">
            <v>6043</v>
          </cell>
          <cell r="AL1432">
            <v>5499</v>
          </cell>
          <cell r="AM1432">
            <v>2876</v>
          </cell>
          <cell r="AN1432">
            <v>2859</v>
          </cell>
          <cell r="AO1432" t="str">
            <v>0,691</v>
          </cell>
          <cell r="AP1432" t="str">
            <v>25,00%</v>
          </cell>
          <cell r="AQ1432" t="str">
            <v>11,15%</v>
          </cell>
          <cell r="BW1432" t="str">
            <v>C.F.5.A</v>
          </cell>
        </row>
        <row r="1433">
          <cell r="C1433">
            <v>15.2</v>
          </cell>
          <cell r="F1433" t="str">
            <v/>
          </cell>
          <cell r="G1433" t="str">
            <v/>
          </cell>
          <cell r="N1433" t="str">
            <v/>
          </cell>
        </row>
        <row r="1434">
          <cell r="B1434" t="str">
            <v>3707CCA16</v>
          </cell>
          <cell r="D1434">
            <v>3885.8099999999981</v>
          </cell>
          <cell r="E1434">
            <v>30919.239000000012</v>
          </cell>
          <cell r="F1434" t="str">
            <v>-41308.33</v>
          </cell>
          <cell r="G1434" t="str">
            <v>162335.90</v>
          </cell>
          <cell r="H1434">
            <v>135</v>
          </cell>
          <cell r="I1434" t="str">
            <v>S</v>
          </cell>
          <cell r="J1434" t="str">
            <v>2,9</v>
          </cell>
          <cell r="K1434" t="str">
            <v>Funicular</v>
          </cell>
          <cell r="L1434" t="str">
            <v>HEA 240</v>
          </cell>
          <cell r="M1434" t="str">
            <v>M2</v>
          </cell>
          <cell r="N1434" t="str">
            <v>B. Fun.</v>
          </cell>
          <cell r="Q1434">
            <v>5.4</v>
          </cell>
          <cell r="S1434">
            <v>-20</v>
          </cell>
          <cell r="Z1434" t="str">
            <v>3707CCA15</v>
          </cell>
          <cell r="AA1434" t="str">
            <v>HEA240</v>
          </cell>
          <cell r="AB1434" t="str">
            <v>3707CCA16</v>
          </cell>
          <cell r="AC1434" t="str">
            <v>HEA240</v>
          </cell>
          <cell r="AD1434" t="str">
            <v>3,0</v>
          </cell>
          <cell r="AE1434" t="str">
            <v>3,1</v>
          </cell>
          <cell r="AF1434" t="str">
            <v>2,93</v>
          </cell>
          <cell r="AG1434" t="str">
            <v>5,40</v>
          </cell>
          <cell r="AH1434" t="str">
            <v>5,40</v>
          </cell>
          <cell r="AI1434" t="str">
            <v>-0,20</v>
          </cell>
          <cell r="AJ1434" t="str">
            <v>70,20</v>
          </cell>
          <cell r="AK1434">
            <v>6243</v>
          </cell>
          <cell r="AL1434">
            <v>5675</v>
          </cell>
          <cell r="AM1434">
            <v>3088</v>
          </cell>
          <cell r="AN1434">
            <v>2859</v>
          </cell>
          <cell r="AO1434" t="str">
            <v>0,822</v>
          </cell>
          <cell r="AP1434" t="str">
            <v>25,00%</v>
          </cell>
          <cell r="AQ1434" t="str">
            <v>11,23%</v>
          </cell>
          <cell r="BW1434" t="str">
            <v>C.F.5.A</v>
          </cell>
        </row>
        <row r="1435">
          <cell r="B1435" t="str">
            <v>Cruce Vial</v>
          </cell>
          <cell r="C1435">
            <v>19.8</v>
          </cell>
          <cell r="N1435" t="str">
            <v/>
          </cell>
          <cell r="X1435" t="str">
            <v>1PEAD D110mm ou 2PEAD D63mm+ 1PEAD 32mm</v>
          </cell>
        </row>
        <row r="1436">
          <cell r="B1436" t="str">
            <v>3707CCA18</v>
          </cell>
          <cell r="D1436">
            <v>3905.6099999999983</v>
          </cell>
          <cell r="E1436">
            <v>30899.439000000013</v>
          </cell>
          <cell r="F1436" t="str">
            <v>-41290,46</v>
          </cell>
          <cell r="G1436" t="str">
            <v>162328,47</v>
          </cell>
          <cell r="H1436">
            <v>135</v>
          </cell>
          <cell r="I1436" t="str">
            <v>S</v>
          </cell>
          <cell r="J1436" t="str">
            <v>2,8</v>
          </cell>
          <cell r="K1436" t="str">
            <v>Funicular</v>
          </cell>
          <cell r="L1436" t="str">
            <v>HEA 240</v>
          </cell>
          <cell r="M1436" t="str">
            <v>M2</v>
          </cell>
          <cell r="N1436" t="str">
            <v>B. Fun.</v>
          </cell>
          <cell r="Q1436">
            <v>5.4</v>
          </cell>
          <cell r="S1436">
            <v>-20</v>
          </cell>
          <cell r="X1436" t="str">
            <v>FR</v>
          </cell>
          <cell r="Z1436" t="str">
            <v>3707CCA17</v>
          </cell>
          <cell r="AA1436" t="str">
            <v>HEA240</v>
          </cell>
          <cell r="AB1436" t="str">
            <v>3707CCA18</v>
          </cell>
          <cell r="AC1436" t="str">
            <v>HEA240</v>
          </cell>
          <cell r="AD1436">
            <v>2685</v>
          </cell>
          <cell r="AE1436" t="str">
            <v>3,1</v>
          </cell>
          <cell r="AF1436">
            <v>2685</v>
          </cell>
          <cell r="AG1436" t="str">
            <v>5,40</v>
          </cell>
          <cell r="AH1436" t="str">
            <v>5,40</v>
          </cell>
          <cell r="AI1436" t="str">
            <v>-0,20</v>
          </cell>
          <cell r="AJ1436" t="str">
            <v>-0,20</v>
          </cell>
          <cell r="AK1436">
            <v>6193</v>
          </cell>
          <cell r="AL1436">
            <v>5654</v>
          </cell>
          <cell r="AM1436">
            <v>2793</v>
          </cell>
          <cell r="AN1436">
            <v>2859</v>
          </cell>
          <cell r="AO1436" t="str">
            <v>0,745</v>
          </cell>
          <cell r="AP1436" t="str">
            <v>25,00%</v>
          </cell>
          <cell r="AQ1436" t="str">
            <v>10,81%</v>
          </cell>
          <cell r="AV1436">
            <v>6493</v>
          </cell>
          <cell r="AW1436">
            <v>5954</v>
          </cell>
          <cell r="BW1436" t="str">
            <v>C.F.27</v>
          </cell>
        </row>
        <row r="1437">
          <cell r="C1437">
            <v>20.399999999999999</v>
          </cell>
          <cell r="F1437" t="str">
            <v/>
          </cell>
          <cell r="G1437" t="str">
            <v/>
          </cell>
          <cell r="N1437" t="str">
            <v/>
          </cell>
          <cell r="X1437" t="str">
            <v>1PEAD D110mm ou 2PEAD D63mm</v>
          </cell>
        </row>
        <row r="1438">
          <cell r="B1438" t="str">
            <v>3707CCA20</v>
          </cell>
          <cell r="D1438">
            <v>3926</v>
          </cell>
          <cell r="E1438">
            <v>30879.039000000012</v>
          </cell>
          <cell r="F1438" t="str">
            <v>-41270.38</v>
          </cell>
          <cell r="G1438" t="str">
            <v>162323.59</v>
          </cell>
          <cell r="H1438" t="str">
            <v>Clo</v>
          </cell>
          <cell r="I1438" t="str">
            <v>S</v>
          </cell>
          <cell r="J1438" t="str">
            <v>2,7</v>
          </cell>
          <cell r="K1438" t="str">
            <v>Funicular</v>
          </cell>
          <cell r="L1438" t="str">
            <v>HEA 240</v>
          </cell>
          <cell r="M1438" t="str">
            <v>M2</v>
          </cell>
          <cell r="N1438" t="str">
            <v>B. Fun.</v>
          </cell>
          <cell r="Q1438">
            <v>5.2</v>
          </cell>
          <cell r="S1438">
            <v>-20</v>
          </cell>
          <cell r="Z1438" t="str">
            <v>3707CCA19</v>
          </cell>
          <cell r="AA1438" t="str">
            <v>HEA240</v>
          </cell>
          <cell r="AB1438" t="str">
            <v>3707CCA20</v>
          </cell>
          <cell r="AC1438" t="str">
            <v>HEA240</v>
          </cell>
          <cell r="AD1438" t="str">
            <v>2,65</v>
          </cell>
          <cell r="AE1438" t="str">
            <v>3,1</v>
          </cell>
          <cell r="AF1438" t="str">
            <v>2,7</v>
          </cell>
          <cell r="AG1438" t="str">
            <v>5,20</v>
          </cell>
          <cell r="AH1438" t="str">
            <v>5,20</v>
          </cell>
          <cell r="AI1438" t="str">
            <v>-0,20</v>
          </cell>
          <cell r="AJ1438" t="str">
            <v>-0,20</v>
          </cell>
          <cell r="AK1438">
            <v>5826</v>
          </cell>
          <cell r="AL1438">
            <v>5461</v>
          </cell>
          <cell r="AM1438">
            <v>2659</v>
          </cell>
          <cell r="AN1438">
            <v>2859</v>
          </cell>
          <cell r="AO1438" t="str">
            <v>0,591</v>
          </cell>
          <cell r="AP1438" t="str">
            <v>20,00%</v>
          </cell>
          <cell r="AQ1438" t="str">
            <v>12,18%</v>
          </cell>
          <cell r="BW1438" t="str">
            <v>C.F.5.A</v>
          </cell>
        </row>
        <row r="1439">
          <cell r="C1439">
            <v>25.1</v>
          </cell>
          <cell r="F1439" t="str">
            <v/>
          </cell>
          <cell r="G1439" t="str">
            <v/>
          </cell>
          <cell r="N1439" t="str">
            <v/>
          </cell>
        </row>
        <row r="1440">
          <cell r="B1440" t="str">
            <v>3707CCA22</v>
          </cell>
          <cell r="D1440">
            <v>3951.1099999999979</v>
          </cell>
          <cell r="E1440">
            <v>30853.939000000013</v>
          </cell>
          <cell r="F1440" t="str">
            <v>-41245,19</v>
          </cell>
          <cell r="G1440" t="str">
            <v>162320,76</v>
          </cell>
          <cell r="H1440" t="str">
            <v>Clo</v>
          </cell>
          <cell r="I1440" t="str">
            <v>S</v>
          </cell>
          <cell r="J1440" t="str">
            <v>2,7</v>
          </cell>
          <cell r="K1440" t="str">
            <v>Funicular</v>
          </cell>
          <cell r="L1440" t="str">
            <v>HEA 240</v>
          </cell>
          <cell r="M1440" t="str">
            <v>M2</v>
          </cell>
          <cell r="N1440" t="str">
            <v>B. Fun.</v>
          </cell>
          <cell r="Q1440">
            <v>4.71</v>
          </cell>
          <cell r="S1440">
            <v>-20</v>
          </cell>
          <cell r="Z1440" t="str">
            <v>3707CCA21</v>
          </cell>
          <cell r="AA1440" t="str">
            <v>HEA240</v>
          </cell>
          <cell r="AB1440" t="str">
            <v>3707CCA22</v>
          </cell>
          <cell r="AC1440" t="str">
            <v>HEA240</v>
          </cell>
          <cell r="AD1440" t="str">
            <v>2,7</v>
          </cell>
          <cell r="AE1440" t="str">
            <v>3,1</v>
          </cell>
          <cell r="AF1440" t="str">
            <v>2,7</v>
          </cell>
          <cell r="AG1440" t="str">
            <v>4,71</v>
          </cell>
          <cell r="AH1440" t="str">
            <v>4,71</v>
          </cell>
          <cell r="AI1440" t="str">
            <v>-0,20</v>
          </cell>
          <cell r="AJ1440" t="str">
            <v>-0,20</v>
          </cell>
          <cell r="AK1440">
            <v>5346</v>
          </cell>
          <cell r="AL1440">
            <v>5012</v>
          </cell>
          <cell r="AM1440">
            <v>2711</v>
          </cell>
          <cell r="AN1440">
            <v>2859</v>
          </cell>
          <cell r="AO1440" t="str">
            <v>0,594</v>
          </cell>
          <cell r="AP1440" t="str">
            <v>20,00%</v>
          </cell>
          <cell r="AQ1440" t="str">
            <v>15,42%</v>
          </cell>
          <cell r="BW1440" t="str">
            <v>C.F.5.A</v>
          </cell>
        </row>
        <row r="1441">
          <cell r="B1441" t="str">
            <v>Inic. Viaduto B (03+963)</v>
          </cell>
          <cell r="C1441">
            <v>25</v>
          </cell>
          <cell r="N1441" t="str">
            <v/>
          </cell>
        </row>
        <row r="1442">
          <cell r="B1442" t="str">
            <v>3707CCA24</v>
          </cell>
          <cell r="D1442">
            <v>3976.1099999999979</v>
          </cell>
          <cell r="E1442">
            <v>30828.939000000013</v>
          </cell>
          <cell r="F1442" t="str">
            <v>-41220.25</v>
          </cell>
          <cell r="G1442" t="str">
            <v>162319.05</v>
          </cell>
          <cell r="I1442" t="str">
            <v>S</v>
          </cell>
          <cell r="J1442" t="str">
            <v>2,65</v>
          </cell>
          <cell r="K1442" t="str">
            <v>Funicular</v>
          </cell>
          <cell r="L1442" t="str">
            <v>HEA 300</v>
          </cell>
          <cell r="M1442" t="str">
            <v>Anc. Ponte</v>
          </cell>
          <cell r="N1442" t="str">
            <v>Delta</v>
          </cell>
          <cell r="Q1442">
            <v>4.1100000000000003</v>
          </cell>
          <cell r="S1442" t="str">
            <v>+20</v>
          </cell>
          <cell r="Z1442" t="str">
            <v>3707CCA23</v>
          </cell>
          <cell r="AA1442" t="str">
            <v>HEA300</v>
          </cell>
          <cell r="AB1442" t="str">
            <v>3707CCA24</v>
          </cell>
          <cell r="AC1442" t="str">
            <v>HEA300</v>
          </cell>
          <cell r="AD1442" t="str">
            <v>2,6</v>
          </cell>
          <cell r="AE1442" t="str">
            <v>3,1</v>
          </cell>
          <cell r="AF1442" t="str">
            <v>2,6</v>
          </cell>
          <cell r="AG1442" t="str">
            <v>4,11</v>
          </cell>
          <cell r="AH1442" t="str">
            <v>4,11</v>
          </cell>
          <cell r="AI1442" t="str">
            <v>0,20</v>
          </cell>
          <cell r="AJ1442" t="str">
            <v>0,20</v>
          </cell>
          <cell r="AK1442">
            <v>4684</v>
          </cell>
          <cell r="AL1442">
            <v>4760</v>
          </cell>
          <cell r="AM1442">
            <v>2061</v>
          </cell>
          <cell r="AN1442">
            <v>3350</v>
          </cell>
          <cell r="AO1442">
            <v>2495</v>
          </cell>
          <cell r="AP1442" t="str">
            <v>17,55%</v>
          </cell>
          <cell r="AQ1442" t="str">
            <v>17,55%</v>
          </cell>
          <cell r="BW1442" t="str">
            <v>C.F.1</v>
          </cell>
        </row>
        <row r="1443">
          <cell r="C1443">
            <v>25</v>
          </cell>
          <cell r="F1443" t="str">
            <v/>
          </cell>
          <cell r="G1443" t="str">
            <v/>
          </cell>
          <cell r="N1443" t="str">
            <v/>
          </cell>
        </row>
        <row r="1444">
          <cell r="B1444" t="str">
            <v>3707CCA26</v>
          </cell>
          <cell r="D1444">
            <v>4001.1099999999979</v>
          </cell>
          <cell r="E1444">
            <v>30803.939000000013</v>
          </cell>
          <cell r="F1444" t="str">
            <v>-41195,31</v>
          </cell>
          <cell r="G1444" t="str">
            <v>162317,32</v>
          </cell>
          <cell r="I1444" t="str">
            <v>S</v>
          </cell>
          <cell r="J1444" t="str">
            <v>2,65</v>
          </cell>
          <cell r="K1444" t="str">
            <v>Funicular</v>
          </cell>
          <cell r="L1444" t="str">
            <v>HEA 300</v>
          </cell>
          <cell r="M1444" t="str">
            <v>Anc. Ponte</v>
          </cell>
          <cell r="N1444" t="str">
            <v>Delta</v>
          </cell>
          <cell r="Q1444">
            <v>3.8</v>
          </cell>
          <cell r="S1444">
            <v>-20</v>
          </cell>
          <cell r="Z1444" t="str">
            <v>3707CCA25</v>
          </cell>
          <cell r="AA1444" t="str">
            <v>HEA300</v>
          </cell>
          <cell r="AB1444" t="str">
            <v>3707CCA26</v>
          </cell>
          <cell r="AC1444" t="str">
            <v>HEA300</v>
          </cell>
          <cell r="AD1444" t="str">
            <v>2,6</v>
          </cell>
          <cell r="AE1444" t="str">
            <v>3,1</v>
          </cell>
          <cell r="AF1444" t="str">
            <v>2,6</v>
          </cell>
          <cell r="AG1444" t="str">
            <v>3,80</v>
          </cell>
          <cell r="AH1444" t="str">
            <v>3,80</v>
          </cell>
          <cell r="AI1444" t="str">
            <v>-0,20</v>
          </cell>
          <cell r="AJ1444" t="str">
            <v>-0,20</v>
          </cell>
          <cell r="AK1444">
            <v>4450</v>
          </cell>
          <cell r="AL1444">
            <v>4374</v>
          </cell>
          <cell r="AM1444">
            <v>2495</v>
          </cell>
          <cell r="AN1444">
            <v>3350</v>
          </cell>
          <cell r="AO1444">
            <v>2061</v>
          </cell>
          <cell r="AP1444" t="str">
            <v>17,55%</v>
          </cell>
          <cell r="AQ1444" t="str">
            <v>17,55%</v>
          </cell>
          <cell r="BW1444" t="str">
            <v>C.F.2</v>
          </cell>
        </row>
        <row r="1445">
          <cell r="C1445">
            <v>25</v>
          </cell>
          <cell r="F1445" t="str">
            <v/>
          </cell>
          <cell r="G1445" t="str">
            <v/>
          </cell>
          <cell r="N1445" t="str">
            <v/>
          </cell>
        </row>
        <row r="1446">
          <cell r="B1446" t="str">
            <v>3707CCA28</v>
          </cell>
          <cell r="D1446">
            <v>4026.1099999999979</v>
          </cell>
          <cell r="E1446">
            <v>30778.939000000013</v>
          </cell>
          <cell r="F1446" t="str">
            <v>-41170,37</v>
          </cell>
          <cell r="G1446" t="str">
            <v>162315.58</v>
          </cell>
          <cell r="I1446" t="str">
            <v>S</v>
          </cell>
          <cell r="J1446" t="str">
            <v>2,65</v>
          </cell>
          <cell r="K1446" t="str">
            <v>Funicular</v>
          </cell>
          <cell r="L1446" t="str">
            <v>HEA 300</v>
          </cell>
          <cell r="M1446" t="str">
            <v>Anc. Ponte</v>
          </cell>
          <cell r="N1446" t="str">
            <v>Delta</v>
          </cell>
          <cell r="Q1446">
            <v>3.8</v>
          </cell>
          <cell r="S1446" t="str">
            <v>+20</v>
          </cell>
          <cell r="Z1446" t="str">
            <v>3707CCA27</v>
          </cell>
          <cell r="AA1446" t="str">
            <v>HEA300</v>
          </cell>
          <cell r="AB1446" t="str">
            <v>3707CCA28</v>
          </cell>
          <cell r="AC1446" t="str">
            <v>HEA300</v>
          </cell>
          <cell r="AD1446" t="str">
            <v>2,6</v>
          </cell>
          <cell r="AE1446" t="str">
            <v>3,1</v>
          </cell>
          <cell r="AF1446" t="str">
            <v>2,6</v>
          </cell>
          <cell r="AG1446" t="str">
            <v>3,80</v>
          </cell>
          <cell r="AH1446" t="str">
            <v>3,80</v>
          </cell>
          <cell r="AI1446" t="str">
            <v>0,20</v>
          </cell>
          <cell r="AJ1446" t="str">
            <v>0,20</v>
          </cell>
          <cell r="AK1446">
            <v>4337</v>
          </cell>
          <cell r="AL1446">
            <v>4405</v>
          </cell>
          <cell r="AM1446">
            <v>2048</v>
          </cell>
          <cell r="AN1446">
            <v>3350</v>
          </cell>
          <cell r="AO1446">
            <v>2480</v>
          </cell>
          <cell r="AP1446" t="str">
            <v>15,91%</v>
          </cell>
          <cell r="AQ1446" t="str">
            <v>15,91%</v>
          </cell>
          <cell r="BW1446" t="str">
            <v>C.F.1</v>
          </cell>
        </row>
        <row r="1447">
          <cell r="C1447">
            <v>20</v>
          </cell>
          <cell r="F1447" t="str">
            <v/>
          </cell>
          <cell r="G1447" t="str">
            <v/>
          </cell>
          <cell r="N1447" t="str">
            <v/>
          </cell>
          <cell r="X1447" t="str">
            <v>1PEAD D110mm ou 2PEAD D63mm+ 1PEAD 32mm</v>
          </cell>
        </row>
        <row r="1448">
          <cell r="B1448" t="str">
            <v>3707CCA30</v>
          </cell>
          <cell r="D1448">
            <v>4046.1099999999979</v>
          </cell>
          <cell r="E1448">
            <v>30758.939000000013</v>
          </cell>
          <cell r="F1448" t="str">
            <v>-41150.49</v>
          </cell>
          <cell r="G1448" t="str">
            <v>162314.19</v>
          </cell>
          <cell r="I1448" t="str">
            <v>S</v>
          </cell>
          <cell r="J1448" t="str">
            <v>2,65</v>
          </cell>
          <cell r="K1448" t="str">
            <v>Funicular</v>
          </cell>
          <cell r="L1448" t="str">
            <v>HEA 300</v>
          </cell>
          <cell r="M1448" t="str">
            <v>Anc. Ponte</v>
          </cell>
          <cell r="N1448" t="str">
            <v>Delta</v>
          </cell>
          <cell r="Q1448">
            <v>3.8</v>
          </cell>
          <cell r="S1448">
            <v>-20</v>
          </cell>
          <cell r="X1448" t="str">
            <v>FR</v>
          </cell>
          <cell r="Z1448" t="str">
            <v>3707CCA29</v>
          </cell>
          <cell r="AA1448" t="str">
            <v>HEA300</v>
          </cell>
          <cell r="AB1448" t="str">
            <v>3707CCA30</v>
          </cell>
          <cell r="AC1448" t="str">
            <v>HEA300</v>
          </cell>
          <cell r="AD1448" t="str">
            <v>2,6</v>
          </cell>
          <cell r="AE1448" t="str">
            <v>3,1</v>
          </cell>
          <cell r="AF1448" t="str">
            <v>2,6</v>
          </cell>
          <cell r="AG1448" t="str">
            <v>3,80</v>
          </cell>
          <cell r="AH1448" t="str">
            <v>3,80</v>
          </cell>
          <cell r="AI1448" t="str">
            <v>0,20</v>
          </cell>
          <cell r="AJ1448" t="str">
            <v>-0,20</v>
          </cell>
          <cell r="AK1448">
            <v>4316</v>
          </cell>
          <cell r="AL1448">
            <v>4263</v>
          </cell>
          <cell r="AM1448">
            <v>2434</v>
          </cell>
          <cell r="AN1448">
            <v>3350</v>
          </cell>
          <cell r="AO1448">
            <v>1929</v>
          </cell>
          <cell r="AP1448" t="str">
            <v>12,58%</v>
          </cell>
          <cell r="AQ1448" t="str">
            <v>12,58%</v>
          </cell>
          <cell r="AV1448">
            <v>4346</v>
          </cell>
          <cell r="AW1448">
            <v>4293</v>
          </cell>
          <cell r="BW1448" t="str">
            <v>C.F.26</v>
          </cell>
        </row>
        <row r="1449">
          <cell r="C1449">
            <v>15</v>
          </cell>
          <cell r="X1449" t="str">
            <v>1PEAD D110mm ou 2PEAD D63mm</v>
          </cell>
        </row>
        <row r="1450">
          <cell r="B1450" t="str">
            <v>3707CCA32</v>
          </cell>
          <cell r="D1450">
            <v>4061.1099999999979</v>
          </cell>
          <cell r="E1450">
            <v>30743.939000000013</v>
          </cell>
          <cell r="F1450" t="str">
            <v>-41135.54</v>
          </cell>
          <cell r="G1450" t="str">
            <v>162313.12</v>
          </cell>
          <cell r="I1450" t="str">
            <v>S</v>
          </cell>
          <cell r="J1450" t="str">
            <v>2,65</v>
          </cell>
          <cell r="K1450" t="str">
            <v>Funicular</v>
          </cell>
          <cell r="L1450" t="str">
            <v>HEA 300</v>
          </cell>
          <cell r="M1450" t="str">
            <v>Anc. Ponte</v>
          </cell>
          <cell r="N1450" t="str">
            <v>Delta</v>
          </cell>
          <cell r="Q1450">
            <v>3.8</v>
          </cell>
          <cell r="S1450" t="str">
            <v>+20</v>
          </cell>
          <cell r="Z1450" t="str">
            <v>3707CCA31</v>
          </cell>
          <cell r="AA1450" t="str">
            <v>HEA300</v>
          </cell>
          <cell r="AB1450" t="str">
            <v>3707CCA32</v>
          </cell>
          <cell r="AC1450" t="str">
            <v>HEA300</v>
          </cell>
          <cell r="AD1450" t="str">
            <v>2,6</v>
          </cell>
          <cell r="AE1450" t="str">
            <v>3,1</v>
          </cell>
          <cell r="AF1450" t="str">
            <v>2,6</v>
          </cell>
          <cell r="AG1450" t="str">
            <v>3,80</v>
          </cell>
          <cell r="AH1450" t="str">
            <v>3,80</v>
          </cell>
          <cell r="AI1450" t="str">
            <v>0,20</v>
          </cell>
          <cell r="AJ1450" t="str">
            <v>0,20</v>
          </cell>
          <cell r="AK1450">
            <v>4218</v>
          </cell>
          <cell r="AL1450">
            <v>4263</v>
          </cell>
          <cell r="AM1450">
            <v>2017</v>
          </cell>
          <cell r="AN1450">
            <v>3350</v>
          </cell>
          <cell r="AO1450">
            <v>2442</v>
          </cell>
          <cell r="AP1450" t="str">
            <v>10,53%</v>
          </cell>
          <cell r="AQ1450" t="str">
            <v>10,53%</v>
          </cell>
          <cell r="BW1450" t="str">
            <v>C.F.1</v>
          </cell>
        </row>
        <row r="1451">
          <cell r="C1451">
            <v>13.9</v>
          </cell>
          <cell r="N1451" t="str">
            <v/>
          </cell>
        </row>
        <row r="1452">
          <cell r="B1452" t="str">
            <v>3707CCA34</v>
          </cell>
          <cell r="D1452">
            <v>4075</v>
          </cell>
          <cell r="E1452">
            <v>30730.039000000012</v>
          </cell>
          <cell r="F1452" t="str">
            <v>-41121.57</v>
          </cell>
          <cell r="G1452" t="str">
            <v>162312.27</v>
          </cell>
          <cell r="I1452" t="str">
            <v>S</v>
          </cell>
          <cell r="K1452" t="str">
            <v>Funicular</v>
          </cell>
          <cell r="L1452" t="str">
            <v>HEA 300</v>
          </cell>
          <cell r="M1452" t="str">
            <v>Anc. Ponte</v>
          </cell>
          <cell r="N1452" t="str">
            <v>Delta</v>
          </cell>
          <cell r="Q1452">
            <v>3.8</v>
          </cell>
          <cell r="S1452" t="str">
            <v>+10</v>
          </cell>
          <cell r="Z1452" t="str">
            <v>3707CCA33</v>
          </cell>
          <cell r="AA1452" t="str">
            <v>HEA300</v>
          </cell>
          <cell r="AB1452" t="str">
            <v>3707CCA34</v>
          </cell>
          <cell r="AC1452" t="str">
            <v>HEA300</v>
          </cell>
          <cell r="AD1452" t="str">
            <v>2,6</v>
          </cell>
          <cell r="AE1452" t="str">
            <v>3,1</v>
          </cell>
          <cell r="AF1452" t="str">
            <v>2,6</v>
          </cell>
          <cell r="AG1452" t="str">
            <v>3,80</v>
          </cell>
          <cell r="AH1452" t="str">
            <v>3,80</v>
          </cell>
          <cell r="AI1452" t="str">
            <v>0,10</v>
          </cell>
          <cell r="AJ1452" t="str">
            <v>0,10</v>
          </cell>
          <cell r="AK1452">
            <v>4194</v>
          </cell>
          <cell r="AL1452">
            <v>4214</v>
          </cell>
          <cell r="AM1452">
            <v>2111</v>
          </cell>
          <cell r="AN1452">
            <v>3350</v>
          </cell>
          <cell r="AO1452">
            <v>2333</v>
          </cell>
          <cell r="AP1452" t="str">
            <v>8,97%</v>
          </cell>
          <cell r="AQ1452" t="str">
            <v>8,97%</v>
          </cell>
          <cell r="BW1452" t="str">
            <v>C.F.1</v>
          </cell>
        </row>
        <row r="1453">
          <cell r="B1453" t="str">
            <v xml:space="preserve">Fin.Viaduto B ( 
Inic. Soterramento 04+064) </v>
          </cell>
          <cell r="C1453">
            <v>10.4</v>
          </cell>
          <cell r="N1453" t="str">
            <v/>
          </cell>
          <cell r="U1453" t="str">
            <v>Transição Catenaria</v>
          </cell>
          <cell r="V1453" t="str">
            <v>Disp. Transic.</v>
          </cell>
        </row>
        <row r="1454">
          <cell r="B1454" t="str">
            <v>3707CCA36</v>
          </cell>
          <cell r="D1454">
            <v>4085.4</v>
          </cell>
          <cell r="E1454">
            <v>30719.63900000001</v>
          </cell>
          <cell r="F1454" t="str">
            <v>-41111.04</v>
          </cell>
          <cell r="G1454" t="str">
            <v>162314.10</v>
          </cell>
          <cell r="I1454" t="str">
            <v>S</v>
          </cell>
          <cell r="K1454" t="str">
            <v>Rígida</v>
          </cell>
          <cell r="L1454" t="str">
            <v>Parafil</v>
          </cell>
          <cell r="Q1454">
            <v>3.8</v>
          </cell>
          <cell r="S1454" t="str">
            <v>+12</v>
          </cell>
        </row>
        <row r="1455">
          <cell r="C1455">
            <v>10.009999999997945</v>
          </cell>
          <cell r="F1455" t="str">
            <v/>
          </cell>
          <cell r="G1455" t="str">
            <v/>
          </cell>
        </row>
        <row r="1456">
          <cell r="B1456" t="str">
            <v>3707CCA38</v>
          </cell>
          <cell r="D1456">
            <v>4095.409999999998</v>
          </cell>
          <cell r="E1456">
            <v>30709.629000000012</v>
          </cell>
          <cell r="F1456" t="str">
            <v>-41101.11</v>
          </cell>
          <cell r="G1456" t="str">
            <v>162313.41</v>
          </cell>
          <cell r="I1456" t="str">
            <v>S</v>
          </cell>
          <cell r="K1456" t="str">
            <v>Rígida</v>
          </cell>
          <cell r="L1456" t="str">
            <v>Parafil</v>
          </cell>
          <cell r="Q1456">
            <v>3.8</v>
          </cell>
          <cell r="S1456" t="str">
            <v>+4</v>
          </cell>
        </row>
        <row r="1457">
          <cell r="C1457">
            <v>12</v>
          </cell>
          <cell r="F1457" t="str">
            <v/>
          </cell>
          <cell r="G1457" t="str">
            <v/>
          </cell>
        </row>
        <row r="1458">
          <cell r="B1458" t="str">
            <v>3707CCA40</v>
          </cell>
          <cell r="D1458">
            <v>4107.409999999998</v>
          </cell>
          <cell r="E1458">
            <v>30697.629000000012</v>
          </cell>
          <cell r="F1458" t="str">
            <v>-41089.14</v>
          </cell>
          <cell r="G1458" t="str">
            <v>162312.58</v>
          </cell>
          <cell r="I1458" t="str">
            <v>S</v>
          </cell>
          <cell r="K1458" t="str">
            <v>Rígida</v>
          </cell>
          <cell r="L1458" t="str">
            <v>Parafil</v>
          </cell>
          <cell r="Q1458">
            <v>3.8</v>
          </cell>
          <cell r="S1458">
            <v>-4</v>
          </cell>
        </row>
        <row r="1459">
          <cell r="C1459">
            <v>12</v>
          </cell>
          <cell r="F1459" t="str">
            <v/>
          </cell>
          <cell r="G1459" t="str">
            <v/>
          </cell>
        </row>
        <row r="1460">
          <cell r="B1460" t="str">
            <v>3707CCA42</v>
          </cell>
          <cell r="D1460">
            <v>4119.409999999998</v>
          </cell>
          <cell r="E1460">
            <v>30685.629000000012</v>
          </cell>
          <cell r="F1460" t="str">
            <v>-41077.17</v>
          </cell>
          <cell r="G1460" t="str">
            <v>162311.74</v>
          </cell>
          <cell r="I1460" t="str">
            <v>S</v>
          </cell>
          <cell r="K1460" t="str">
            <v>Rígida</v>
          </cell>
          <cell r="L1460" t="str">
            <v>Parafil</v>
          </cell>
          <cell r="Q1460">
            <v>3.8</v>
          </cell>
          <cell r="S1460">
            <v>-12</v>
          </cell>
        </row>
        <row r="1461">
          <cell r="C1461">
            <v>12</v>
          </cell>
          <cell r="F1461" t="str">
            <v/>
          </cell>
          <cell r="G1461" t="str">
            <v/>
          </cell>
        </row>
        <row r="1462">
          <cell r="B1462" t="str">
            <v>3707CCA44</v>
          </cell>
          <cell r="D1462">
            <v>4131.409999999998</v>
          </cell>
          <cell r="E1462">
            <v>30673.629000000012</v>
          </cell>
          <cell r="F1462" t="str">
            <v>-41065.20</v>
          </cell>
          <cell r="G1462" t="str">
            <v>162310.91</v>
          </cell>
          <cell r="I1462" t="str">
            <v>S</v>
          </cell>
          <cell r="K1462" t="str">
            <v>Rígida</v>
          </cell>
          <cell r="L1462" t="str">
            <v>Parafil</v>
          </cell>
          <cell r="Q1462">
            <v>3.8</v>
          </cell>
          <cell r="S1462">
            <v>-20</v>
          </cell>
        </row>
        <row r="1463">
          <cell r="C1463">
            <v>12</v>
          </cell>
          <cell r="F1463" t="str">
            <v/>
          </cell>
          <cell r="G1463" t="str">
            <v/>
          </cell>
        </row>
        <row r="1464">
          <cell r="B1464" t="str">
            <v>3707CCA46</v>
          </cell>
          <cell r="D1464">
            <v>4143.409999999998</v>
          </cell>
          <cell r="E1464">
            <v>30661.629000000012</v>
          </cell>
          <cell r="F1464" t="str">
            <v>-41041.26</v>
          </cell>
          <cell r="G1464" t="str">
            <v>162310.08</v>
          </cell>
          <cell r="I1464" t="str">
            <v>S</v>
          </cell>
          <cell r="K1464" t="str">
            <v>Rígida</v>
          </cell>
          <cell r="L1464" t="str">
            <v>Parafil</v>
          </cell>
          <cell r="Q1464">
            <v>3.8</v>
          </cell>
          <cell r="S1464">
            <v>-12</v>
          </cell>
        </row>
        <row r="1465">
          <cell r="C1465">
            <v>12</v>
          </cell>
          <cell r="F1465" t="str">
            <v/>
          </cell>
          <cell r="G1465" t="str">
            <v/>
          </cell>
        </row>
        <row r="1466">
          <cell r="B1466" t="str">
            <v>3707CCA48</v>
          </cell>
          <cell r="D1466">
            <v>4155.409999999998</v>
          </cell>
          <cell r="E1466">
            <v>30649.629000000012</v>
          </cell>
          <cell r="F1466" t="str">
            <v>-41041.26</v>
          </cell>
          <cell r="G1466" t="str">
            <v>162309.24</v>
          </cell>
          <cell r="I1466" t="str">
            <v>S</v>
          </cell>
          <cell r="K1466" t="str">
            <v>Rígida</v>
          </cell>
          <cell r="L1466" t="str">
            <v>Parafil</v>
          </cell>
          <cell r="Q1466">
            <v>3.8</v>
          </cell>
          <cell r="S1466">
            <v>-4</v>
          </cell>
        </row>
        <row r="1467">
          <cell r="C1467">
            <v>12</v>
          </cell>
          <cell r="F1467" t="str">
            <v/>
          </cell>
          <cell r="G1467" t="str">
            <v/>
          </cell>
        </row>
        <row r="1468">
          <cell r="B1468" t="str">
            <v>3707CCA50</v>
          </cell>
          <cell r="D1468">
            <v>4167.409999999998</v>
          </cell>
          <cell r="E1468">
            <v>30637.629000000012</v>
          </cell>
          <cell r="F1468" t="str">
            <v>-41029.29</v>
          </cell>
          <cell r="G1468" t="str">
            <v>162308.41</v>
          </cell>
          <cell r="I1468" t="str">
            <v>S</v>
          </cell>
          <cell r="K1468" t="str">
            <v>Rígida</v>
          </cell>
          <cell r="L1468" t="str">
            <v>Parafil</v>
          </cell>
          <cell r="Q1468">
            <v>3.8</v>
          </cell>
          <cell r="S1468" t="str">
            <v>+4</v>
          </cell>
        </row>
        <row r="1469">
          <cell r="C1469">
            <v>12.000000000001819</v>
          </cell>
          <cell r="F1469" t="str">
            <v/>
          </cell>
          <cell r="G1469" t="str">
            <v/>
          </cell>
        </row>
        <row r="1470">
          <cell r="B1470" t="str">
            <v>3707CCA52</v>
          </cell>
          <cell r="D1470">
            <v>4179.41</v>
          </cell>
          <cell r="E1470">
            <v>30625.629000000008</v>
          </cell>
          <cell r="F1470" t="str">
            <v>-41017.32</v>
          </cell>
          <cell r="G1470" t="str">
            <v>162307.55</v>
          </cell>
          <cell r="I1470" t="str">
            <v>SE</v>
          </cell>
          <cell r="K1470" t="str">
            <v>Rígida</v>
          </cell>
          <cell r="L1470" t="str">
            <v>C860-A</v>
          </cell>
          <cell r="Q1470">
            <v>3.8</v>
          </cell>
          <cell r="S1470">
            <v>-12</v>
          </cell>
          <cell r="T1470" t="str">
            <v>+12</v>
          </cell>
          <cell r="U1470" t="str">
            <v>Cantón 110,6 m</v>
          </cell>
        </row>
        <row r="1471">
          <cell r="B1471" t="str">
            <v>Inic. Estação Devesas (04+174)</v>
          </cell>
          <cell r="C1471">
            <v>6.1999999999979991</v>
          </cell>
          <cell r="U1471" t="str">
            <v>Seccionamento</v>
          </cell>
        </row>
        <row r="1472">
          <cell r="B1472" t="str">
            <v>3708CCA02</v>
          </cell>
          <cell r="D1472">
            <v>4185.6099999999979</v>
          </cell>
          <cell r="E1472">
            <v>30619.429000000011</v>
          </cell>
          <cell r="F1472" t="str">
            <v>-41011.13</v>
          </cell>
          <cell r="G1472" t="str">
            <v>162307.15</v>
          </cell>
          <cell r="I1472" t="str">
            <v>SE</v>
          </cell>
          <cell r="K1472" t="str">
            <v>Rígida</v>
          </cell>
          <cell r="L1472" t="str">
            <v>C860-A</v>
          </cell>
          <cell r="Q1472">
            <v>3.8</v>
          </cell>
          <cell r="S1472">
            <v>-4</v>
          </cell>
          <cell r="T1472" t="str">
            <v>+20</v>
          </cell>
          <cell r="U1472" t="str">
            <v>Cantón 394,6 m</v>
          </cell>
        </row>
        <row r="1473">
          <cell r="C1473">
            <v>12</v>
          </cell>
          <cell r="F1473" t="str">
            <v/>
          </cell>
          <cell r="G1473" t="str">
            <v/>
          </cell>
        </row>
        <row r="1474">
          <cell r="B1474" t="str">
            <v>3708CCA04</v>
          </cell>
          <cell r="D1474">
            <v>4195.8099999999977</v>
          </cell>
          <cell r="E1474">
            <v>30607.429000000011</v>
          </cell>
          <cell r="F1474" t="str">
            <v>-41000.89</v>
          </cell>
          <cell r="G1474" t="str">
            <v>162306.44</v>
          </cell>
          <cell r="I1474" t="str">
            <v>S</v>
          </cell>
          <cell r="K1474" t="str">
            <v>Rígida</v>
          </cell>
          <cell r="L1474" t="str">
            <v>Parafil</v>
          </cell>
          <cell r="Q1474">
            <v>3.8</v>
          </cell>
          <cell r="S1474" t="str">
            <v>+4</v>
          </cell>
        </row>
        <row r="1475">
          <cell r="C1475">
            <v>12</v>
          </cell>
          <cell r="F1475" t="str">
            <v/>
          </cell>
          <cell r="G1475" t="str">
            <v/>
          </cell>
        </row>
        <row r="1476">
          <cell r="B1476" t="str">
            <v>3708CCA06</v>
          </cell>
          <cell r="D1476">
            <v>4207.8099999999977</v>
          </cell>
          <cell r="E1476">
            <v>30595.429000000011</v>
          </cell>
          <cell r="F1476" t="str">
            <v>-40988.91</v>
          </cell>
          <cell r="G1476" t="str">
            <v>162305.60</v>
          </cell>
          <cell r="I1476" t="str">
            <v>S</v>
          </cell>
          <cell r="K1476" t="str">
            <v>Rígida</v>
          </cell>
          <cell r="L1476" t="str">
            <v>Parafil</v>
          </cell>
          <cell r="Q1476">
            <v>3.8</v>
          </cell>
          <cell r="S1476" t="str">
            <v>+12</v>
          </cell>
        </row>
        <row r="1477">
          <cell r="C1477">
            <v>12</v>
          </cell>
          <cell r="F1477" t="str">
            <v/>
          </cell>
          <cell r="G1477" t="str">
            <v/>
          </cell>
        </row>
        <row r="1478">
          <cell r="B1478" t="str">
            <v>3708CCA08</v>
          </cell>
          <cell r="D1478">
            <v>4219.8099999999977</v>
          </cell>
          <cell r="E1478">
            <v>30583.429000000011</v>
          </cell>
          <cell r="F1478" t="str">
            <v>-40976.94</v>
          </cell>
          <cell r="G1478" t="str">
            <v>162304.77</v>
          </cell>
          <cell r="I1478" t="str">
            <v>S</v>
          </cell>
          <cell r="K1478" t="str">
            <v>Rígida</v>
          </cell>
          <cell r="L1478" t="str">
            <v>C859-A</v>
          </cell>
          <cell r="Q1478">
            <v>3.8</v>
          </cell>
          <cell r="S1478" t="str">
            <v>+20</v>
          </cell>
        </row>
        <row r="1479">
          <cell r="C1479">
            <v>12</v>
          </cell>
          <cell r="F1479" t="str">
            <v/>
          </cell>
          <cell r="G1479" t="str">
            <v/>
          </cell>
        </row>
        <row r="1480">
          <cell r="B1480" t="str">
            <v>3708CCA10</v>
          </cell>
          <cell r="D1480">
            <v>4231.8099999999977</v>
          </cell>
          <cell r="E1480">
            <v>30571.429000000011</v>
          </cell>
          <cell r="F1480" t="str">
            <v>-40964.96</v>
          </cell>
          <cell r="G1480" t="str">
            <v>162303.94</v>
          </cell>
          <cell r="I1480" t="str">
            <v>S</v>
          </cell>
          <cell r="K1480" t="str">
            <v>Rígida</v>
          </cell>
          <cell r="L1480" t="str">
            <v>Parafil</v>
          </cell>
          <cell r="Q1480">
            <v>3.8</v>
          </cell>
          <cell r="S1480" t="str">
            <v>+12</v>
          </cell>
        </row>
        <row r="1481">
          <cell r="C1481">
            <v>12</v>
          </cell>
          <cell r="F1481" t="str">
            <v/>
          </cell>
          <cell r="G1481" t="str">
            <v/>
          </cell>
        </row>
        <row r="1482">
          <cell r="B1482" t="str">
            <v>3708CCA12</v>
          </cell>
          <cell r="D1482">
            <v>4243.8099999999977</v>
          </cell>
          <cell r="E1482">
            <v>30559.429000000011</v>
          </cell>
          <cell r="F1482" t="str">
            <v>-40952.98</v>
          </cell>
          <cell r="G1482" t="str">
            <v>162303.10</v>
          </cell>
          <cell r="I1482" t="str">
            <v>S</v>
          </cell>
          <cell r="K1482" t="str">
            <v>Rígida</v>
          </cell>
          <cell r="L1482" t="str">
            <v>Parafil</v>
          </cell>
          <cell r="Q1482">
            <v>3.8</v>
          </cell>
          <cell r="S1482" t="str">
            <v>+4</v>
          </cell>
        </row>
        <row r="1483">
          <cell r="C1483">
            <v>12</v>
          </cell>
          <cell r="F1483" t="str">
            <v/>
          </cell>
          <cell r="G1483" t="str">
            <v/>
          </cell>
        </row>
        <row r="1484">
          <cell r="B1484" t="str">
            <v>3708CCA14</v>
          </cell>
          <cell r="D1484">
            <v>4255.8099999999977</v>
          </cell>
          <cell r="E1484">
            <v>30547.429000000011</v>
          </cell>
          <cell r="F1484" t="str">
            <v>-40941.01</v>
          </cell>
          <cell r="G1484" t="str">
            <v>162302.27</v>
          </cell>
          <cell r="I1484" t="str">
            <v>S</v>
          </cell>
          <cell r="K1484" t="str">
            <v>Rígida</v>
          </cell>
          <cell r="L1484" t="str">
            <v>C859-A</v>
          </cell>
          <cell r="Q1484">
            <v>3.8</v>
          </cell>
          <cell r="S1484">
            <v>-4</v>
          </cell>
        </row>
        <row r="1485">
          <cell r="B1485" t="str">
            <v>Fin. Estação Devesas (04+263)</v>
          </cell>
          <cell r="C1485">
            <v>12</v>
          </cell>
        </row>
        <row r="1486">
          <cell r="B1486" t="str">
            <v>3709CCA02</v>
          </cell>
          <cell r="D1486">
            <v>4267.8099999999977</v>
          </cell>
          <cell r="E1486">
            <v>30535.429000000011</v>
          </cell>
          <cell r="F1486" t="str">
            <v>-40929.03</v>
          </cell>
          <cell r="G1486" t="str">
            <v>162301.43</v>
          </cell>
          <cell r="I1486" t="str">
            <v>S</v>
          </cell>
          <cell r="K1486" t="str">
            <v>Rígida</v>
          </cell>
          <cell r="L1486" t="str">
            <v>C859-A</v>
          </cell>
          <cell r="Q1486">
            <v>3.8</v>
          </cell>
          <cell r="S1486">
            <v>-12</v>
          </cell>
        </row>
        <row r="1487">
          <cell r="C1487">
            <v>12</v>
          </cell>
          <cell r="F1487" t="str">
            <v/>
          </cell>
          <cell r="G1487" t="str">
            <v/>
          </cell>
        </row>
        <row r="1488">
          <cell r="B1488" t="str">
            <v>3709CCA04</v>
          </cell>
          <cell r="D1488">
            <v>4279.8099999999977</v>
          </cell>
          <cell r="E1488">
            <v>30523.429000000011</v>
          </cell>
          <cell r="F1488" t="str">
            <v>-40917.06</v>
          </cell>
          <cell r="G1488" t="str">
            <v>162300.60</v>
          </cell>
          <cell r="I1488" t="str">
            <v>S</v>
          </cell>
          <cell r="K1488" t="str">
            <v>Rígida</v>
          </cell>
          <cell r="L1488" t="str">
            <v>C859-A</v>
          </cell>
          <cell r="Q1488">
            <v>3.8</v>
          </cell>
          <cell r="S1488">
            <v>-20</v>
          </cell>
        </row>
        <row r="1489">
          <cell r="C1489">
            <v>12</v>
          </cell>
          <cell r="F1489" t="str">
            <v/>
          </cell>
          <cell r="G1489" t="str">
            <v/>
          </cell>
        </row>
        <row r="1490">
          <cell r="B1490" t="str">
            <v>3709CCA06</v>
          </cell>
          <cell r="D1490">
            <v>4291.8099999999977</v>
          </cell>
          <cell r="E1490">
            <v>30511.429000000011</v>
          </cell>
          <cell r="F1490" t="str">
            <v>-40905.08</v>
          </cell>
          <cell r="G1490" t="str">
            <v>162299.76</v>
          </cell>
          <cell r="H1490" t="str">
            <v>Clo</v>
          </cell>
          <cell r="I1490" t="str">
            <v>S</v>
          </cell>
          <cell r="K1490" t="str">
            <v>Rígida</v>
          </cell>
          <cell r="L1490" t="str">
            <v>C859-A</v>
          </cell>
          <cell r="Q1490">
            <v>3.8</v>
          </cell>
          <cell r="S1490">
            <v>-12</v>
          </cell>
        </row>
        <row r="1491">
          <cell r="C1491">
            <v>12</v>
          </cell>
          <cell r="F1491" t="str">
            <v/>
          </cell>
          <cell r="G1491" t="str">
            <v/>
          </cell>
          <cell r="H1491" t="str">
            <v>-</v>
          </cell>
        </row>
        <row r="1492">
          <cell r="B1492" t="str">
            <v>3709CCA08</v>
          </cell>
          <cell r="D1492">
            <v>4303.8099999999977</v>
          </cell>
          <cell r="E1492">
            <v>30499.429000000011</v>
          </cell>
          <cell r="F1492" t="str">
            <v>-40893.11</v>
          </cell>
          <cell r="G1492" t="str">
            <v>162298.92</v>
          </cell>
          <cell r="H1492" t="str">
            <v>Clo</v>
          </cell>
          <cell r="I1492" t="str">
            <v>S</v>
          </cell>
          <cell r="K1492" t="str">
            <v>Rígida</v>
          </cell>
          <cell r="L1492" t="str">
            <v>C859-A</v>
          </cell>
          <cell r="Q1492">
            <v>3.8</v>
          </cell>
          <cell r="S1492">
            <v>-4</v>
          </cell>
        </row>
        <row r="1493">
          <cell r="C1493">
            <v>12</v>
          </cell>
          <cell r="F1493" t="str">
            <v/>
          </cell>
          <cell r="G1493" t="str">
            <v/>
          </cell>
          <cell r="H1493" t="str">
            <v>-</v>
          </cell>
        </row>
        <row r="1494">
          <cell r="B1494" t="str">
            <v>3709CCA10</v>
          </cell>
          <cell r="D1494">
            <v>4315.8099999999977</v>
          </cell>
          <cell r="E1494">
            <v>30487.429000000011</v>
          </cell>
          <cell r="F1494" t="str">
            <v>-40881.15</v>
          </cell>
          <cell r="G1494" t="str">
            <v>162297.93</v>
          </cell>
          <cell r="H1494" t="str">
            <v>Clo</v>
          </cell>
          <cell r="I1494" t="str">
            <v>S</v>
          </cell>
          <cell r="K1494" t="str">
            <v>Rígida</v>
          </cell>
          <cell r="L1494" t="str">
            <v>C859-A</v>
          </cell>
          <cell r="Q1494">
            <v>3.8</v>
          </cell>
          <cell r="S1494" t="str">
            <v>+4</v>
          </cell>
        </row>
        <row r="1495">
          <cell r="C1495">
            <v>12</v>
          </cell>
          <cell r="F1495" t="str">
            <v/>
          </cell>
          <cell r="G1495" t="str">
            <v/>
          </cell>
          <cell r="H1495" t="str">
            <v>-</v>
          </cell>
        </row>
        <row r="1496">
          <cell r="B1496" t="str">
            <v>3709CCA12</v>
          </cell>
          <cell r="D1496">
            <v>4327.8099999999977</v>
          </cell>
          <cell r="E1496">
            <v>30475.429000000011</v>
          </cell>
          <cell r="F1496" t="str">
            <v>-40869.26</v>
          </cell>
          <cell r="G1496" t="str">
            <v>162296.29</v>
          </cell>
          <cell r="H1496">
            <v>-150</v>
          </cell>
          <cell r="I1496" t="str">
            <v>S</v>
          </cell>
          <cell r="K1496" t="str">
            <v>Rígida</v>
          </cell>
          <cell r="L1496" t="str">
            <v>C859-A</v>
          </cell>
          <cell r="Q1496">
            <v>3.8</v>
          </cell>
          <cell r="S1496" t="str">
            <v>+12</v>
          </cell>
        </row>
        <row r="1497">
          <cell r="C1497">
            <v>12</v>
          </cell>
          <cell r="F1497" t="str">
            <v/>
          </cell>
          <cell r="G1497" t="str">
            <v/>
          </cell>
          <cell r="H1497" t="str">
            <v>-</v>
          </cell>
        </row>
        <row r="1498">
          <cell r="B1498" t="str">
            <v>3709CCA14</v>
          </cell>
          <cell r="D1498">
            <v>4339.8099999999977</v>
          </cell>
          <cell r="E1498">
            <v>30463.429000000011</v>
          </cell>
          <cell r="F1498" t="str">
            <v>-40857.54</v>
          </cell>
          <cell r="G1498" t="str">
            <v>162293.80</v>
          </cell>
          <cell r="H1498">
            <v>-150</v>
          </cell>
          <cell r="I1498" t="str">
            <v>S</v>
          </cell>
          <cell r="K1498" t="str">
            <v>Rígida</v>
          </cell>
          <cell r="L1498" t="str">
            <v>C859-A</v>
          </cell>
          <cell r="Q1498">
            <v>3.8</v>
          </cell>
          <cell r="S1498" t="str">
            <v>+20</v>
          </cell>
        </row>
        <row r="1499">
          <cell r="C1499">
            <v>12</v>
          </cell>
          <cell r="F1499" t="str">
            <v/>
          </cell>
          <cell r="G1499" t="str">
            <v/>
          </cell>
          <cell r="H1499" t="str">
            <v>-</v>
          </cell>
        </row>
        <row r="1500">
          <cell r="B1500" t="str">
            <v>3709CCA16</v>
          </cell>
          <cell r="D1500">
            <v>4351.8099999999977</v>
          </cell>
          <cell r="E1500">
            <v>30451.429000000011</v>
          </cell>
          <cell r="F1500" t="str">
            <v>-40846.05</v>
          </cell>
          <cell r="G1500" t="str">
            <v>162290.36</v>
          </cell>
          <cell r="H1500">
            <v>-150</v>
          </cell>
          <cell r="I1500" t="str">
            <v>S</v>
          </cell>
          <cell r="K1500" t="str">
            <v>Rígida</v>
          </cell>
          <cell r="L1500" t="str">
            <v>C859-A</v>
          </cell>
          <cell r="Q1500">
            <v>3.8</v>
          </cell>
          <cell r="S1500" t="str">
            <v>+12</v>
          </cell>
        </row>
        <row r="1501">
          <cell r="C1501">
            <v>12</v>
          </cell>
          <cell r="F1501" t="str">
            <v/>
          </cell>
          <cell r="G1501" t="str">
            <v/>
          </cell>
          <cell r="H1501" t="str">
            <v>-</v>
          </cell>
        </row>
        <row r="1502">
          <cell r="B1502" t="str">
            <v>3709CCA18</v>
          </cell>
          <cell r="D1502">
            <v>4363.8099999999977</v>
          </cell>
          <cell r="E1502">
            <v>30439.429000000011</v>
          </cell>
          <cell r="F1502" t="str">
            <v>-40834.87</v>
          </cell>
          <cell r="G1502" t="str">
            <v>162286.00</v>
          </cell>
          <cell r="H1502">
            <v>-150</v>
          </cell>
          <cell r="I1502" t="str">
            <v>PF</v>
          </cell>
          <cell r="K1502" t="str">
            <v>Rígida</v>
          </cell>
          <cell r="L1502" t="str">
            <v>C863-A</v>
          </cell>
          <cell r="Q1502">
            <v>3.8</v>
          </cell>
          <cell r="S1502" t="str">
            <v>+4</v>
          </cell>
        </row>
        <row r="1503">
          <cell r="C1503">
            <v>12</v>
          </cell>
          <cell r="F1503" t="str">
            <v/>
          </cell>
          <cell r="G1503" t="str">
            <v/>
          </cell>
        </row>
        <row r="1504">
          <cell r="B1504" t="str">
            <v>3709CCA20</v>
          </cell>
          <cell r="D1504">
            <v>4375.8099999999977</v>
          </cell>
          <cell r="E1504">
            <v>30427.429000000011</v>
          </cell>
          <cell r="F1504" t="str">
            <v>-40824.07</v>
          </cell>
          <cell r="G1504" t="str">
            <v>162280.75</v>
          </cell>
          <cell r="H1504">
            <v>-150</v>
          </cell>
          <cell r="I1504" t="str">
            <v>S</v>
          </cell>
          <cell r="K1504" t="str">
            <v>Rígida</v>
          </cell>
          <cell r="L1504" t="str">
            <v>C859-A</v>
          </cell>
          <cell r="Q1504">
            <v>3.8</v>
          </cell>
          <cell r="S1504">
            <v>-4</v>
          </cell>
        </row>
        <row r="1505">
          <cell r="C1505">
            <v>12</v>
          </cell>
          <cell r="F1505" t="str">
            <v/>
          </cell>
          <cell r="G1505" t="str">
            <v/>
          </cell>
        </row>
        <row r="1506">
          <cell r="B1506" t="str">
            <v>3709CCA22</v>
          </cell>
          <cell r="D1506">
            <v>4387.8099999999977</v>
          </cell>
          <cell r="E1506">
            <v>30415.429000000011</v>
          </cell>
          <cell r="F1506" t="str">
            <v>-40813.74</v>
          </cell>
          <cell r="G1506" t="str">
            <v>162274.65</v>
          </cell>
          <cell r="H1506">
            <v>-150</v>
          </cell>
          <cell r="I1506" t="str">
            <v>S</v>
          </cell>
          <cell r="K1506" t="str">
            <v>Rígida</v>
          </cell>
          <cell r="L1506" t="str">
            <v>C859-A</v>
          </cell>
          <cell r="Q1506">
            <v>3.8</v>
          </cell>
          <cell r="S1506">
            <v>-12</v>
          </cell>
        </row>
        <row r="1507">
          <cell r="C1507">
            <v>12</v>
          </cell>
          <cell r="F1507" t="str">
            <v/>
          </cell>
          <cell r="G1507" t="str">
            <v/>
          </cell>
        </row>
        <row r="1508">
          <cell r="B1508" t="str">
            <v>3709CCA24</v>
          </cell>
          <cell r="D1508">
            <v>4399.8099999999977</v>
          </cell>
          <cell r="E1508">
            <v>30403.429000000011</v>
          </cell>
          <cell r="F1508" t="str">
            <v>-40803.93</v>
          </cell>
          <cell r="G1508" t="str">
            <v>162267.74</v>
          </cell>
          <cell r="H1508">
            <v>-150</v>
          </cell>
          <cell r="I1508" t="str">
            <v>S</v>
          </cell>
          <cell r="K1508" t="str">
            <v>Rígida</v>
          </cell>
          <cell r="L1508" t="str">
            <v>C859-A</v>
          </cell>
          <cell r="Q1508">
            <v>3.8</v>
          </cell>
          <cell r="S1508">
            <v>-20</v>
          </cell>
        </row>
        <row r="1509">
          <cell r="C1509">
            <v>12</v>
          </cell>
          <cell r="F1509" t="str">
            <v/>
          </cell>
          <cell r="G1509" t="str">
            <v/>
          </cell>
        </row>
        <row r="1510">
          <cell r="B1510" t="str">
            <v>3709CCA26</v>
          </cell>
          <cell r="D1510">
            <v>4411.8099999999977</v>
          </cell>
          <cell r="E1510">
            <v>30391.429000000011</v>
          </cell>
          <cell r="F1510" t="str">
            <v>-40794.72</v>
          </cell>
          <cell r="G1510" t="str">
            <v>162260.05</v>
          </cell>
          <cell r="H1510">
            <v>-150</v>
          </cell>
          <cell r="I1510" t="str">
            <v>S</v>
          </cell>
          <cell r="K1510" t="str">
            <v>Rígida</v>
          </cell>
          <cell r="L1510" t="str">
            <v>C859-A</v>
          </cell>
          <cell r="Q1510">
            <v>3.8</v>
          </cell>
          <cell r="S1510">
            <v>-12</v>
          </cell>
        </row>
        <row r="1511">
          <cell r="C1511">
            <v>12</v>
          </cell>
          <cell r="F1511" t="str">
            <v/>
          </cell>
          <cell r="G1511" t="str">
            <v/>
          </cell>
        </row>
        <row r="1512">
          <cell r="B1512" t="str">
            <v>3709CCA28</v>
          </cell>
          <cell r="D1512">
            <v>4423.8099999999977</v>
          </cell>
          <cell r="E1512">
            <v>30379.429000000011</v>
          </cell>
          <cell r="F1512" t="str">
            <v>-40786.15</v>
          </cell>
          <cell r="G1512" t="str">
            <v>162251.65</v>
          </cell>
          <cell r="H1512">
            <v>-150</v>
          </cell>
          <cell r="I1512" t="str">
            <v>S</v>
          </cell>
          <cell r="K1512" t="str">
            <v>Rígida</v>
          </cell>
          <cell r="L1512" t="str">
            <v>C859-A</v>
          </cell>
          <cell r="Q1512">
            <v>3.8</v>
          </cell>
          <cell r="S1512">
            <v>-4</v>
          </cell>
        </row>
        <row r="1513">
          <cell r="C1513">
            <v>12</v>
          </cell>
          <cell r="F1513" t="str">
            <v/>
          </cell>
          <cell r="G1513" t="str">
            <v/>
          </cell>
        </row>
        <row r="1514">
          <cell r="B1514" t="str">
            <v>3709CCA30</v>
          </cell>
          <cell r="D1514">
            <v>4435.8099999999977</v>
          </cell>
          <cell r="E1514">
            <v>30367.429000000011</v>
          </cell>
          <cell r="F1514" t="str">
            <v>-40778.29</v>
          </cell>
          <cell r="G1514" t="str">
            <v>162242.58</v>
          </cell>
          <cell r="H1514" t="str">
            <v>Clo</v>
          </cell>
          <cell r="I1514" t="str">
            <v>S</v>
          </cell>
          <cell r="K1514" t="str">
            <v>Rígida</v>
          </cell>
          <cell r="L1514" t="str">
            <v>C859-A</v>
          </cell>
          <cell r="Q1514">
            <v>3.8</v>
          </cell>
          <cell r="S1514" t="str">
            <v>+4</v>
          </cell>
        </row>
        <row r="1515">
          <cell r="C1515">
            <v>12</v>
          </cell>
          <cell r="F1515" t="str">
            <v/>
          </cell>
          <cell r="G1515" t="str">
            <v/>
          </cell>
        </row>
        <row r="1516">
          <cell r="B1516" t="str">
            <v>3709CCA32</v>
          </cell>
          <cell r="D1516">
            <v>4447.8099999999977</v>
          </cell>
          <cell r="E1516">
            <v>30355.429000000011</v>
          </cell>
          <cell r="F1516" t="str">
            <v>-40771.19</v>
          </cell>
          <cell r="G1516" t="str">
            <v>162232.90</v>
          </cell>
          <cell r="H1516" t="str">
            <v>Clo</v>
          </cell>
          <cell r="I1516" t="str">
            <v>S</v>
          </cell>
          <cell r="K1516" t="str">
            <v>Rígida</v>
          </cell>
          <cell r="L1516" t="str">
            <v>C859-A</v>
          </cell>
          <cell r="Q1516">
            <v>3.8</v>
          </cell>
          <cell r="S1516" t="str">
            <v>+12</v>
          </cell>
        </row>
        <row r="1517">
          <cell r="C1517">
            <v>9</v>
          </cell>
          <cell r="F1517" t="str">
            <v/>
          </cell>
          <cell r="G1517" t="str">
            <v/>
          </cell>
        </row>
        <row r="1518">
          <cell r="B1518" t="str">
            <v>3709CCA34</v>
          </cell>
          <cell r="D1518">
            <v>4456.8099999999977</v>
          </cell>
          <cell r="E1518">
            <v>30346.429000000011</v>
          </cell>
          <cell r="F1518" t="str">
            <v>-40766.39</v>
          </cell>
          <cell r="G1518" t="str">
            <v>162225.33</v>
          </cell>
          <cell r="H1518" t="str">
            <v>Clo</v>
          </cell>
          <cell r="I1518" t="str">
            <v>S</v>
          </cell>
          <cell r="K1518" t="str">
            <v>Rígida</v>
          </cell>
          <cell r="L1518" t="str">
            <v>C859-A</v>
          </cell>
          <cell r="Q1518">
            <v>3.8</v>
          </cell>
          <cell r="S1518" t="str">
            <v>+20</v>
          </cell>
        </row>
        <row r="1519">
          <cell r="C1519">
            <v>12</v>
          </cell>
          <cell r="F1519" t="str">
            <v/>
          </cell>
          <cell r="G1519" t="str">
            <v/>
          </cell>
        </row>
        <row r="1520">
          <cell r="B1520" t="str">
            <v>3709CCA36</v>
          </cell>
          <cell r="D1520">
            <v>4468.8099999999977</v>
          </cell>
          <cell r="E1520">
            <v>30334.429000000011</v>
          </cell>
          <cell r="F1520" t="str">
            <v>-40760.47</v>
          </cell>
          <cell r="G1520" t="str">
            <v>162214.90</v>
          </cell>
          <cell r="I1520" t="str">
            <v>S</v>
          </cell>
          <cell r="K1520" t="str">
            <v>Rígida</v>
          </cell>
          <cell r="L1520" t="str">
            <v>C859-A</v>
          </cell>
          <cell r="Q1520">
            <v>3.8</v>
          </cell>
          <cell r="S1520" t="str">
            <v>+12</v>
          </cell>
        </row>
        <row r="1521">
          <cell r="C1521">
            <v>12</v>
          </cell>
          <cell r="F1521" t="str">
            <v/>
          </cell>
          <cell r="G1521" t="str">
            <v/>
          </cell>
        </row>
        <row r="1522">
          <cell r="B1522" t="str">
            <v>3709CCA38</v>
          </cell>
          <cell r="D1522">
            <v>4480.8099999999977</v>
          </cell>
          <cell r="E1522">
            <v>30322.429000000011</v>
          </cell>
          <cell r="F1522" t="str">
            <v>-40754.77</v>
          </cell>
          <cell r="G1522" t="str">
            <v>162204.34</v>
          </cell>
          <cell r="I1522" t="str">
            <v>S</v>
          </cell>
          <cell r="K1522" t="str">
            <v>Rígida</v>
          </cell>
          <cell r="L1522" t="str">
            <v>C859-A</v>
          </cell>
          <cell r="Q1522">
            <v>3.8</v>
          </cell>
          <cell r="S1522" t="str">
            <v>+4</v>
          </cell>
        </row>
        <row r="1523">
          <cell r="C1523">
            <v>12</v>
          </cell>
          <cell r="F1523" t="str">
            <v/>
          </cell>
          <cell r="G1523" t="str">
            <v/>
          </cell>
        </row>
        <row r="1524">
          <cell r="B1524" t="str">
            <v>3709CCA40</v>
          </cell>
          <cell r="D1524">
            <v>4492.8099999999977</v>
          </cell>
          <cell r="E1524">
            <v>30310.429000000011</v>
          </cell>
          <cell r="F1524" t="str">
            <v>-40749.13</v>
          </cell>
          <cell r="G1524" t="str">
            <v>162193.75</v>
          </cell>
          <cell r="I1524" t="str">
            <v>S</v>
          </cell>
          <cell r="K1524" t="str">
            <v>Rígida</v>
          </cell>
          <cell r="L1524" t="str">
            <v>C859-A</v>
          </cell>
          <cell r="Q1524">
            <v>3.8</v>
          </cell>
          <cell r="S1524">
            <v>-4</v>
          </cell>
        </row>
        <row r="1525">
          <cell r="C1525">
            <v>12</v>
          </cell>
          <cell r="F1525" t="str">
            <v/>
          </cell>
          <cell r="G1525" t="str">
            <v/>
          </cell>
        </row>
        <row r="1526">
          <cell r="B1526" t="str">
            <v>3709CCA42</v>
          </cell>
          <cell r="D1526">
            <v>4504.8099999999977</v>
          </cell>
          <cell r="E1526">
            <v>30298.429000000011</v>
          </cell>
          <cell r="F1526" t="str">
            <v>-40743.48</v>
          </cell>
          <cell r="G1526" t="str">
            <v>162183.16</v>
          </cell>
          <cell r="I1526" t="str">
            <v>S</v>
          </cell>
          <cell r="K1526" t="str">
            <v>Rígida</v>
          </cell>
          <cell r="L1526" t="str">
            <v>C859-A</v>
          </cell>
          <cell r="Q1526">
            <v>3.8</v>
          </cell>
          <cell r="S1526">
            <v>-12</v>
          </cell>
        </row>
        <row r="1527">
          <cell r="C1527">
            <v>12</v>
          </cell>
          <cell r="F1527" t="str">
            <v/>
          </cell>
          <cell r="G1527" t="str">
            <v/>
          </cell>
        </row>
        <row r="1528">
          <cell r="B1528" t="str">
            <v>3709CCA44</v>
          </cell>
          <cell r="D1528">
            <v>4516.8099999999977</v>
          </cell>
          <cell r="E1528">
            <v>30286.429000000011</v>
          </cell>
          <cell r="F1528" t="str">
            <v>-40737.83</v>
          </cell>
          <cell r="G1528" t="str">
            <v>162172.58</v>
          </cell>
          <cell r="I1528" t="str">
            <v>S</v>
          </cell>
          <cell r="K1528" t="str">
            <v>Rígida</v>
          </cell>
          <cell r="L1528" t="str">
            <v>C859-A</v>
          </cell>
          <cell r="Q1528">
            <v>3.8</v>
          </cell>
          <cell r="S1528">
            <v>-20</v>
          </cell>
        </row>
        <row r="1529">
          <cell r="C1529">
            <v>12</v>
          </cell>
          <cell r="F1529" t="str">
            <v/>
          </cell>
          <cell r="G1529" t="str">
            <v/>
          </cell>
        </row>
        <row r="1530">
          <cell r="B1530" t="str">
            <v>3709CCA46</v>
          </cell>
          <cell r="D1530">
            <v>4528.8099999999977</v>
          </cell>
          <cell r="E1530">
            <v>30274.429000000011</v>
          </cell>
          <cell r="F1530" t="str">
            <v>-40732.17</v>
          </cell>
          <cell r="G1530" t="str">
            <v>162161.99</v>
          </cell>
          <cell r="I1530" t="str">
            <v>S</v>
          </cell>
          <cell r="K1530" t="str">
            <v>Rígida</v>
          </cell>
          <cell r="L1530" t="str">
            <v>C859-A</v>
          </cell>
          <cell r="Q1530">
            <v>3.8</v>
          </cell>
          <cell r="S1530">
            <v>-12</v>
          </cell>
        </row>
        <row r="1531">
          <cell r="C1531">
            <v>12</v>
          </cell>
          <cell r="F1531" t="str">
            <v/>
          </cell>
          <cell r="G1531" t="str">
            <v/>
          </cell>
        </row>
        <row r="1532">
          <cell r="B1532" t="str">
            <v>3709CCA48</v>
          </cell>
          <cell r="D1532">
            <v>4540.8099999999977</v>
          </cell>
          <cell r="E1532">
            <v>30262.429000000011</v>
          </cell>
          <cell r="F1532" t="str">
            <v>-40726.53</v>
          </cell>
          <cell r="G1532" t="str">
            <v>162151.40</v>
          </cell>
          <cell r="I1532" t="str">
            <v>S</v>
          </cell>
          <cell r="K1532" t="str">
            <v>Rígida</v>
          </cell>
          <cell r="L1532" t="str">
            <v>C859-A</v>
          </cell>
          <cell r="Q1532">
            <v>3.8</v>
          </cell>
          <cell r="S1532">
            <v>-4</v>
          </cell>
        </row>
        <row r="1533">
          <cell r="C1533">
            <v>12</v>
          </cell>
          <cell r="F1533" t="str">
            <v/>
          </cell>
          <cell r="G1533" t="str">
            <v/>
          </cell>
        </row>
        <row r="1534">
          <cell r="B1534" t="str">
            <v>3709CCA50</v>
          </cell>
          <cell r="D1534">
            <v>4552.8099999999977</v>
          </cell>
          <cell r="E1534">
            <v>30250.429000000011</v>
          </cell>
          <cell r="F1534" t="str">
            <v>-40720.88</v>
          </cell>
          <cell r="G1534" t="str">
            <v>162140.82</v>
          </cell>
          <cell r="I1534" t="str">
            <v>S</v>
          </cell>
          <cell r="K1534" t="str">
            <v>Rígida</v>
          </cell>
          <cell r="L1534" t="str">
            <v>C859-A</v>
          </cell>
          <cell r="Q1534">
            <v>3.8</v>
          </cell>
          <cell r="S1534" t="str">
            <v>+4</v>
          </cell>
        </row>
        <row r="1535">
          <cell r="C1535">
            <v>12</v>
          </cell>
          <cell r="F1535" t="str">
            <v/>
          </cell>
          <cell r="G1535" t="str">
            <v/>
          </cell>
        </row>
        <row r="1536">
          <cell r="B1536" t="str">
            <v>3709CCA52</v>
          </cell>
          <cell r="D1536">
            <v>4564.8099999999977</v>
          </cell>
          <cell r="E1536">
            <v>30238.429000000011</v>
          </cell>
          <cell r="F1536" t="str">
            <v>-40715.40</v>
          </cell>
          <cell r="G1536" t="str">
            <v>162130.40</v>
          </cell>
          <cell r="I1536" t="str">
            <v>SE</v>
          </cell>
          <cell r="K1536" t="str">
            <v>Rígida</v>
          </cell>
          <cell r="L1536" t="str">
            <v>C860-A</v>
          </cell>
          <cell r="Q1536">
            <v>3.8</v>
          </cell>
          <cell r="S1536">
            <v>-20</v>
          </cell>
          <cell r="T1536" t="str">
            <v>+12</v>
          </cell>
          <cell r="U1536" t="str">
            <v>Cantón 394,6 m</v>
          </cell>
        </row>
        <row r="1537">
          <cell r="C1537">
            <v>6.2</v>
          </cell>
          <cell r="F1537" t="str">
            <v/>
          </cell>
          <cell r="G1537" t="str">
            <v/>
          </cell>
          <cell r="U1537" t="str">
            <v>Seccionamento</v>
          </cell>
        </row>
        <row r="1538">
          <cell r="B1538" t="str">
            <v>3709CCA54</v>
          </cell>
          <cell r="D1538">
            <v>4571.0099999999975</v>
          </cell>
          <cell r="E1538">
            <v>30232.22900000001</v>
          </cell>
          <cell r="F1538" t="str">
            <v>-40712.46</v>
          </cell>
          <cell r="G1538" t="str">
            <v>162124.94</v>
          </cell>
          <cell r="I1538" t="str">
            <v>SE</v>
          </cell>
          <cell r="K1538" t="str">
            <v>Rígida</v>
          </cell>
          <cell r="L1538" t="str">
            <v>C860-A</v>
          </cell>
          <cell r="Q1538">
            <v>3.8</v>
          </cell>
          <cell r="S1538">
            <v>-12</v>
          </cell>
          <cell r="T1538" t="str">
            <v>+20</v>
          </cell>
          <cell r="U1538" t="str">
            <v>Cantón 396,4 m</v>
          </cell>
        </row>
        <row r="1539">
          <cell r="C1539">
            <v>12</v>
          </cell>
          <cell r="F1539" t="str">
            <v/>
          </cell>
          <cell r="G1539" t="str">
            <v/>
          </cell>
        </row>
        <row r="1540">
          <cell r="B1540" t="str">
            <v>3709CCA56</v>
          </cell>
          <cell r="D1540">
            <v>4583.0099999999975</v>
          </cell>
          <cell r="E1540">
            <v>30220.22900000001</v>
          </cell>
          <cell r="F1540" t="str">
            <v>-40706.66</v>
          </cell>
          <cell r="G1540" t="str">
            <v>162114.13</v>
          </cell>
          <cell r="I1540" t="str">
            <v>S</v>
          </cell>
          <cell r="K1540" t="str">
            <v>Rígida</v>
          </cell>
          <cell r="L1540" t="str">
            <v>C859-A</v>
          </cell>
          <cell r="Q1540">
            <v>3.8</v>
          </cell>
          <cell r="S1540">
            <v>-4</v>
          </cell>
        </row>
        <row r="1541">
          <cell r="C1541">
            <v>12</v>
          </cell>
          <cell r="F1541" t="str">
            <v/>
          </cell>
          <cell r="G1541" t="str">
            <v/>
          </cell>
        </row>
        <row r="1542">
          <cell r="B1542" t="str">
            <v>3709CCA58</v>
          </cell>
          <cell r="D1542">
            <v>4595.0099999999975</v>
          </cell>
          <cell r="E1542">
            <v>30208.22900000001</v>
          </cell>
          <cell r="F1542" t="str">
            <v>-40701.01</v>
          </cell>
          <cell r="G1542" t="str">
            <v>162103.54</v>
          </cell>
          <cell r="I1542" t="str">
            <v>S</v>
          </cell>
          <cell r="K1542" t="str">
            <v>Rígida</v>
          </cell>
          <cell r="L1542" t="str">
            <v>C859-A</v>
          </cell>
          <cell r="Q1542">
            <v>3.8</v>
          </cell>
          <cell r="S1542" t="str">
            <v>+4</v>
          </cell>
        </row>
        <row r="1543">
          <cell r="C1543">
            <v>12</v>
          </cell>
          <cell r="F1543" t="str">
            <v/>
          </cell>
          <cell r="G1543" t="str">
            <v/>
          </cell>
        </row>
        <row r="1544">
          <cell r="B1544" t="str">
            <v>3709CCA60</v>
          </cell>
          <cell r="D1544">
            <v>4607.0099999999975</v>
          </cell>
          <cell r="E1544">
            <v>30196.22900000001</v>
          </cell>
          <cell r="F1544" t="str">
            <v>-40695.37</v>
          </cell>
          <cell r="G1544" t="str">
            <v>162092.96</v>
          </cell>
          <cell r="I1544" t="str">
            <v>S</v>
          </cell>
          <cell r="K1544" t="str">
            <v>Rígida</v>
          </cell>
          <cell r="L1544" t="str">
            <v>C859-A</v>
          </cell>
          <cell r="Q1544">
            <v>3.8</v>
          </cell>
          <cell r="S1544" t="str">
            <v>+12</v>
          </cell>
        </row>
        <row r="1545">
          <cell r="C1545">
            <v>12</v>
          </cell>
          <cell r="F1545" t="str">
            <v/>
          </cell>
          <cell r="G1545" t="str">
            <v/>
          </cell>
        </row>
        <row r="1546">
          <cell r="B1546" t="str">
            <v>3709CCA62</v>
          </cell>
          <cell r="D1546">
            <v>4619.0099999999975</v>
          </cell>
          <cell r="E1546">
            <v>30184.22900000001</v>
          </cell>
          <cell r="F1546" t="str">
            <v>-40689.72</v>
          </cell>
          <cell r="G1546" t="str">
            <v>162082.37</v>
          </cell>
          <cell r="I1546" t="str">
            <v>S</v>
          </cell>
          <cell r="K1546" t="str">
            <v>Rígida</v>
          </cell>
          <cell r="L1546" t="str">
            <v>C859-A</v>
          </cell>
          <cell r="Q1546">
            <v>3.8</v>
          </cell>
          <cell r="S1546" t="str">
            <v>+20</v>
          </cell>
        </row>
        <row r="1547">
          <cell r="C1547">
            <v>12</v>
          </cell>
          <cell r="F1547" t="str">
            <v/>
          </cell>
          <cell r="G1547" t="str">
            <v/>
          </cell>
        </row>
        <row r="1548">
          <cell r="B1548" t="str">
            <v>3709CCA64</v>
          </cell>
          <cell r="D1548">
            <v>4631.0099999999975</v>
          </cell>
          <cell r="E1548">
            <v>30172.22900000001</v>
          </cell>
          <cell r="F1548" t="str">
            <v>-40684.07</v>
          </cell>
          <cell r="G1548" t="str">
            <v>162071.79</v>
          </cell>
          <cell r="I1548" t="str">
            <v>S</v>
          </cell>
          <cell r="K1548" t="str">
            <v>Rígida</v>
          </cell>
          <cell r="L1548" t="str">
            <v>C859-A</v>
          </cell>
          <cell r="Q1548">
            <v>3.8</v>
          </cell>
          <cell r="S1548" t="str">
            <v>+12</v>
          </cell>
        </row>
        <row r="1549">
          <cell r="C1549">
            <v>12</v>
          </cell>
          <cell r="F1549" t="str">
            <v/>
          </cell>
          <cell r="G1549" t="str">
            <v/>
          </cell>
        </row>
        <row r="1550">
          <cell r="B1550" t="str">
            <v>3709CCA66</v>
          </cell>
          <cell r="D1550">
            <v>4643.0099999999975</v>
          </cell>
          <cell r="E1550">
            <v>30160.22900000001</v>
          </cell>
          <cell r="F1550" t="str">
            <v>-40678.42</v>
          </cell>
          <cell r="G1550" t="str">
            <v>162061.20</v>
          </cell>
          <cell r="I1550" t="str">
            <v>S</v>
          </cell>
          <cell r="K1550" t="str">
            <v>Rígida</v>
          </cell>
          <cell r="L1550" t="str">
            <v>C859-A</v>
          </cell>
          <cell r="Q1550">
            <v>3.8</v>
          </cell>
          <cell r="S1550" t="str">
            <v>+4</v>
          </cell>
        </row>
        <row r="1551">
          <cell r="C1551">
            <v>12</v>
          </cell>
          <cell r="F1551" t="str">
            <v/>
          </cell>
          <cell r="G1551" t="str">
            <v/>
          </cell>
        </row>
        <row r="1552">
          <cell r="B1552" t="str">
            <v>3709CCA68</v>
          </cell>
          <cell r="D1552">
            <v>4655.0099999999975</v>
          </cell>
          <cell r="E1552">
            <v>30148.22900000001</v>
          </cell>
          <cell r="F1552" t="str">
            <v>-40672.77</v>
          </cell>
          <cell r="G1552" t="str">
            <v>162050.61</v>
          </cell>
          <cell r="I1552" t="str">
            <v>S</v>
          </cell>
          <cell r="K1552" t="str">
            <v>Rígida</v>
          </cell>
          <cell r="L1552" t="str">
            <v>C859-A</v>
          </cell>
          <cell r="Q1552">
            <v>3.8</v>
          </cell>
          <cell r="S1552">
            <v>-4</v>
          </cell>
        </row>
        <row r="1553">
          <cell r="C1553">
            <v>12</v>
          </cell>
          <cell r="F1553" t="str">
            <v/>
          </cell>
          <cell r="G1553" t="str">
            <v/>
          </cell>
        </row>
        <row r="1554">
          <cell r="B1554" t="str">
            <v>3709CCA70</v>
          </cell>
          <cell r="D1554">
            <v>4667.0099999999975</v>
          </cell>
          <cell r="E1554">
            <v>30136.22900000001</v>
          </cell>
          <cell r="F1554" t="str">
            <v>-40667.12</v>
          </cell>
          <cell r="G1554" t="str">
            <v>162040.03</v>
          </cell>
          <cell r="I1554" t="str">
            <v>S</v>
          </cell>
          <cell r="K1554" t="str">
            <v>Rígida</v>
          </cell>
          <cell r="L1554" t="str">
            <v>C859-A</v>
          </cell>
          <cell r="Q1554">
            <v>3.8</v>
          </cell>
          <cell r="S1554">
            <v>-12</v>
          </cell>
        </row>
        <row r="1555">
          <cell r="C1555">
            <v>12</v>
          </cell>
          <cell r="F1555" t="str">
            <v/>
          </cell>
          <cell r="G1555" t="str">
            <v/>
          </cell>
        </row>
        <row r="1556">
          <cell r="B1556" t="str">
            <v>3709CCA72</v>
          </cell>
          <cell r="D1556">
            <v>4679.0099999999975</v>
          </cell>
          <cell r="E1556">
            <v>30124.22900000001</v>
          </cell>
          <cell r="F1556" t="str">
            <v>-40661.47</v>
          </cell>
          <cell r="G1556" t="str">
            <v>162029.44</v>
          </cell>
          <cell r="I1556" t="str">
            <v>S</v>
          </cell>
          <cell r="K1556" t="str">
            <v>Rígida</v>
          </cell>
          <cell r="L1556" t="str">
            <v>C859-A</v>
          </cell>
          <cell r="Q1556">
            <v>3.8</v>
          </cell>
          <cell r="S1556">
            <v>-20</v>
          </cell>
        </row>
        <row r="1557">
          <cell r="C1557">
            <v>12</v>
          </cell>
          <cell r="F1557" t="str">
            <v/>
          </cell>
          <cell r="G1557" t="str">
            <v/>
          </cell>
        </row>
        <row r="1558">
          <cell r="B1558" t="str">
            <v>3709CCA74</v>
          </cell>
          <cell r="D1558">
            <v>4691.0099999999975</v>
          </cell>
          <cell r="E1558">
            <v>30112.22900000001</v>
          </cell>
          <cell r="F1558" t="str">
            <v>-40655.82</v>
          </cell>
          <cell r="G1558" t="str">
            <v>162018.85</v>
          </cell>
          <cell r="I1558" t="str">
            <v>S</v>
          </cell>
          <cell r="K1558" t="str">
            <v>Rígida</v>
          </cell>
          <cell r="L1558" t="str">
            <v>C859-A</v>
          </cell>
          <cell r="Q1558">
            <v>3.8</v>
          </cell>
          <cell r="S1558">
            <v>-12</v>
          </cell>
        </row>
        <row r="1559">
          <cell r="C1559">
            <v>12</v>
          </cell>
          <cell r="F1559" t="str">
            <v/>
          </cell>
          <cell r="G1559" t="str">
            <v/>
          </cell>
        </row>
        <row r="1560">
          <cell r="B1560" t="str">
            <v>3709CCA76</v>
          </cell>
          <cell r="D1560">
            <v>4703.0099999999975</v>
          </cell>
          <cell r="E1560">
            <v>30100.22900000001</v>
          </cell>
          <cell r="F1560" t="str">
            <v>-40650.17</v>
          </cell>
          <cell r="G1560" t="str">
            <v>162008.27</v>
          </cell>
          <cell r="I1560" t="str">
            <v>S</v>
          </cell>
          <cell r="K1560" t="str">
            <v>Rígida</v>
          </cell>
          <cell r="L1560" t="str">
            <v>C859-A</v>
          </cell>
          <cell r="Q1560">
            <v>3.8</v>
          </cell>
          <cell r="S1560">
            <v>-4</v>
          </cell>
        </row>
        <row r="1561">
          <cell r="C1561">
            <v>12</v>
          </cell>
          <cell r="F1561" t="str">
            <v/>
          </cell>
          <cell r="G1561" t="str">
            <v/>
          </cell>
        </row>
        <row r="1562">
          <cell r="B1562" t="str">
            <v>3709CCA78</v>
          </cell>
          <cell r="D1562">
            <v>4715.0099999999975</v>
          </cell>
          <cell r="E1562">
            <v>30088.22900000001</v>
          </cell>
          <cell r="F1562" t="str">
            <v>-40644.52</v>
          </cell>
          <cell r="G1562" t="str">
            <v>161997.68</v>
          </cell>
          <cell r="I1562" t="str">
            <v>S</v>
          </cell>
          <cell r="K1562" t="str">
            <v>Rígida</v>
          </cell>
          <cell r="L1562" t="str">
            <v>C859-A</v>
          </cell>
          <cell r="Q1562">
            <v>3.8</v>
          </cell>
          <cell r="S1562" t="str">
            <v>+4</v>
          </cell>
        </row>
        <row r="1563">
          <cell r="C1563">
            <v>12</v>
          </cell>
          <cell r="F1563" t="str">
            <v/>
          </cell>
          <cell r="G1563" t="str">
            <v/>
          </cell>
        </row>
        <row r="1564">
          <cell r="B1564" t="str">
            <v>3709CCA80</v>
          </cell>
          <cell r="D1564">
            <v>4727.0099999999975</v>
          </cell>
          <cell r="E1564">
            <v>30076.22900000001</v>
          </cell>
          <cell r="F1564" t="str">
            <v>-40638.87</v>
          </cell>
          <cell r="G1564" t="str">
            <v>161987.09</v>
          </cell>
          <cell r="I1564" t="str">
            <v>S</v>
          </cell>
          <cell r="K1564" t="str">
            <v>Rígida</v>
          </cell>
          <cell r="L1564" t="str">
            <v>C859-A</v>
          </cell>
          <cell r="Q1564">
            <v>3.8</v>
          </cell>
          <cell r="S1564" t="str">
            <v>+12</v>
          </cell>
        </row>
        <row r="1565">
          <cell r="C1565">
            <v>12</v>
          </cell>
          <cell r="F1565" t="str">
            <v/>
          </cell>
          <cell r="G1565" t="str">
            <v/>
          </cell>
        </row>
        <row r="1566">
          <cell r="B1566" t="str">
            <v>3709CCA82</v>
          </cell>
          <cell r="D1566">
            <v>4739.0099999999975</v>
          </cell>
          <cell r="E1566">
            <v>30064.22900000001</v>
          </cell>
          <cell r="F1566" t="str">
            <v>-40633.22</v>
          </cell>
          <cell r="G1566" t="str">
            <v>161976.51</v>
          </cell>
          <cell r="I1566" t="str">
            <v>S</v>
          </cell>
          <cell r="K1566" t="str">
            <v>Rígida</v>
          </cell>
          <cell r="L1566" t="str">
            <v>C859-A</v>
          </cell>
          <cell r="Q1566">
            <v>3.8</v>
          </cell>
          <cell r="S1566" t="str">
            <v>+20</v>
          </cell>
        </row>
        <row r="1567">
          <cell r="C1567">
            <v>12</v>
          </cell>
          <cell r="F1567" t="str">
            <v/>
          </cell>
          <cell r="G1567" t="str">
            <v/>
          </cell>
        </row>
        <row r="1568">
          <cell r="B1568" t="str">
            <v>3709CCA84</v>
          </cell>
          <cell r="D1568">
            <v>4751.0099999999975</v>
          </cell>
          <cell r="E1568">
            <v>30052.22900000001</v>
          </cell>
          <cell r="F1568" t="str">
            <v>-40627.57</v>
          </cell>
          <cell r="G1568" t="str">
            <v>161965.92</v>
          </cell>
          <cell r="I1568" t="str">
            <v>S</v>
          </cell>
          <cell r="K1568" t="str">
            <v>Rígida</v>
          </cell>
          <cell r="L1568" t="str">
            <v>C859-A</v>
          </cell>
          <cell r="Q1568">
            <v>3.8</v>
          </cell>
          <cell r="S1568" t="str">
            <v>+12</v>
          </cell>
        </row>
        <row r="1569">
          <cell r="C1569">
            <v>12</v>
          </cell>
          <cell r="F1569" t="str">
            <v/>
          </cell>
          <cell r="G1569" t="str">
            <v/>
          </cell>
        </row>
        <row r="1570">
          <cell r="B1570" t="str">
            <v>3709CCA86</v>
          </cell>
          <cell r="D1570">
            <v>4763.0099999999975</v>
          </cell>
          <cell r="E1570">
            <v>30040.22900000001</v>
          </cell>
          <cell r="F1570" t="str">
            <v>-40621.92</v>
          </cell>
          <cell r="G1570" t="str">
            <v>161955.33</v>
          </cell>
          <cell r="I1570" t="str">
            <v>PF</v>
          </cell>
          <cell r="K1570" t="str">
            <v>Rígida</v>
          </cell>
          <cell r="L1570" t="str">
            <v>C863-A</v>
          </cell>
          <cell r="Q1570">
            <v>3.8</v>
          </cell>
          <cell r="S1570" t="str">
            <v>+4</v>
          </cell>
        </row>
        <row r="1571">
          <cell r="C1571">
            <v>12</v>
          </cell>
          <cell r="F1571" t="str">
            <v/>
          </cell>
          <cell r="G1571" t="str">
            <v/>
          </cell>
        </row>
        <row r="1572">
          <cell r="B1572" t="str">
            <v>3709CCA88</v>
          </cell>
          <cell r="D1572">
            <v>4775.0099999999975</v>
          </cell>
          <cell r="E1572">
            <v>30028.22900000001</v>
          </cell>
          <cell r="F1572" t="str">
            <v>-40616.27</v>
          </cell>
          <cell r="G1572" t="str">
            <v>161944.75</v>
          </cell>
          <cell r="I1572" t="str">
            <v>S</v>
          </cell>
          <cell r="K1572" t="str">
            <v>Rígida</v>
          </cell>
          <cell r="L1572" t="str">
            <v>C859-A</v>
          </cell>
          <cell r="Q1572">
            <v>3.8</v>
          </cell>
          <cell r="S1572">
            <v>-4</v>
          </cell>
        </row>
        <row r="1573">
          <cell r="C1573">
            <v>12</v>
          </cell>
          <cell r="F1573" t="str">
            <v/>
          </cell>
          <cell r="G1573" t="str">
            <v/>
          </cell>
        </row>
        <row r="1574">
          <cell r="B1574" t="str">
            <v>3709CCA90</v>
          </cell>
          <cell r="D1574">
            <v>4787.0099999999975</v>
          </cell>
          <cell r="E1574">
            <v>30016.22900000001</v>
          </cell>
          <cell r="F1574" t="str">
            <v>-40610.62</v>
          </cell>
          <cell r="G1574" t="str">
            <v>161934.16</v>
          </cell>
          <cell r="I1574" t="str">
            <v>S</v>
          </cell>
          <cell r="K1574" t="str">
            <v>Rígida</v>
          </cell>
          <cell r="L1574" t="str">
            <v>C859-A</v>
          </cell>
          <cell r="Q1574">
            <v>3.8</v>
          </cell>
          <cell r="S1574">
            <v>-12</v>
          </cell>
        </row>
        <row r="1575">
          <cell r="C1575">
            <v>12</v>
          </cell>
          <cell r="F1575" t="str">
            <v/>
          </cell>
          <cell r="G1575" t="str">
            <v/>
          </cell>
        </row>
        <row r="1576">
          <cell r="B1576" t="str">
            <v>3709CCA92</v>
          </cell>
          <cell r="D1576">
            <v>4799.0099999999975</v>
          </cell>
          <cell r="E1576">
            <v>30004.22900000001</v>
          </cell>
          <cell r="F1576" t="str">
            <v>-40604.97</v>
          </cell>
          <cell r="G1576" t="str">
            <v>161923.57</v>
          </cell>
          <cell r="I1576" t="str">
            <v>S</v>
          </cell>
          <cell r="K1576" t="str">
            <v>Rígida</v>
          </cell>
          <cell r="L1576" t="str">
            <v>C859-A</v>
          </cell>
          <cell r="Q1576">
            <v>3.8</v>
          </cell>
          <cell r="S1576">
            <v>-20</v>
          </cell>
        </row>
        <row r="1577">
          <cell r="C1577">
            <v>12</v>
          </cell>
          <cell r="F1577" t="str">
            <v/>
          </cell>
          <cell r="G1577" t="str">
            <v/>
          </cell>
        </row>
        <row r="1578">
          <cell r="B1578" t="str">
            <v>3709CCA94</v>
          </cell>
          <cell r="D1578">
            <v>4811.0099999999975</v>
          </cell>
          <cell r="E1578">
            <v>29992.22900000001</v>
          </cell>
          <cell r="F1578" t="str">
            <v>-40599.32</v>
          </cell>
          <cell r="G1578" t="str">
            <v>161912.99</v>
          </cell>
          <cell r="I1578" t="str">
            <v>S</v>
          </cell>
          <cell r="K1578" t="str">
            <v>Rígida</v>
          </cell>
          <cell r="L1578" t="str">
            <v>C859-A</v>
          </cell>
          <cell r="Q1578">
            <v>3.8</v>
          </cell>
          <cell r="S1578">
            <v>-12</v>
          </cell>
        </row>
        <row r="1579">
          <cell r="C1579">
            <v>12</v>
          </cell>
          <cell r="F1579" t="str">
            <v/>
          </cell>
          <cell r="G1579" t="str">
            <v/>
          </cell>
        </row>
        <row r="1580">
          <cell r="B1580" t="str">
            <v>3709CCA96</v>
          </cell>
          <cell r="D1580">
            <v>4823.0099999999975</v>
          </cell>
          <cell r="E1580">
            <v>29980.22900000001</v>
          </cell>
          <cell r="F1580" t="str">
            <v>-40593.67</v>
          </cell>
          <cell r="G1580" t="str">
            <v>161902.40</v>
          </cell>
          <cell r="I1580" t="str">
            <v>S</v>
          </cell>
          <cell r="K1580" t="str">
            <v>Rígida</v>
          </cell>
          <cell r="L1580" t="str">
            <v>C859-A</v>
          </cell>
          <cell r="Q1580">
            <v>3.8</v>
          </cell>
          <cell r="S1580">
            <v>-4</v>
          </cell>
        </row>
        <row r="1581">
          <cell r="C1581">
            <v>12</v>
          </cell>
          <cell r="F1581" t="str">
            <v/>
          </cell>
          <cell r="G1581" t="str">
            <v/>
          </cell>
        </row>
        <row r="1582">
          <cell r="B1582" t="str">
            <v>3709CCA98</v>
          </cell>
          <cell r="D1582">
            <v>4835.0099999999975</v>
          </cell>
          <cell r="E1582">
            <v>29968.22900000001</v>
          </cell>
          <cell r="F1582" t="str">
            <v>-40588.02</v>
          </cell>
          <cell r="G1582" t="str">
            <v>161891.81</v>
          </cell>
          <cell r="I1582" t="str">
            <v>S</v>
          </cell>
          <cell r="K1582" t="str">
            <v>Rígida</v>
          </cell>
          <cell r="L1582" t="str">
            <v>C859-A</v>
          </cell>
          <cell r="Q1582">
            <v>3.8</v>
          </cell>
          <cell r="S1582" t="str">
            <v>+4</v>
          </cell>
        </row>
        <row r="1583">
          <cell r="C1583">
            <v>12</v>
          </cell>
          <cell r="F1583" t="str">
            <v/>
          </cell>
          <cell r="G1583" t="str">
            <v/>
          </cell>
        </row>
        <row r="1584">
          <cell r="B1584" t="str">
            <v>3709CCA100</v>
          </cell>
          <cell r="D1584">
            <v>4847.0099999999975</v>
          </cell>
          <cell r="E1584">
            <v>29956.22900000001</v>
          </cell>
          <cell r="F1584" t="str">
            <v>-40582.37</v>
          </cell>
          <cell r="G1584" t="str">
            <v>161881.23</v>
          </cell>
          <cell r="I1584" t="str">
            <v>S</v>
          </cell>
          <cell r="K1584" t="str">
            <v>Rígida</v>
          </cell>
          <cell r="L1584" t="str">
            <v>C859-A</v>
          </cell>
          <cell r="Q1584">
            <v>3.8</v>
          </cell>
          <cell r="S1584" t="str">
            <v>+12</v>
          </cell>
        </row>
        <row r="1585">
          <cell r="C1585">
            <v>12</v>
          </cell>
          <cell r="F1585" t="str">
            <v/>
          </cell>
          <cell r="G1585" t="str">
            <v/>
          </cell>
        </row>
        <row r="1586">
          <cell r="B1586" t="str">
            <v>3709CCA102</v>
          </cell>
          <cell r="D1586">
            <v>4859.0099999999975</v>
          </cell>
          <cell r="E1586">
            <v>29944.22900000001</v>
          </cell>
          <cell r="F1586" t="str">
            <v>-40576.72</v>
          </cell>
          <cell r="G1586" t="str">
            <v>161870.64</v>
          </cell>
          <cell r="I1586" t="str">
            <v>S</v>
          </cell>
          <cell r="K1586" t="str">
            <v>Rígida</v>
          </cell>
          <cell r="L1586" t="str">
            <v>C859-A</v>
          </cell>
          <cell r="Q1586">
            <v>3.8</v>
          </cell>
          <cell r="S1586" t="str">
            <v>+20</v>
          </cell>
        </row>
        <row r="1587">
          <cell r="C1587">
            <v>12</v>
          </cell>
          <cell r="F1587" t="str">
            <v/>
          </cell>
          <cell r="G1587" t="str">
            <v/>
          </cell>
        </row>
        <row r="1588">
          <cell r="B1588" t="str">
            <v>3709CCA104</v>
          </cell>
          <cell r="D1588">
            <v>4871.0099999999975</v>
          </cell>
          <cell r="E1588">
            <v>29932.22900000001</v>
          </cell>
          <cell r="F1588" t="str">
            <v>-40571.07</v>
          </cell>
          <cell r="G1588" t="str">
            <v>161860.05</v>
          </cell>
          <cell r="I1588" t="str">
            <v>S</v>
          </cell>
          <cell r="K1588" t="str">
            <v>Rígida</v>
          </cell>
          <cell r="L1588" t="str">
            <v>C859-A</v>
          </cell>
          <cell r="Q1588">
            <v>3.8</v>
          </cell>
          <cell r="S1588" t="str">
            <v>+12</v>
          </cell>
        </row>
        <row r="1589">
          <cell r="C1589">
            <v>12</v>
          </cell>
          <cell r="F1589" t="str">
            <v/>
          </cell>
          <cell r="G1589" t="str">
            <v/>
          </cell>
        </row>
        <row r="1590">
          <cell r="B1590" t="str">
            <v>3709CCA106</v>
          </cell>
          <cell r="D1590">
            <v>4883.0099999999975</v>
          </cell>
          <cell r="E1590">
            <v>29920.22900000001</v>
          </cell>
          <cell r="F1590" t="str">
            <v>-40565.42</v>
          </cell>
          <cell r="G1590" t="str">
            <v>161849.47</v>
          </cell>
          <cell r="I1590" t="str">
            <v>S</v>
          </cell>
          <cell r="K1590" t="str">
            <v>Rígida</v>
          </cell>
          <cell r="L1590" t="str">
            <v>C859-A</v>
          </cell>
          <cell r="Q1590">
            <v>3.8</v>
          </cell>
          <cell r="S1590" t="str">
            <v>+4</v>
          </cell>
        </row>
        <row r="1591">
          <cell r="C1591">
            <v>12</v>
          </cell>
          <cell r="F1591" t="str">
            <v/>
          </cell>
          <cell r="G1591" t="str">
            <v/>
          </cell>
        </row>
        <row r="1592">
          <cell r="B1592" t="str">
            <v>3709CCA108</v>
          </cell>
          <cell r="D1592">
            <v>4895.0099999999975</v>
          </cell>
          <cell r="E1592">
            <v>29908.22900000001</v>
          </cell>
          <cell r="F1592" t="str">
            <v>-40559.77</v>
          </cell>
          <cell r="G1592" t="str">
            <v>161838.88</v>
          </cell>
          <cell r="I1592" t="str">
            <v>S</v>
          </cell>
          <cell r="K1592" t="str">
            <v>Rígida</v>
          </cell>
          <cell r="L1592" t="str">
            <v>C859-A</v>
          </cell>
          <cell r="Q1592">
            <v>3.8</v>
          </cell>
          <cell r="S1592">
            <v>-4</v>
          </cell>
        </row>
        <row r="1593">
          <cell r="C1593">
            <v>12</v>
          </cell>
          <cell r="F1593" t="str">
            <v/>
          </cell>
          <cell r="G1593" t="str">
            <v/>
          </cell>
        </row>
        <row r="1594">
          <cell r="B1594" t="str">
            <v>3709CCA110</v>
          </cell>
          <cell r="D1594">
            <v>4907.0099999999975</v>
          </cell>
          <cell r="E1594">
            <v>29896.22900000001</v>
          </cell>
          <cell r="F1594" t="str">
            <v>-40554.12</v>
          </cell>
          <cell r="G1594" t="str">
            <v>161828.29</v>
          </cell>
          <cell r="I1594" t="str">
            <v>S</v>
          </cell>
          <cell r="K1594" t="str">
            <v>Rígida</v>
          </cell>
          <cell r="L1594" t="str">
            <v>C859-A</v>
          </cell>
          <cell r="Q1594">
            <v>3.8</v>
          </cell>
          <cell r="S1594">
            <v>-12</v>
          </cell>
        </row>
        <row r="1595">
          <cell r="C1595">
            <v>12</v>
          </cell>
          <cell r="F1595" t="str">
            <v/>
          </cell>
          <cell r="G1595" t="str">
            <v/>
          </cell>
        </row>
        <row r="1596">
          <cell r="B1596" t="str">
            <v>3709CCA112</v>
          </cell>
          <cell r="D1596">
            <v>4919.0099999999975</v>
          </cell>
          <cell r="E1596">
            <v>29884.22900000001</v>
          </cell>
          <cell r="F1596" t="str">
            <v>-40548.47</v>
          </cell>
          <cell r="G1596" t="str">
            <v>161817.71</v>
          </cell>
          <cell r="I1596" t="str">
            <v>S</v>
          </cell>
          <cell r="K1596" t="str">
            <v>Rígida</v>
          </cell>
          <cell r="L1596" t="str">
            <v>C859-A</v>
          </cell>
          <cell r="Q1596">
            <v>3.8</v>
          </cell>
          <cell r="S1596">
            <v>-20</v>
          </cell>
        </row>
        <row r="1597">
          <cell r="C1597">
            <v>12</v>
          </cell>
          <cell r="F1597" t="str">
            <v/>
          </cell>
          <cell r="G1597" t="str">
            <v/>
          </cell>
        </row>
        <row r="1598">
          <cell r="B1598" t="str">
            <v>3709CCA114</v>
          </cell>
          <cell r="D1598">
            <v>4931.0099999999975</v>
          </cell>
          <cell r="E1598">
            <v>29872.22900000001</v>
          </cell>
          <cell r="F1598" t="str">
            <v>-40542.82</v>
          </cell>
          <cell r="G1598" t="str">
            <v>161807.12</v>
          </cell>
          <cell r="I1598" t="str">
            <v>S</v>
          </cell>
          <cell r="K1598" t="str">
            <v>Rígida</v>
          </cell>
          <cell r="L1598" t="str">
            <v>C859-A</v>
          </cell>
          <cell r="Q1598">
            <v>3.8</v>
          </cell>
          <cell r="S1598">
            <v>-12</v>
          </cell>
        </row>
        <row r="1599">
          <cell r="C1599">
            <v>12</v>
          </cell>
          <cell r="F1599" t="str">
            <v/>
          </cell>
          <cell r="G1599" t="str">
            <v/>
          </cell>
        </row>
        <row r="1600">
          <cell r="B1600" t="str">
            <v>3709CCA116</v>
          </cell>
          <cell r="D1600">
            <v>4943.0099999999975</v>
          </cell>
          <cell r="E1600">
            <v>29860.22900000001</v>
          </cell>
          <cell r="F1600" t="str">
            <v>-40537.17</v>
          </cell>
          <cell r="G1600" t="str">
            <v>161796.53</v>
          </cell>
          <cell r="I1600" t="str">
            <v>S</v>
          </cell>
          <cell r="K1600" t="str">
            <v>Rígida</v>
          </cell>
          <cell r="L1600" t="str">
            <v>C859-A</v>
          </cell>
          <cell r="Q1600">
            <v>3.8</v>
          </cell>
          <cell r="S1600">
            <v>-4</v>
          </cell>
        </row>
        <row r="1601">
          <cell r="C1601">
            <v>12</v>
          </cell>
          <cell r="F1601" t="str">
            <v/>
          </cell>
          <cell r="G1601" t="str">
            <v/>
          </cell>
        </row>
        <row r="1602">
          <cell r="B1602" t="str">
            <v>3709CCA118</v>
          </cell>
          <cell r="D1602">
            <v>4955.0099999999975</v>
          </cell>
          <cell r="E1602">
            <v>29848.22900000001</v>
          </cell>
          <cell r="F1602" t="str">
            <v>-40531.59</v>
          </cell>
          <cell r="G1602" t="str">
            <v>161786.19</v>
          </cell>
          <cell r="I1602" t="str">
            <v>SE</v>
          </cell>
          <cell r="K1602" t="str">
            <v>Rígida</v>
          </cell>
          <cell r="L1602" t="str">
            <v>C860-A</v>
          </cell>
          <cell r="Q1602">
            <v>3.8</v>
          </cell>
          <cell r="S1602">
            <v>-20</v>
          </cell>
          <cell r="T1602" t="str">
            <v>+4</v>
          </cell>
          <cell r="U1602" t="str">
            <v>Cantón 396,4 m</v>
          </cell>
        </row>
        <row r="1603">
          <cell r="C1603">
            <v>6.2</v>
          </cell>
          <cell r="F1603" t="str">
            <v/>
          </cell>
          <cell r="G1603" t="str">
            <v/>
          </cell>
          <cell r="U1603" t="str">
            <v>Seccionamento</v>
          </cell>
        </row>
        <row r="1604">
          <cell r="B1604" t="str">
            <v>3709CCA120</v>
          </cell>
          <cell r="D1604">
            <v>4961.2099999999973</v>
          </cell>
          <cell r="E1604">
            <v>29842.02900000001</v>
          </cell>
          <cell r="F1604" t="str">
            <v>-40528.81</v>
          </cell>
          <cell r="G1604" t="str">
            <v>161780.93</v>
          </cell>
          <cell r="I1604" t="str">
            <v>SE</v>
          </cell>
          <cell r="K1604" t="str">
            <v>Rígida</v>
          </cell>
          <cell r="L1604" t="str">
            <v>C860-A</v>
          </cell>
          <cell r="Q1604">
            <v>3.8</v>
          </cell>
          <cell r="S1604">
            <v>-12</v>
          </cell>
          <cell r="T1604" t="str">
            <v>+12</v>
          </cell>
          <cell r="U1604" t="str">
            <v>Cantón 402,2 m</v>
          </cell>
        </row>
        <row r="1605">
          <cell r="C1605">
            <v>12</v>
          </cell>
          <cell r="F1605" t="str">
            <v/>
          </cell>
          <cell r="G1605" t="str">
            <v/>
          </cell>
        </row>
        <row r="1606">
          <cell r="B1606" t="str">
            <v>3709CCA122</v>
          </cell>
          <cell r="D1606">
            <v>4973.21</v>
          </cell>
          <cell r="E1606">
            <v>29830.02900000001</v>
          </cell>
          <cell r="F1606" t="str">
            <v>-40523.07</v>
          </cell>
          <cell r="G1606" t="str">
            <v>161770.11</v>
          </cell>
          <cell r="I1606" t="str">
            <v>S</v>
          </cell>
          <cell r="K1606" t="str">
            <v>Rígida</v>
          </cell>
          <cell r="L1606" t="str">
            <v>C859-A</v>
          </cell>
          <cell r="Q1606">
            <v>3.8</v>
          </cell>
          <cell r="S1606">
            <v>-4</v>
          </cell>
        </row>
        <row r="1607">
          <cell r="C1607">
            <v>12</v>
          </cell>
          <cell r="F1607" t="str">
            <v/>
          </cell>
          <cell r="G1607" t="str">
            <v/>
          </cell>
        </row>
        <row r="1608">
          <cell r="B1608" t="str">
            <v>3709CCA124</v>
          </cell>
          <cell r="D1608">
            <v>4985.0099999999975</v>
          </cell>
          <cell r="E1608">
            <v>29818.02900000001</v>
          </cell>
          <cell r="F1608" t="str">
            <v>-40517.42</v>
          </cell>
          <cell r="G1608" t="str">
            <v>161759.53</v>
          </cell>
          <cell r="I1608" t="str">
            <v>S</v>
          </cell>
          <cell r="K1608" t="str">
            <v>Rígida</v>
          </cell>
          <cell r="L1608" t="str">
            <v>C859-A</v>
          </cell>
          <cell r="Q1608">
            <v>3.8</v>
          </cell>
          <cell r="S1608" t="str">
            <v>+4</v>
          </cell>
        </row>
        <row r="1609">
          <cell r="C1609">
            <v>12</v>
          </cell>
          <cell r="F1609" t="str">
            <v/>
          </cell>
          <cell r="G1609" t="str">
            <v/>
          </cell>
          <cell r="H1609" t="str">
            <v>Clo</v>
          </cell>
        </row>
        <row r="1610">
          <cell r="B1610" t="str">
            <v>3709CCA126</v>
          </cell>
          <cell r="D1610">
            <v>4997.0099999999975</v>
          </cell>
          <cell r="E1610">
            <v>29806.02900000001</v>
          </cell>
          <cell r="F1610" t="str">
            <v>-40511.79</v>
          </cell>
          <cell r="G1610" t="str">
            <v>161748.93</v>
          </cell>
          <cell r="I1610" t="str">
            <v>S</v>
          </cell>
          <cell r="K1610" t="str">
            <v>Rígida</v>
          </cell>
          <cell r="L1610" t="str">
            <v>C859-A</v>
          </cell>
          <cell r="Q1610">
            <v>3.8</v>
          </cell>
          <cell r="S1610" t="str">
            <v>+12</v>
          </cell>
        </row>
        <row r="1611">
          <cell r="C1611">
            <v>10.6</v>
          </cell>
          <cell r="F1611" t="str">
            <v/>
          </cell>
          <cell r="G1611" t="str">
            <v/>
          </cell>
          <cell r="H1611" t="str">
            <v>Clo</v>
          </cell>
        </row>
        <row r="1612">
          <cell r="B1612" t="str">
            <v>3709CCA128</v>
          </cell>
          <cell r="D1612">
            <v>5007.6099999999979</v>
          </cell>
          <cell r="E1612">
            <v>29795.429000000011</v>
          </cell>
          <cell r="F1612" t="str">
            <v>-40506.86</v>
          </cell>
          <cell r="G1612" t="str">
            <v>161739.47</v>
          </cell>
          <cell r="I1612" t="str">
            <v>S</v>
          </cell>
          <cell r="K1612" t="str">
            <v>Rígida</v>
          </cell>
          <cell r="L1612" t="str">
            <v>C859-A</v>
          </cell>
          <cell r="Q1612">
            <v>3.8</v>
          </cell>
          <cell r="S1612" t="str">
            <v>+20</v>
          </cell>
        </row>
        <row r="1613">
          <cell r="C1613">
            <v>12</v>
          </cell>
          <cell r="F1613" t="str">
            <v/>
          </cell>
          <cell r="G1613" t="str">
            <v/>
          </cell>
          <cell r="H1613" t="str">
            <v>Clo</v>
          </cell>
        </row>
        <row r="1614">
          <cell r="B1614" t="str">
            <v>3709CCA130</v>
          </cell>
          <cell r="D1614">
            <v>5019.6099999999979</v>
          </cell>
          <cell r="E1614">
            <v>29783.429000000011</v>
          </cell>
          <cell r="F1614" t="str">
            <v>-40501.48</v>
          </cell>
          <cell r="G1614" t="str">
            <v>161728.75</v>
          </cell>
          <cell r="I1614" t="str">
            <v>S</v>
          </cell>
          <cell r="K1614" t="str">
            <v>Rígida</v>
          </cell>
          <cell r="L1614" t="str">
            <v>C859-A</v>
          </cell>
          <cell r="Q1614">
            <v>3.8</v>
          </cell>
          <cell r="S1614" t="str">
            <v>+12</v>
          </cell>
        </row>
        <row r="1615">
          <cell r="C1615">
            <v>12</v>
          </cell>
          <cell r="F1615" t="str">
            <v/>
          </cell>
          <cell r="G1615" t="str">
            <v/>
          </cell>
          <cell r="H1615" t="str">
            <v>Clo</v>
          </cell>
        </row>
        <row r="1616">
          <cell r="B1616" t="str">
            <v>3709CCA132</v>
          </cell>
          <cell r="D1616">
            <v>5031.6099999999979</v>
          </cell>
          <cell r="E1616">
            <v>29771.429000000011</v>
          </cell>
          <cell r="F1616" t="str">
            <v>-40496.34</v>
          </cell>
          <cell r="G1616" t="str">
            <v>161717.91</v>
          </cell>
          <cell r="I1616" t="str">
            <v>S</v>
          </cell>
          <cell r="K1616" t="str">
            <v>Rígida</v>
          </cell>
          <cell r="L1616" t="str">
            <v>C859-A</v>
          </cell>
          <cell r="Q1616">
            <v>3.8</v>
          </cell>
          <cell r="S1616" t="str">
            <v>+4</v>
          </cell>
        </row>
        <row r="1617">
          <cell r="C1617">
            <v>12</v>
          </cell>
          <cell r="F1617" t="str">
            <v/>
          </cell>
          <cell r="G1617" t="str">
            <v/>
          </cell>
          <cell r="H1617">
            <v>-345</v>
          </cell>
        </row>
        <row r="1618">
          <cell r="B1618" t="str">
            <v>3709CCA134</v>
          </cell>
          <cell r="D1618">
            <v>5043.6099999999979</v>
          </cell>
          <cell r="E1618">
            <v>29759.429000000011</v>
          </cell>
          <cell r="F1618" t="str">
            <v>-40491.53</v>
          </cell>
          <cell r="G1618" t="str">
            <v>161706.91</v>
          </cell>
          <cell r="I1618" t="str">
            <v>PF</v>
          </cell>
          <cell r="K1618" t="str">
            <v>Rígida</v>
          </cell>
          <cell r="L1618" t="str">
            <v>C863-A</v>
          </cell>
          <cell r="Q1618">
            <v>3.8</v>
          </cell>
          <cell r="S1618">
            <v>-4</v>
          </cell>
        </row>
        <row r="1619">
          <cell r="C1619">
            <v>12</v>
          </cell>
          <cell r="F1619" t="str">
            <v/>
          </cell>
          <cell r="G1619" t="str">
            <v/>
          </cell>
          <cell r="H1619">
            <v>-345</v>
          </cell>
        </row>
        <row r="1620">
          <cell r="B1620" t="str">
            <v>3709CCA136</v>
          </cell>
          <cell r="D1620">
            <v>5055.6099999999979</v>
          </cell>
          <cell r="E1620">
            <v>29747.429000000011</v>
          </cell>
          <cell r="F1620" t="str">
            <v>-40487.12</v>
          </cell>
          <cell r="G1620" t="str">
            <v>161695.75</v>
          </cell>
          <cell r="I1620" t="str">
            <v>S</v>
          </cell>
          <cell r="K1620" t="str">
            <v>Rígida</v>
          </cell>
          <cell r="L1620" t="str">
            <v>C859-A</v>
          </cell>
          <cell r="Q1620">
            <v>3.8</v>
          </cell>
          <cell r="S1620">
            <v>-12</v>
          </cell>
        </row>
        <row r="1621">
          <cell r="C1621">
            <v>12</v>
          </cell>
          <cell r="F1621" t="str">
            <v/>
          </cell>
          <cell r="G1621" t="str">
            <v/>
          </cell>
          <cell r="H1621">
            <v>-345</v>
          </cell>
        </row>
        <row r="1622">
          <cell r="B1622" t="str">
            <v>3709CCA138</v>
          </cell>
          <cell r="D1622">
            <v>5067.6099999999979</v>
          </cell>
          <cell r="E1622">
            <v>29735.429000000011</v>
          </cell>
          <cell r="F1622" t="str">
            <v>-40483.09</v>
          </cell>
          <cell r="G1622" t="str">
            <v>161684.45</v>
          </cell>
          <cell r="I1622" t="str">
            <v>S</v>
          </cell>
          <cell r="K1622" t="str">
            <v>Rígida</v>
          </cell>
          <cell r="L1622" t="str">
            <v>C859-A</v>
          </cell>
          <cell r="Q1622">
            <v>3.8</v>
          </cell>
          <cell r="S1622">
            <v>-20</v>
          </cell>
        </row>
        <row r="1623">
          <cell r="C1623">
            <v>12</v>
          </cell>
          <cell r="F1623" t="str">
            <v/>
          </cell>
          <cell r="G1623" t="str">
            <v/>
          </cell>
          <cell r="H1623">
            <v>-345</v>
          </cell>
        </row>
        <row r="1624">
          <cell r="B1624" t="str">
            <v>3709CCA140</v>
          </cell>
          <cell r="D1624">
            <v>5079.6099999999979</v>
          </cell>
          <cell r="E1624">
            <v>29723.429000000011</v>
          </cell>
          <cell r="F1624" t="str">
            <v>-40479.46</v>
          </cell>
          <cell r="G1624" t="str">
            <v>161673.01</v>
          </cell>
          <cell r="I1624" t="str">
            <v>S</v>
          </cell>
          <cell r="K1624" t="str">
            <v>Rígida</v>
          </cell>
          <cell r="L1624" t="str">
            <v>C859-A</v>
          </cell>
          <cell r="Q1624">
            <v>3.8</v>
          </cell>
          <cell r="S1624">
            <v>-12</v>
          </cell>
        </row>
        <row r="1625">
          <cell r="C1625">
            <v>12</v>
          </cell>
          <cell r="F1625" t="str">
            <v/>
          </cell>
          <cell r="G1625" t="str">
            <v/>
          </cell>
          <cell r="H1625">
            <v>-345</v>
          </cell>
        </row>
        <row r="1626">
          <cell r="B1626" t="str">
            <v>3709CCA142</v>
          </cell>
          <cell r="D1626">
            <v>5091.6099999999979</v>
          </cell>
          <cell r="E1626">
            <v>29711.429000000011</v>
          </cell>
          <cell r="F1626" t="str">
            <v>-40476.24</v>
          </cell>
          <cell r="G1626" t="str">
            <v>161661.45</v>
          </cell>
          <cell r="I1626" t="str">
            <v>S</v>
          </cell>
          <cell r="K1626" t="str">
            <v>Rígida</v>
          </cell>
          <cell r="L1626" t="str">
            <v>C859-A</v>
          </cell>
          <cell r="Q1626">
            <v>3.8</v>
          </cell>
          <cell r="S1626">
            <v>-4</v>
          </cell>
        </row>
        <row r="1627">
          <cell r="C1627">
            <v>12</v>
          </cell>
          <cell r="F1627" t="str">
            <v/>
          </cell>
          <cell r="G1627" t="str">
            <v/>
          </cell>
          <cell r="H1627">
            <v>-345</v>
          </cell>
        </row>
        <row r="1628">
          <cell r="B1628" t="str">
            <v>3709CCA144</v>
          </cell>
          <cell r="D1628">
            <v>5103.6099999999979</v>
          </cell>
          <cell r="E1628">
            <v>29699.429000000011</v>
          </cell>
          <cell r="F1628" t="str">
            <v>-40473.42</v>
          </cell>
          <cell r="G1628" t="str">
            <v>161649.79</v>
          </cell>
          <cell r="I1628" t="str">
            <v>S</v>
          </cell>
          <cell r="K1628" t="str">
            <v>Rígida</v>
          </cell>
          <cell r="L1628" t="str">
            <v>C859-A</v>
          </cell>
          <cell r="Q1628">
            <v>3.8</v>
          </cell>
          <cell r="S1628" t="str">
            <v>+4</v>
          </cell>
        </row>
        <row r="1629">
          <cell r="C1629">
            <v>12</v>
          </cell>
          <cell r="F1629" t="str">
            <v/>
          </cell>
          <cell r="G1629" t="str">
            <v/>
          </cell>
          <cell r="H1629">
            <v>-345</v>
          </cell>
        </row>
        <row r="1630">
          <cell r="B1630" t="str">
            <v>3709CCA146</v>
          </cell>
          <cell r="D1630">
            <v>5115.6099999999979</v>
          </cell>
          <cell r="E1630">
            <v>29687.429000000011</v>
          </cell>
          <cell r="F1630" t="str">
            <v>-40471.01</v>
          </cell>
          <cell r="G1630" t="str">
            <v>161638.03</v>
          </cell>
          <cell r="I1630" t="str">
            <v>S</v>
          </cell>
          <cell r="K1630" t="str">
            <v>Rígida</v>
          </cell>
          <cell r="L1630" t="str">
            <v>C859-A</v>
          </cell>
          <cell r="Q1630">
            <v>3.8</v>
          </cell>
          <cell r="S1630" t="str">
            <v>+12</v>
          </cell>
        </row>
        <row r="1631">
          <cell r="C1631">
            <v>12</v>
          </cell>
          <cell r="F1631" t="str">
            <v/>
          </cell>
          <cell r="G1631" t="str">
            <v/>
          </cell>
          <cell r="H1631">
            <v>-345</v>
          </cell>
        </row>
        <row r="1632">
          <cell r="B1632" t="str">
            <v>3709CCA148</v>
          </cell>
          <cell r="D1632">
            <v>5127.6099999999979</v>
          </cell>
          <cell r="E1632">
            <v>29675.429000000011</v>
          </cell>
          <cell r="F1632" t="str">
            <v>-40469.01</v>
          </cell>
          <cell r="G1632" t="str">
            <v>161626.20</v>
          </cell>
          <cell r="I1632" t="str">
            <v>S</v>
          </cell>
          <cell r="K1632" t="str">
            <v>Rígida</v>
          </cell>
          <cell r="L1632" t="str">
            <v>C859-A</v>
          </cell>
          <cell r="Q1632">
            <v>3.8</v>
          </cell>
          <cell r="S1632" t="str">
            <v>+20</v>
          </cell>
        </row>
        <row r="1633">
          <cell r="C1633">
            <v>12</v>
          </cell>
          <cell r="F1633" t="str">
            <v/>
          </cell>
          <cell r="G1633" t="str">
            <v/>
          </cell>
          <cell r="H1633" t="str">
            <v>Clo</v>
          </cell>
        </row>
        <row r="1634">
          <cell r="B1634" t="str">
            <v>3709CCA150</v>
          </cell>
          <cell r="D1634">
            <v>5139.6099999999979</v>
          </cell>
          <cell r="E1634">
            <v>29663.429000000011</v>
          </cell>
          <cell r="F1634" t="str">
            <v>-40467.39</v>
          </cell>
          <cell r="G1634" t="str">
            <v>161614.31</v>
          </cell>
          <cell r="I1634" t="str">
            <v>PF</v>
          </cell>
          <cell r="K1634" t="str">
            <v>Rígida</v>
          </cell>
          <cell r="L1634" t="str">
            <v>C863-A</v>
          </cell>
          <cell r="Q1634">
            <v>3.8</v>
          </cell>
          <cell r="S1634" t="str">
            <v>+12</v>
          </cell>
        </row>
        <row r="1635">
          <cell r="C1635">
            <v>12</v>
          </cell>
          <cell r="F1635" t="str">
            <v/>
          </cell>
          <cell r="G1635" t="str">
            <v/>
          </cell>
          <cell r="H1635" t="str">
            <v>Clo</v>
          </cell>
        </row>
        <row r="1636">
          <cell r="B1636" t="str">
            <v>3709CCA152</v>
          </cell>
          <cell r="D1636">
            <v>5151.6099999999979</v>
          </cell>
          <cell r="E1636">
            <v>29651.429000000011</v>
          </cell>
          <cell r="F1636" t="str">
            <v>-40466.08</v>
          </cell>
          <cell r="G1636" t="str">
            <v>161602.38</v>
          </cell>
          <cell r="I1636" t="str">
            <v>S</v>
          </cell>
          <cell r="K1636" t="str">
            <v>Rígida</v>
          </cell>
          <cell r="L1636" t="str">
            <v>C859-A</v>
          </cell>
          <cell r="Q1636">
            <v>3.8</v>
          </cell>
          <cell r="S1636" t="str">
            <v>+4</v>
          </cell>
        </row>
        <row r="1637">
          <cell r="C1637">
            <v>12</v>
          </cell>
          <cell r="F1637" t="str">
            <v/>
          </cell>
          <cell r="G1637" t="str">
            <v/>
          </cell>
          <cell r="H1637" t="str">
            <v>Clo</v>
          </cell>
        </row>
        <row r="1638">
          <cell r="B1638" t="str">
            <v>3709CCA154</v>
          </cell>
          <cell r="D1638">
            <v>5163.6099999999979</v>
          </cell>
          <cell r="E1638">
            <v>29639.429000000011</v>
          </cell>
          <cell r="F1638" t="str">
            <v>-40464.98</v>
          </cell>
          <cell r="G1638" t="str">
            <v>161590.43</v>
          </cell>
          <cell r="I1638" t="str">
            <v>S</v>
          </cell>
          <cell r="K1638" t="str">
            <v>Rígida</v>
          </cell>
          <cell r="L1638" t="str">
            <v>C859-A</v>
          </cell>
          <cell r="Q1638">
            <v>3.8</v>
          </cell>
          <cell r="S1638">
            <v>-4</v>
          </cell>
        </row>
        <row r="1639">
          <cell r="C1639">
            <v>12</v>
          </cell>
          <cell r="F1639" t="str">
            <v/>
          </cell>
          <cell r="G1639" t="str">
            <v/>
          </cell>
          <cell r="H1639" t="str">
            <v>Clo</v>
          </cell>
        </row>
        <row r="1640">
          <cell r="B1640" t="str">
            <v>3709CCA156</v>
          </cell>
          <cell r="D1640">
            <v>5175.6099999999979</v>
          </cell>
          <cell r="E1640">
            <v>29627.429000000011</v>
          </cell>
          <cell r="F1640" t="str">
            <v>-40464.00</v>
          </cell>
          <cell r="G1640" t="str">
            <v>161578.47</v>
          </cell>
          <cell r="I1640" t="str">
            <v>S</v>
          </cell>
          <cell r="K1640" t="str">
            <v>Rígida</v>
          </cell>
          <cell r="L1640" t="str">
            <v>C859-A</v>
          </cell>
          <cell r="Q1640">
            <v>3.8</v>
          </cell>
          <cell r="S1640">
            <v>-12</v>
          </cell>
        </row>
        <row r="1641">
          <cell r="C1641">
            <v>12</v>
          </cell>
          <cell r="F1641" t="str">
            <v/>
          </cell>
          <cell r="G1641" t="str">
            <v/>
          </cell>
        </row>
        <row r="1642">
          <cell r="B1642" t="str">
            <v>3709CCA158</v>
          </cell>
          <cell r="D1642">
            <v>5187.6099999999979</v>
          </cell>
          <cell r="E1642">
            <v>29615.429000000011</v>
          </cell>
          <cell r="F1642" t="str">
            <v>-40463.06</v>
          </cell>
          <cell r="G1642" t="str">
            <v>161566.51</v>
          </cell>
          <cell r="I1642" t="str">
            <v>S</v>
          </cell>
          <cell r="K1642" t="str">
            <v>Rígida</v>
          </cell>
          <cell r="L1642" t="str">
            <v>C859-A</v>
          </cell>
          <cell r="Q1642">
            <v>3.8</v>
          </cell>
          <cell r="S1642">
            <v>-20</v>
          </cell>
        </row>
        <row r="1643">
          <cell r="C1643">
            <v>12</v>
          </cell>
          <cell r="F1643" t="str">
            <v/>
          </cell>
          <cell r="G1643" t="str">
            <v/>
          </cell>
        </row>
        <row r="1644">
          <cell r="B1644" t="str">
            <v>3709CCA160</v>
          </cell>
          <cell r="D1644">
            <v>5199.6099999999979</v>
          </cell>
          <cell r="E1644">
            <v>29603.429000000011</v>
          </cell>
          <cell r="F1644" t="str">
            <v>-40462.11</v>
          </cell>
          <cell r="G1644" t="str">
            <v>161554.55</v>
          </cell>
          <cell r="I1644" t="str">
            <v>S</v>
          </cell>
          <cell r="K1644" t="str">
            <v>Rígida</v>
          </cell>
          <cell r="L1644" t="str">
            <v>C859-A</v>
          </cell>
          <cell r="Q1644">
            <v>3.8</v>
          </cell>
          <cell r="S1644">
            <v>-12</v>
          </cell>
        </row>
        <row r="1645">
          <cell r="C1645">
            <v>12</v>
          </cell>
          <cell r="F1645" t="str">
            <v/>
          </cell>
          <cell r="G1645" t="str">
            <v/>
          </cell>
        </row>
        <row r="1646">
          <cell r="B1646" t="str">
            <v>3709CCA162</v>
          </cell>
          <cell r="D1646">
            <v>5211.6099999999979</v>
          </cell>
          <cell r="E1646">
            <v>29591.429000000011</v>
          </cell>
          <cell r="F1646" t="str">
            <v>-40461.17</v>
          </cell>
          <cell r="G1646" t="str">
            <v>161542.58</v>
          </cell>
          <cell r="I1646" t="str">
            <v>S</v>
          </cell>
          <cell r="K1646" t="str">
            <v>Rígida</v>
          </cell>
          <cell r="L1646" t="str">
            <v>C859-A</v>
          </cell>
          <cell r="Q1646">
            <v>3.8</v>
          </cell>
          <cell r="S1646">
            <v>-4</v>
          </cell>
        </row>
        <row r="1647">
          <cell r="C1647">
            <v>12</v>
          </cell>
          <cell r="F1647" t="str">
            <v/>
          </cell>
          <cell r="G1647" t="str">
            <v/>
          </cell>
        </row>
        <row r="1648">
          <cell r="B1648" t="str">
            <v>3709CCA164</v>
          </cell>
          <cell r="D1648">
            <v>5223.6099999999979</v>
          </cell>
          <cell r="E1648">
            <v>29579.429000000011</v>
          </cell>
          <cell r="F1648" t="str">
            <v>-40460.22</v>
          </cell>
          <cell r="G1648" t="str">
            <v>161530.62</v>
          </cell>
          <cell r="I1648" t="str">
            <v>S</v>
          </cell>
          <cell r="K1648" t="str">
            <v>Rígida</v>
          </cell>
          <cell r="L1648" t="str">
            <v>C859-A</v>
          </cell>
          <cell r="Q1648">
            <v>3.8</v>
          </cell>
          <cell r="S1648" t="str">
            <v>+4</v>
          </cell>
        </row>
        <row r="1649">
          <cell r="C1649">
            <v>12</v>
          </cell>
          <cell r="F1649" t="str">
            <v/>
          </cell>
          <cell r="G1649" t="str">
            <v/>
          </cell>
        </row>
        <row r="1650">
          <cell r="B1650" t="str">
            <v>3709CCA166</v>
          </cell>
          <cell r="D1650">
            <v>5235.6099999999979</v>
          </cell>
          <cell r="E1650">
            <v>29567.429000000011</v>
          </cell>
          <cell r="F1650" t="str">
            <v>-40459.28</v>
          </cell>
          <cell r="G1650" t="str">
            <v>161518.66</v>
          </cell>
          <cell r="I1650" t="str">
            <v>S</v>
          </cell>
          <cell r="K1650" t="str">
            <v>Rígida</v>
          </cell>
          <cell r="L1650" t="str">
            <v>C859-A</v>
          </cell>
          <cell r="Q1650">
            <v>3.8</v>
          </cell>
          <cell r="S1650" t="str">
            <v>+12</v>
          </cell>
        </row>
        <row r="1651">
          <cell r="C1651">
            <v>12</v>
          </cell>
          <cell r="F1651" t="str">
            <v/>
          </cell>
          <cell r="G1651" t="str">
            <v/>
          </cell>
        </row>
        <row r="1652">
          <cell r="B1652" t="str">
            <v>3709CCA168</v>
          </cell>
          <cell r="D1652">
            <v>5247.6099999999979</v>
          </cell>
          <cell r="E1652">
            <v>29555.429000000011</v>
          </cell>
          <cell r="F1652" t="str">
            <v>-40458.33</v>
          </cell>
          <cell r="G1652" t="str">
            <v>161506.69</v>
          </cell>
          <cell r="I1652" t="str">
            <v>S</v>
          </cell>
          <cell r="K1652" t="str">
            <v>Rígida</v>
          </cell>
          <cell r="L1652" t="str">
            <v>C859-A</v>
          </cell>
          <cell r="Q1652">
            <v>3.8</v>
          </cell>
          <cell r="S1652" t="str">
            <v>+20</v>
          </cell>
        </row>
        <row r="1653">
          <cell r="C1653">
            <v>12</v>
          </cell>
          <cell r="F1653" t="str">
            <v/>
          </cell>
          <cell r="G1653" t="str">
            <v/>
          </cell>
        </row>
        <row r="1654">
          <cell r="B1654" t="str">
            <v>3709CCA170</v>
          </cell>
          <cell r="D1654">
            <v>5259.6099999999979</v>
          </cell>
          <cell r="E1654">
            <v>29543.429000000011</v>
          </cell>
          <cell r="F1654" t="str">
            <v>-40457.39</v>
          </cell>
          <cell r="G1654" t="str">
            <v>161494.73</v>
          </cell>
          <cell r="I1654" t="str">
            <v>S</v>
          </cell>
          <cell r="K1654" t="str">
            <v>Rígida</v>
          </cell>
          <cell r="L1654" t="str">
            <v>C859-A</v>
          </cell>
          <cell r="Q1654">
            <v>3.8</v>
          </cell>
          <cell r="S1654" t="str">
            <v>+12</v>
          </cell>
        </row>
        <row r="1655">
          <cell r="C1655">
            <v>12</v>
          </cell>
          <cell r="F1655" t="str">
            <v/>
          </cell>
          <cell r="G1655" t="str">
            <v/>
          </cell>
        </row>
        <row r="1656">
          <cell r="B1656" t="str">
            <v>3709CCA172</v>
          </cell>
          <cell r="D1656">
            <v>5271.6099999999979</v>
          </cell>
          <cell r="E1656">
            <v>29531.429000000011</v>
          </cell>
          <cell r="F1656" t="str">
            <v>-40456.44</v>
          </cell>
          <cell r="G1656" t="str">
            <v>161482.77</v>
          </cell>
          <cell r="I1656" t="str">
            <v>S</v>
          </cell>
          <cell r="K1656" t="str">
            <v>Rígida</v>
          </cell>
          <cell r="L1656" t="str">
            <v>C859-A</v>
          </cell>
          <cell r="Q1656">
            <v>3.8</v>
          </cell>
          <cell r="S1656" t="str">
            <v>+4</v>
          </cell>
        </row>
        <row r="1657">
          <cell r="C1657">
            <v>12</v>
          </cell>
          <cell r="F1657" t="str">
            <v/>
          </cell>
          <cell r="G1657" t="str">
            <v/>
          </cell>
        </row>
        <row r="1658">
          <cell r="B1658" t="str">
            <v>3709CCA174</v>
          </cell>
          <cell r="D1658">
            <v>5283.6099999999979</v>
          </cell>
          <cell r="E1658">
            <v>29519.429000000011</v>
          </cell>
          <cell r="F1658" t="str">
            <v>-40455.50</v>
          </cell>
          <cell r="G1658" t="str">
            <v>161470.81</v>
          </cell>
          <cell r="I1658" t="str">
            <v>S</v>
          </cell>
          <cell r="K1658" t="str">
            <v>Rígida</v>
          </cell>
          <cell r="L1658" t="str">
            <v>C859-A</v>
          </cell>
          <cell r="Q1658">
            <v>3.8</v>
          </cell>
          <cell r="S1658">
            <v>-4</v>
          </cell>
        </row>
        <row r="1659">
          <cell r="C1659">
            <v>12</v>
          </cell>
          <cell r="F1659" t="str">
            <v/>
          </cell>
          <cell r="G1659" t="str">
            <v/>
          </cell>
        </row>
        <row r="1660">
          <cell r="B1660" t="str">
            <v>3709CCA176</v>
          </cell>
          <cell r="D1660">
            <v>5295.6099999999979</v>
          </cell>
          <cell r="E1660">
            <v>29507.429000000011</v>
          </cell>
          <cell r="F1660" t="str">
            <v>-40454.55</v>
          </cell>
          <cell r="G1660" t="str">
            <v>161458.84</v>
          </cell>
          <cell r="I1660" t="str">
            <v>S</v>
          </cell>
          <cell r="K1660" t="str">
            <v>Rígida</v>
          </cell>
          <cell r="L1660" t="str">
            <v>C859-A</v>
          </cell>
          <cell r="Q1660">
            <v>3.8</v>
          </cell>
          <cell r="S1660">
            <v>-12</v>
          </cell>
        </row>
        <row r="1661">
          <cell r="C1661">
            <v>12</v>
          </cell>
          <cell r="F1661" t="str">
            <v/>
          </cell>
          <cell r="G1661" t="str">
            <v/>
          </cell>
        </row>
        <row r="1662">
          <cell r="B1662" t="str">
            <v>3709CCA178</v>
          </cell>
          <cell r="D1662">
            <v>5307.6099999999979</v>
          </cell>
          <cell r="E1662">
            <v>29495.429000000011</v>
          </cell>
          <cell r="F1662" t="str">
            <v>-40453.59</v>
          </cell>
          <cell r="G1662" t="str">
            <v>161446.88</v>
          </cell>
          <cell r="I1662" t="str">
            <v>S</v>
          </cell>
          <cell r="K1662" t="str">
            <v>Rígida</v>
          </cell>
          <cell r="L1662" t="str">
            <v>C859-A</v>
          </cell>
          <cell r="Q1662">
            <v>3.8</v>
          </cell>
          <cell r="S1662">
            <v>-20</v>
          </cell>
        </row>
        <row r="1663">
          <cell r="C1663">
            <v>7.5</v>
          </cell>
          <cell r="F1663" t="str">
            <v/>
          </cell>
          <cell r="G1663" t="str">
            <v/>
          </cell>
        </row>
        <row r="1664">
          <cell r="B1664" t="str">
            <v>3709CCA180</v>
          </cell>
          <cell r="D1664">
            <v>5315.1099999999979</v>
          </cell>
          <cell r="E1664">
            <v>29487.929000000011</v>
          </cell>
          <cell r="F1664" t="str">
            <v>-40453.03</v>
          </cell>
          <cell r="G1664" t="str">
            <v>161439.43</v>
          </cell>
          <cell r="I1664" t="str">
            <v>S</v>
          </cell>
          <cell r="K1664" t="str">
            <v>Rígida</v>
          </cell>
          <cell r="L1664" t="str">
            <v>C859-A</v>
          </cell>
          <cell r="Q1664">
            <v>3.8</v>
          </cell>
          <cell r="S1664">
            <v>-12</v>
          </cell>
        </row>
        <row r="1665">
          <cell r="C1665">
            <v>7.4</v>
          </cell>
          <cell r="F1665" t="str">
            <v/>
          </cell>
          <cell r="G1665" t="str">
            <v/>
          </cell>
        </row>
        <row r="1666">
          <cell r="B1666" t="str">
            <v>3709CCA182</v>
          </cell>
          <cell r="D1666">
            <v>5322.5099999999975</v>
          </cell>
          <cell r="E1666">
            <v>29480.52900000001</v>
          </cell>
          <cell r="F1666" t="str">
            <v>-40452.43</v>
          </cell>
          <cell r="G1666" t="str">
            <v>161432.03</v>
          </cell>
          <cell r="I1666" t="str">
            <v>S</v>
          </cell>
          <cell r="K1666" t="str">
            <v>Rígida</v>
          </cell>
          <cell r="L1666" t="str">
            <v>C860-A</v>
          </cell>
          <cell r="Q1666">
            <v>3.8</v>
          </cell>
          <cell r="S1666">
            <v>-4</v>
          </cell>
        </row>
        <row r="1667">
          <cell r="B1667" t="str">
            <v>3709CCA182.Bis</v>
          </cell>
          <cell r="C1667">
            <v>6.2</v>
          </cell>
          <cell r="D1667">
            <v>5326.8099999999977</v>
          </cell>
          <cell r="F1667" t="str">
            <v>-40451.32</v>
          </cell>
          <cell r="G1667" t="str">
            <v>161427.48</v>
          </cell>
          <cell r="I1667" t="str">
            <v>PA80</v>
          </cell>
          <cell r="K1667" t="str">
            <v>Rígida</v>
          </cell>
          <cell r="L1667" t="str">
            <v>C860-A</v>
          </cell>
          <cell r="Q1667">
            <v>3.8</v>
          </cell>
        </row>
        <row r="1668">
          <cell r="B1668" t="str">
            <v>3709CCA184</v>
          </cell>
          <cell r="D1668">
            <v>5328.7099999999973</v>
          </cell>
          <cell r="E1668">
            <v>29474.329000000009</v>
          </cell>
          <cell r="F1668" t="str">
            <v>-40451.94</v>
          </cell>
          <cell r="G1668" t="str">
            <v>161425.80</v>
          </cell>
          <cell r="I1668" t="str">
            <v>S</v>
          </cell>
          <cell r="K1668" t="str">
            <v>Rígida</v>
          </cell>
          <cell r="L1668" t="str">
            <v>C860-A</v>
          </cell>
          <cell r="Q1668">
            <v>3.8</v>
          </cell>
          <cell r="S1668" t="str">
            <v>+4</v>
          </cell>
        </row>
        <row r="1669">
          <cell r="C1669">
            <v>1.7</v>
          </cell>
          <cell r="F1669" t="str">
            <v/>
          </cell>
          <cell r="G1669" t="str">
            <v/>
          </cell>
          <cell r="I1669" t="str">
            <v>PA50</v>
          </cell>
        </row>
        <row r="1670">
          <cell r="B1670" t="str">
            <v>3709CCA186</v>
          </cell>
          <cell r="D1670">
            <v>5330.4099999999971</v>
          </cell>
          <cell r="E1670">
            <v>29472.629000000008</v>
          </cell>
          <cell r="F1670" t="str">
            <v>3709CCA186_</v>
          </cell>
          <cell r="G1670" t="str">
            <v>161424.14</v>
          </cell>
          <cell r="I1670" t="str">
            <v>S</v>
          </cell>
          <cell r="K1670" t="str">
            <v>Rígida</v>
          </cell>
          <cell r="L1670" t="str">
            <v>C860-A</v>
          </cell>
          <cell r="Q1670">
            <v>3.8</v>
          </cell>
          <cell r="S1670" t="str">
            <v>+12</v>
          </cell>
        </row>
        <row r="1671">
          <cell r="C1671">
            <v>7</v>
          </cell>
          <cell r="F1671" t="str">
            <v/>
          </cell>
          <cell r="G1671" t="str">
            <v/>
          </cell>
          <cell r="I1671" t="str">
            <v>PA30</v>
          </cell>
        </row>
        <row r="1672">
          <cell r="B1672" t="str">
            <v>3709CCA188</v>
          </cell>
          <cell r="D1672">
            <v>5337.4099999999971</v>
          </cell>
          <cell r="E1672">
            <v>29465.629000000008</v>
          </cell>
          <cell r="F1672" t="str">
            <v>-40451.26</v>
          </cell>
          <cell r="G1672" t="str">
            <v>161417.18</v>
          </cell>
          <cell r="I1672" t="str">
            <v>S</v>
          </cell>
          <cell r="K1672" t="str">
            <v>Rígida</v>
          </cell>
          <cell r="L1672" t="str">
            <v>C859-A</v>
          </cell>
          <cell r="Q1672">
            <v>3.8</v>
          </cell>
          <cell r="S1672" t="str">
            <v>+20</v>
          </cell>
        </row>
        <row r="1673">
          <cell r="C1673">
            <v>12</v>
          </cell>
          <cell r="F1673" t="str">
            <v/>
          </cell>
          <cell r="G1673" t="str">
            <v/>
          </cell>
        </row>
        <row r="1674">
          <cell r="B1674" t="str">
            <v>3709CCA190</v>
          </cell>
          <cell r="D1674">
            <v>5349.4099999999971</v>
          </cell>
          <cell r="E1674">
            <v>29453.629000000008</v>
          </cell>
          <cell r="F1674" t="str">
            <v>-40450.32</v>
          </cell>
          <cell r="G1674" t="str">
            <v>161405.21</v>
          </cell>
          <cell r="I1674" t="str">
            <v>SE</v>
          </cell>
          <cell r="K1674" t="str">
            <v>Rígida</v>
          </cell>
          <cell r="L1674" t="str">
            <v>C860-A</v>
          </cell>
          <cell r="Q1674">
            <v>3.8</v>
          </cell>
          <cell r="S1674">
            <v>-20</v>
          </cell>
          <cell r="T1674" t="str">
            <v>+12</v>
          </cell>
          <cell r="U1674" t="str">
            <v>Cantón 402,2 m</v>
          </cell>
        </row>
        <row r="1675">
          <cell r="C1675">
            <v>6.2</v>
          </cell>
          <cell r="F1675" t="str">
            <v/>
          </cell>
          <cell r="G1675" t="str">
            <v/>
          </cell>
          <cell r="U1675" t="str">
            <v>Seccionamento</v>
          </cell>
        </row>
        <row r="1676">
          <cell r="B1676" t="str">
            <v>3709CCA192</v>
          </cell>
          <cell r="D1676">
            <v>5355.6099999999969</v>
          </cell>
          <cell r="E1676">
            <v>29447.429000000007</v>
          </cell>
          <cell r="F1676" t="str">
            <v>-40449.83</v>
          </cell>
          <cell r="G1676" t="str">
            <v>161399.03</v>
          </cell>
          <cell r="I1676" t="str">
            <v>SE</v>
          </cell>
          <cell r="K1676" t="str">
            <v>Rígida</v>
          </cell>
          <cell r="L1676" t="str">
            <v>C860-A</v>
          </cell>
          <cell r="Q1676">
            <v>3.8</v>
          </cell>
          <cell r="S1676">
            <v>-12</v>
          </cell>
          <cell r="T1676" t="str">
            <v>+4</v>
          </cell>
          <cell r="U1676" t="str">
            <v>Cantón 392,6 m</v>
          </cell>
          <cell r="V1676" t="str">
            <v>Caix. Secc. e Con.</v>
          </cell>
          <cell r="W1676" t="str">
            <v>Caix. Imped.</v>
          </cell>
        </row>
        <row r="1677">
          <cell r="C1677">
            <v>12</v>
          </cell>
          <cell r="F1677" t="str">
            <v/>
          </cell>
          <cell r="G1677" t="str">
            <v/>
          </cell>
        </row>
        <row r="1678">
          <cell r="B1678" t="str">
            <v>3709CCA194</v>
          </cell>
          <cell r="D1678">
            <v>5367.6099999999969</v>
          </cell>
          <cell r="E1678">
            <v>29435.429000000007</v>
          </cell>
          <cell r="F1678" t="str">
            <v>-40448.88</v>
          </cell>
          <cell r="G1678" t="str">
            <v>161387.07</v>
          </cell>
          <cell r="I1678" t="str">
            <v>S</v>
          </cell>
          <cell r="K1678" t="str">
            <v>Rígida</v>
          </cell>
          <cell r="L1678" t="str">
            <v>C859-A</v>
          </cell>
          <cell r="Q1678">
            <v>3.8</v>
          </cell>
          <cell r="S1678">
            <v>-4</v>
          </cell>
        </row>
        <row r="1679">
          <cell r="C1679">
            <v>12</v>
          </cell>
          <cell r="F1679" t="str">
            <v/>
          </cell>
          <cell r="G1679" t="str">
            <v/>
          </cell>
        </row>
        <row r="1680">
          <cell r="B1680" t="str">
            <v>3709CCA196</v>
          </cell>
          <cell r="D1680">
            <v>5379.6099999999969</v>
          </cell>
          <cell r="E1680">
            <v>29423.429000000007</v>
          </cell>
          <cell r="F1680" t="str">
            <v>-40447.93</v>
          </cell>
          <cell r="G1680" t="str">
            <v>161375.10</v>
          </cell>
          <cell r="I1680" t="str">
            <v>S</v>
          </cell>
          <cell r="K1680" t="str">
            <v>Rígida</v>
          </cell>
          <cell r="L1680" t="str">
            <v>C859-A</v>
          </cell>
          <cell r="Q1680">
            <v>3.8</v>
          </cell>
          <cell r="S1680" t="str">
            <v>+4</v>
          </cell>
        </row>
        <row r="1681">
          <cell r="C1681">
            <v>12</v>
          </cell>
          <cell r="F1681" t="str">
            <v/>
          </cell>
          <cell r="G1681" t="str">
            <v/>
          </cell>
        </row>
        <row r="1682">
          <cell r="B1682" t="str">
            <v>3709CCA198</v>
          </cell>
          <cell r="D1682">
            <v>5391.6099999999969</v>
          </cell>
          <cell r="E1682">
            <v>29411.429000000007</v>
          </cell>
          <cell r="F1682" t="str">
            <v>-40446.99</v>
          </cell>
          <cell r="G1682" t="str">
            <v>161363.14</v>
          </cell>
          <cell r="I1682" t="str">
            <v>S</v>
          </cell>
          <cell r="K1682" t="str">
            <v>Rígida</v>
          </cell>
          <cell r="L1682" t="str">
            <v>C859-A</v>
          </cell>
          <cell r="Q1682">
            <v>3.8</v>
          </cell>
          <cell r="S1682" t="str">
            <v>+12</v>
          </cell>
        </row>
        <row r="1683">
          <cell r="C1683">
            <v>12</v>
          </cell>
          <cell r="F1683" t="str">
            <v/>
          </cell>
          <cell r="G1683" t="str">
            <v/>
          </cell>
        </row>
        <row r="1684">
          <cell r="B1684" t="str">
            <v>3709CCA200</v>
          </cell>
          <cell r="D1684">
            <v>5403.6099999999969</v>
          </cell>
          <cell r="E1684">
            <v>29399.429000000007</v>
          </cell>
          <cell r="F1684" t="str">
            <v>-40446.04</v>
          </cell>
          <cell r="G1684" t="str">
            <v>161351.18</v>
          </cell>
          <cell r="I1684" t="str">
            <v>S</v>
          </cell>
          <cell r="K1684" t="str">
            <v>Rígida</v>
          </cell>
          <cell r="L1684" t="str">
            <v>C859-A</v>
          </cell>
          <cell r="Q1684">
            <v>3.8</v>
          </cell>
          <cell r="S1684" t="str">
            <v>+20</v>
          </cell>
        </row>
        <row r="1685">
          <cell r="B1685" t="str">
            <v>Inic. Estação Soares Dos Reis (05+410)</v>
          </cell>
          <cell r="C1685">
            <v>12</v>
          </cell>
        </row>
        <row r="1686">
          <cell r="B1686" t="str">
            <v>3710CCA02</v>
          </cell>
          <cell r="D1686">
            <v>5415.6099999999969</v>
          </cell>
          <cell r="E1686">
            <v>29387.429000000007</v>
          </cell>
          <cell r="F1686" t="str">
            <v>-40445.10</v>
          </cell>
          <cell r="G1686" t="str">
            <v>161339.22</v>
          </cell>
          <cell r="I1686" t="str">
            <v>S</v>
          </cell>
          <cell r="K1686" t="str">
            <v>Rígida</v>
          </cell>
          <cell r="L1686" t="str">
            <v>C859-A</v>
          </cell>
          <cell r="Q1686">
            <v>3.8</v>
          </cell>
          <cell r="S1686" t="str">
            <v>+12</v>
          </cell>
        </row>
        <row r="1687">
          <cell r="C1687">
            <v>12</v>
          </cell>
        </row>
        <row r="1688">
          <cell r="B1688" t="str">
            <v>3710CCA04</v>
          </cell>
          <cell r="D1688">
            <v>5427.6099999999969</v>
          </cell>
          <cell r="E1688">
            <v>29375.429000000007</v>
          </cell>
          <cell r="F1688" t="str">
            <v>-40444.16</v>
          </cell>
          <cell r="G1688" t="str">
            <v>161327.25</v>
          </cell>
          <cell r="I1688" t="str">
            <v>S</v>
          </cell>
          <cell r="K1688" t="str">
            <v>Rígida</v>
          </cell>
          <cell r="L1688" t="str">
            <v>C859-A</v>
          </cell>
          <cell r="Q1688">
            <v>3.8</v>
          </cell>
          <cell r="S1688" t="str">
            <v>+4</v>
          </cell>
        </row>
        <row r="1689">
          <cell r="C1689">
            <v>12</v>
          </cell>
          <cell r="F1689" t="str">
            <v/>
          </cell>
          <cell r="G1689" t="str">
            <v/>
          </cell>
        </row>
        <row r="1690">
          <cell r="B1690" t="str">
            <v>3710CCA06</v>
          </cell>
          <cell r="D1690">
            <v>5439.6099999999969</v>
          </cell>
          <cell r="E1690">
            <v>29363.429000000007</v>
          </cell>
          <cell r="F1690" t="str">
            <v>-40443.21</v>
          </cell>
          <cell r="G1690" t="str">
            <v>161315.29</v>
          </cell>
          <cell r="I1690" t="str">
            <v>S</v>
          </cell>
          <cell r="K1690" t="str">
            <v>Rígida</v>
          </cell>
          <cell r="L1690" t="str">
            <v>C859-A</v>
          </cell>
          <cell r="Q1690">
            <v>3.8</v>
          </cell>
          <cell r="S1690">
            <v>-4</v>
          </cell>
        </row>
        <row r="1691">
          <cell r="C1691">
            <v>12</v>
          </cell>
          <cell r="F1691" t="str">
            <v/>
          </cell>
          <cell r="G1691" t="str">
            <v/>
          </cell>
        </row>
        <row r="1692">
          <cell r="B1692" t="str">
            <v>3710CCA08</v>
          </cell>
          <cell r="D1692">
            <v>5451.6099999999969</v>
          </cell>
          <cell r="E1692">
            <v>29351.429000000007</v>
          </cell>
          <cell r="F1692" t="str">
            <v>-40442.27</v>
          </cell>
          <cell r="G1692" t="str">
            <v>161303.33</v>
          </cell>
          <cell r="I1692" t="str">
            <v>S</v>
          </cell>
          <cell r="K1692" t="str">
            <v>Rígida</v>
          </cell>
          <cell r="L1692" t="str">
            <v>C859-A</v>
          </cell>
          <cell r="Q1692">
            <v>3.8</v>
          </cell>
          <cell r="S1692">
            <v>-12</v>
          </cell>
        </row>
        <row r="1693">
          <cell r="C1693">
            <v>12</v>
          </cell>
          <cell r="F1693" t="str">
            <v/>
          </cell>
          <cell r="G1693" t="str">
            <v/>
          </cell>
        </row>
        <row r="1694">
          <cell r="B1694" t="str">
            <v>3710CCA10</v>
          </cell>
          <cell r="D1694">
            <v>5463.6099999999969</v>
          </cell>
          <cell r="E1694">
            <v>29339.429000000007</v>
          </cell>
          <cell r="F1694" t="str">
            <v>-40441.32</v>
          </cell>
          <cell r="G1694" t="str">
            <v>161291.37</v>
          </cell>
          <cell r="I1694" t="str">
            <v>S</v>
          </cell>
          <cell r="K1694" t="str">
            <v>Rígida</v>
          </cell>
          <cell r="L1694" t="str">
            <v>C859-A</v>
          </cell>
          <cell r="Q1694">
            <v>3.8</v>
          </cell>
          <cell r="S1694">
            <v>-20</v>
          </cell>
        </row>
        <row r="1695">
          <cell r="C1695">
            <v>12</v>
          </cell>
          <cell r="F1695" t="str">
            <v/>
          </cell>
          <cell r="G1695" t="str">
            <v/>
          </cell>
        </row>
        <row r="1696">
          <cell r="B1696" t="str">
            <v>3710CCA12</v>
          </cell>
          <cell r="D1696">
            <v>5475.6099999999969</v>
          </cell>
          <cell r="E1696">
            <v>29327.429000000007</v>
          </cell>
          <cell r="F1696" t="str">
            <v>-40440.38</v>
          </cell>
          <cell r="G1696" t="str">
            <v>161279.40</v>
          </cell>
          <cell r="I1696" t="str">
            <v>S</v>
          </cell>
          <cell r="K1696" t="str">
            <v>Rígida</v>
          </cell>
          <cell r="L1696" t="str">
            <v>C859-A</v>
          </cell>
          <cell r="Q1696">
            <v>3.8</v>
          </cell>
          <cell r="S1696">
            <v>-12</v>
          </cell>
        </row>
        <row r="1697">
          <cell r="C1697">
            <v>12</v>
          </cell>
          <cell r="F1697" t="str">
            <v/>
          </cell>
          <cell r="G1697" t="str">
            <v/>
          </cell>
        </row>
        <row r="1698">
          <cell r="B1698" t="str">
            <v>3710CCA14</v>
          </cell>
          <cell r="D1698">
            <v>5487.6099999999969</v>
          </cell>
          <cell r="E1698">
            <v>29315.429000000007</v>
          </cell>
          <cell r="F1698" t="str">
            <v>-40439.43</v>
          </cell>
          <cell r="G1698" t="str">
            <v>161267.44</v>
          </cell>
          <cell r="I1698" t="str">
            <v>S</v>
          </cell>
          <cell r="K1698" t="str">
            <v>Rígida</v>
          </cell>
          <cell r="L1698" t="str">
            <v>C859-A</v>
          </cell>
          <cell r="Q1698">
            <v>3.8</v>
          </cell>
          <cell r="S1698">
            <v>-4</v>
          </cell>
        </row>
        <row r="1699">
          <cell r="C1699">
            <v>12</v>
          </cell>
          <cell r="F1699" t="str">
            <v/>
          </cell>
          <cell r="G1699" t="str">
            <v/>
          </cell>
        </row>
        <row r="1700">
          <cell r="B1700" t="str">
            <v>3710CCA16</v>
          </cell>
          <cell r="D1700">
            <v>5499.6099999999969</v>
          </cell>
          <cell r="E1700">
            <v>29303.429000000007</v>
          </cell>
          <cell r="F1700" t="str">
            <v>-40438.49</v>
          </cell>
          <cell r="G1700" t="str">
            <v>161255.48</v>
          </cell>
          <cell r="I1700" t="str">
            <v>S</v>
          </cell>
          <cell r="K1700" t="str">
            <v>Rígida</v>
          </cell>
          <cell r="L1700" t="str">
            <v>C859-A</v>
          </cell>
          <cell r="Q1700">
            <v>3.8</v>
          </cell>
          <cell r="S1700" t="str">
            <v>+4</v>
          </cell>
        </row>
        <row r="1701">
          <cell r="C1701">
            <v>12</v>
          </cell>
          <cell r="F1701" t="str">
            <v/>
          </cell>
          <cell r="G1701" t="str">
            <v/>
          </cell>
        </row>
        <row r="1702">
          <cell r="B1702" t="str">
            <v>3710CCA18</v>
          </cell>
          <cell r="D1702">
            <v>5511.6099999999969</v>
          </cell>
          <cell r="E1702">
            <v>29291.429000000007</v>
          </cell>
          <cell r="F1702" t="str">
            <v>-40437.54</v>
          </cell>
          <cell r="G1702" t="str">
            <v>161243.51</v>
          </cell>
          <cell r="I1702" t="str">
            <v>S</v>
          </cell>
          <cell r="K1702" t="str">
            <v>Rígida</v>
          </cell>
          <cell r="L1702" t="str">
            <v>C859-A</v>
          </cell>
          <cell r="Q1702">
            <v>3.8</v>
          </cell>
          <cell r="S1702" t="str">
            <v>+12</v>
          </cell>
        </row>
        <row r="1703">
          <cell r="B1703" t="str">
            <v>Fin. Estação Soares Dos Reis (05+519)</v>
          </cell>
          <cell r="C1703">
            <v>12</v>
          </cell>
        </row>
        <row r="1704">
          <cell r="B1704" t="str">
            <v>3711CCA02</v>
          </cell>
          <cell r="D1704">
            <v>5523.6099999999969</v>
          </cell>
          <cell r="E1704">
            <v>29279.429000000007</v>
          </cell>
          <cell r="F1704" t="str">
            <v>-40436.60</v>
          </cell>
          <cell r="G1704" t="str">
            <v>161231.55</v>
          </cell>
          <cell r="I1704" t="str">
            <v>S</v>
          </cell>
          <cell r="K1704" t="str">
            <v>Rígida</v>
          </cell>
          <cell r="L1704" t="str">
            <v>C859-A</v>
          </cell>
          <cell r="Q1704">
            <v>3.8</v>
          </cell>
          <cell r="S1704" t="str">
            <v>+20</v>
          </cell>
        </row>
        <row r="1705">
          <cell r="C1705">
            <v>12</v>
          </cell>
          <cell r="F1705" t="str">
            <v/>
          </cell>
          <cell r="G1705" t="str">
            <v/>
          </cell>
          <cell r="H1705" t="str">
            <v>Clo</v>
          </cell>
        </row>
        <row r="1706">
          <cell r="B1706" t="str">
            <v>3711CCA04</v>
          </cell>
          <cell r="D1706">
            <v>5535.6099999999969</v>
          </cell>
          <cell r="E1706">
            <v>29267.429000000007</v>
          </cell>
          <cell r="F1706" t="str">
            <v>-40435.53</v>
          </cell>
          <cell r="G1706" t="str">
            <v>161219.60</v>
          </cell>
          <cell r="I1706" t="str">
            <v>PF</v>
          </cell>
          <cell r="K1706" t="str">
            <v>Rígida</v>
          </cell>
          <cell r="L1706" t="str">
            <v>C863-A</v>
          </cell>
          <cell r="Q1706">
            <v>3.8</v>
          </cell>
          <cell r="S1706" t="str">
            <v>+12</v>
          </cell>
        </row>
        <row r="1707">
          <cell r="C1707">
            <v>12</v>
          </cell>
          <cell r="F1707" t="str">
            <v/>
          </cell>
          <cell r="G1707" t="str">
            <v/>
          </cell>
          <cell r="H1707" t="str">
            <v>Clo</v>
          </cell>
        </row>
        <row r="1708">
          <cell r="B1708" t="str">
            <v>3711CCA06</v>
          </cell>
          <cell r="D1708">
            <v>5547.6099999999969</v>
          </cell>
          <cell r="E1708">
            <v>29255.429000000007</v>
          </cell>
          <cell r="F1708" t="str">
            <v>-40433.98</v>
          </cell>
          <cell r="G1708" t="str">
            <v>161207.70</v>
          </cell>
          <cell r="I1708" t="str">
            <v>S</v>
          </cell>
          <cell r="K1708" t="str">
            <v>Rígida</v>
          </cell>
          <cell r="L1708" t="str">
            <v>C859-A</v>
          </cell>
          <cell r="Q1708">
            <v>3.8</v>
          </cell>
          <cell r="S1708" t="str">
            <v>+4</v>
          </cell>
        </row>
        <row r="1709">
          <cell r="C1709">
            <v>12</v>
          </cell>
          <cell r="F1709" t="str">
            <v/>
          </cell>
          <cell r="G1709" t="str">
            <v/>
          </cell>
          <cell r="H1709">
            <v>180</v>
          </cell>
        </row>
        <row r="1710">
          <cell r="B1710" t="str">
            <v>3711CCA08</v>
          </cell>
          <cell r="D1710">
            <v>5559.6099999999969</v>
          </cell>
          <cell r="E1710">
            <v>29243.429000000007</v>
          </cell>
          <cell r="F1710" t="str">
            <v>-40431.68</v>
          </cell>
          <cell r="G1710" t="str">
            <v>161195.92</v>
          </cell>
          <cell r="I1710" t="str">
            <v>S</v>
          </cell>
          <cell r="K1710" t="str">
            <v>Rígida</v>
          </cell>
          <cell r="L1710" t="str">
            <v>C859-A</v>
          </cell>
          <cell r="Q1710">
            <v>3.8</v>
          </cell>
          <cell r="S1710">
            <v>-4</v>
          </cell>
        </row>
        <row r="1711">
          <cell r="C1711">
            <v>12</v>
          </cell>
          <cell r="F1711" t="str">
            <v/>
          </cell>
          <cell r="G1711" t="str">
            <v/>
          </cell>
          <cell r="H1711">
            <v>180</v>
          </cell>
        </row>
        <row r="1712">
          <cell r="B1712" t="str">
            <v>3711CCA10</v>
          </cell>
          <cell r="D1712">
            <v>5571.6099999999969</v>
          </cell>
          <cell r="E1712">
            <v>29231.429000000007</v>
          </cell>
          <cell r="F1712" t="str">
            <v>-40428.61</v>
          </cell>
          <cell r="G1712" t="str">
            <v>161184.32</v>
          </cell>
          <cell r="I1712" t="str">
            <v>S</v>
          </cell>
          <cell r="K1712" t="str">
            <v>Rígida</v>
          </cell>
          <cell r="L1712" t="str">
            <v>C859-A</v>
          </cell>
          <cell r="Q1712">
            <v>3.8</v>
          </cell>
          <cell r="S1712">
            <v>-12</v>
          </cell>
        </row>
        <row r="1713">
          <cell r="C1713">
            <v>12</v>
          </cell>
          <cell r="F1713" t="str">
            <v/>
          </cell>
          <cell r="G1713" t="str">
            <v/>
          </cell>
          <cell r="H1713">
            <v>180</v>
          </cell>
        </row>
        <row r="1714">
          <cell r="B1714" t="str">
            <v>3711CCA12</v>
          </cell>
          <cell r="D1714">
            <v>5583.6099999999969</v>
          </cell>
          <cell r="E1714">
            <v>29219.429000000007</v>
          </cell>
          <cell r="F1714" t="str">
            <v>-40424.78</v>
          </cell>
          <cell r="G1714" t="str">
            <v>161172.95</v>
          </cell>
          <cell r="I1714" t="str">
            <v>S</v>
          </cell>
          <cell r="K1714" t="str">
            <v>Rígida</v>
          </cell>
          <cell r="L1714" t="str">
            <v>C859-A</v>
          </cell>
          <cell r="Q1714">
            <v>3.8</v>
          </cell>
          <cell r="S1714">
            <v>-20</v>
          </cell>
        </row>
        <row r="1715">
          <cell r="C1715">
            <v>12</v>
          </cell>
          <cell r="F1715" t="str">
            <v/>
          </cell>
          <cell r="G1715" t="str">
            <v/>
          </cell>
          <cell r="H1715">
            <v>180</v>
          </cell>
        </row>
        <row r="1716">
          <cell r="B1716" t="str">
            <v>3711CCA14</v>
          </cell>
          <cell r="D1716">
            <v>5595.6099999999969</v>
          </cell>
          <cell r="E1716">
            <v>29207.429000000007</v>
          </cell>
          <cell r="F1716" t="str">
            <v>-40420.21</v>
          </cell>
          <cell r="G1716" t="str">
            <v>161161.85</v>
          </cell>
          <cell r="I1716" t="str">
            <v>S</v>
          </cell>
          <cell r="K1716" t="str">
            <v>Rígida</v>
          </cell>
          <cell r="L1716" t="str">
            <v>C859-A</v>
          </cell>
          <cell r="Q1716">
            <v>3.8</v>
          </cell>
          <cell r="S1716">
            <v>-12</v>
          </cell>
        </row>
        <row r="1717">
          <cell r="C1717">
            <v>12</v>
          </cell>
          <cell r="F1717" t="str">
            <v/>
          </cell>
          <cell r="G1717" t="str">
            <v/>
          </cell>
          <cell r="H1717">
            <v>180</v>
          </cell>
        </row>
        <row r="1718">
          <cell r="B1718" t="str">
            <v>3711CCA16</v>
          </cell>
          <cell r="D1718">
            <v>5607.6099999999969</v>
          </cell>
          <cell r="E1718">
            <v>29195.429000000007</v>
          </cell>
          <cell r="F1718" t="str">
            <v>-40414.91</v>
          </cell>
          <cell r="G1718" t="str">
            <v>161151.09</v>
          </cell>
          <cell r="I1718" t="str">
            <v>S</v>
          </cell>
          <cell r="K1718" t="str">
            <v>Rígida</v>
          </cell>
          <cell r="L1718" t="str">
            <v>C859-A</v>
          </cell>
          <cell r="Q1718">
            <v>3.8</v>
          </cell>
          <cell r="S1718">
            <v>-4</v>
          </cell>
        </row>
        <row r="1719">
          <cell r="C1719">
            <v>12</v>
          </cell>
          <cell r="F1719" t="str">
            <v/>
          </cell>
          <cell r="G1719" t="str">
            <v/>
          </cell>
          <cell r="H1719">
            <v>180</v>
          </cell>
        </row>
        <row r="1720">
          <cell r="B1720" t="str">
            <v>3711CCA18</v>
          </cell>
          <cell r="D1720">
            <v>5619.6099999999969</v>
          </cell>
          <cell r="E1720">
            <v>29183.429000000007</v>
          </cell>
          <cell r="F1720" t="str">
            <v>-40408.92</v>
          </cell>
          <cell r="G1720" t="str">
            <v>161140.69</v>
          </cell>
          <cell r="I1720" t="str">
            <v>S</v>
          </cell>
          <cell r="K1720" t="str">
            <v>Rígida</v>
          </cell>
          <cell r="L1720" t="str">
            <v>C859-A</v>
          </cell>
          <cell r="Q1720">
            <v>3.8</v>
          </cell>
          <cell r="S1720" t="str">
            <v>+4</v>
          </cell>
        </row>
        <row r="1721">
          <cell r="C1721">
            <v>12</v>
          </cell>
          <cell r="F1721" t="str">
            <v/>
          </cell>
          <cell r="G1721" t="str">
            <v/>
          </cell>
          <cell r="H1721">
            <v>180</v>
          </cell>
        </row>
        <row r="1722">
          <cell r="B1722" t="str">
            <v>3711CCA20</v>
          </cell>
          <cell r="D1722">
            <v>5631.6099999999969</v>
          </cell>
          <cell r="E1722">
            <v>29171.429000000007</v>
          </cell>
          <cell r="F1722" t="str">
            <v>-40402.25</v>
          </cell>
          <cell r="G1722" t="str">
            <v>161130.71</v>
          </cell>
          <cell r="I1722" t="str">
            <v>S</v>
          </cell>
          <cell r="K1722" t="str">
            <v>Rígida</v>
          </cell>
          <cell r="L1722" t="str">
            <v>C859-A</v>
          </cell>
          <cell r="Q1722">
            <v>3.8</v>
          </cell>
          <cell r="S1722" t="str">
            <v>+12</v>
          </cell>
        </row>
        <row r="1723">
          <cell r="C1723">
            <v>12</v>
          </cell>
          <cell r="F1723" t="str">
            <v/>
          </cell>
          <cell r="G1723" t="str">
            <v/>
          </cell>
          <cell r="H1723">
            <v>180</v>
          </cell>
        </row>
        <row r="1724">
          <cell r="B1724" t="str">
            <v>3711CCA22</v>
          </cell>
          <cell r="D1724">
            <v>5643.6099999999969</v>
          </cell>
          <cell r="E1724">
            <v>29159.429000000007</v>
          </cell>
          <cell r="F1724" t="str">
            <v>-40394.94</v>
          </cell>
          <cell r="G1724" t="str">
            <v>161121.20</v>
          </cell>
          <cell r="I1724" t="str">
            <v>S</v>
          </cell>
          <cell r="K1724" t="str">
            <v>Rígida</v>
          </cell>
          <cell r="L1724" t="str">
            <v>C859-A</v>
          </cell>
          <cell r="Q1724">
            <v>3.8</v>
          </cell>
          <cell r="S1724" t="str">
            <v>+20</v>
          </cell>
        </row>
        <row r="1725">
          <cell r="C1725">
            <v>12</v>
          </cell>
          <cell r="F1725" t="str">
            <v/>
          </cell>
          <cell r="G1725" t="str">
            <v/>
          </cell>
          <cell r="H1725">
            <v>180</v>
          </cell>
        </row>
        <row r="1726">
          <cell r="B1726" t="str">
            <v>3711CCA24</v>
          </cell>
          <cell r="D1726">
            <v>5655.6099999999969</v>
          </cell>
          <cell r="E1726">
            <v>29147.429000000007</v>
          </cell>
          <cell r="F1726" t="str">
            <v>-40387.02</v>
          </cell>
          <cell r="G1726" t="str">
            <v>161112.19</v>
          </cell>
          <cell r="I1726" t="str">
            <v>S</v>
          </cell>
          <cell r="K1726" t="str">
            <v>Rígida</v>
          </cell>
          <cell r="L1726" t="str">
            <v>C859-A</v>
          </cell>
          <cell r="Q1726">
            <v>3.8</v>
          </cell>
          <cell r="S1726" t="str">
            <v>+12</v>
          </cell>
        </row>
        <row r="1727">
          <cell r="C1727">
            <v>12</v>
          </cell>
          <cell r="F1727" t="str">
            <v/>
          </cell>
          <cell r="G1727" t="str">
            <v/>
          </cell>
          <cell r="H1727">
            <v>180</v>
          </cell>
        </row>
        <row r="1728">
          <cell r="B1728" t="str">
            <v>3711CCA26</v>
          </cell>
          <cell r="D1728">
            <v>5667.6099999999969</v>
          </cell>
          <cell r="E1728">
            <v>29135.429000000007</v>
          </cell>
          <cell r="F1728" t="str">
            <v>-40378.51</v>
          </cell>
          <cell r="G1728" t="str">
            <v>161103.72</v>
          </cell>
          <cell r="I1728" t="str">
            <v>S</v>
          </cell>
          <cell r="K1728" t="str">
            <v>Rígida</v>
          </cell>
          <cell r="L1728" t="str">
            <v>C859-A</v>
          </cell>
          <cell r="Q1728">
            <v>3.8</v>
          </cell>
          <cell r="S1728" t="str">
            <v>+4</v>
          </cell>
        </row>
        <row r="1729">
          <cell r="C1729">
            <v>12</v>
          </cell>
          <cell r="F1729" t="str">
            <v/>
          </cell>
          <cell r="G1729" t="str">
            <v/>
          </cell>
          <cell r="H1729">
            <v>180</v>
          </cell>
        </row>
        <row r="1730">
          <cell r="B1730" t="str">
            <v>3711CCA28</v>
          </cell>
          <cell r="D1730">
            <v>5679.6099999999969</v>
          </cell>
          <cell r="E1730">
            <v>29123.429000000007</v>
          </cell>
          <cell r="F1730" t="str">
            <v>-40369.46</v>
          </cell>
          <cell r="G1730" t="str">
            <v>161095.83</v>
          </cell>
          <cell r="I1730" t="str">
            <v>S</v>
          </cell>
          <cell r="K1730" t="str">
            <v>Rígida</v>
          </cell>
          <cell r="L1730" t="str">
            <v>C859-A</v>
          </cell>
          <cell r="Q1730">
            <v>3.8</v>
          </cell>
          <cell r="S1730">
            <v>-4</v>
          </cell>
        </row>
        <row r="1731">
          <cell r="C1731">
            <v>12</v>
          </cell>
          <cell r="F1731" t="str">
            <v/>
          </cell>
          <cell r="G1731" t="str">
            <v/>
          </cell>
          <cell r="H1731" t="str">
            <v>Clo</v>
          </cell>
        </row>
        <row r="1732">
          <cell r="B1732" t="str">
            <v>3711CCA30</v>
          </cell>
          <cell r="D1732">
            <v>5691.6099999999969</v>
          </cell>
          <cell r="E1732">
            <v>29111.429000000007</v>
          </cell>
          <cell r="F1732" t="str">
            <v>-40359.93</v>
          </cell>
          <cell r="G1732" t="str">
            <v>161088.55</v>
          </cell>
          <cell r="I1732" t="str">
            <v>S</v>
          </cell>
          <cell r="K1732" t="str">
            <v>Rígida</v>
          </cell>
          <cell r="L1732" t="str">
            <v>C859-A</v>
          </cell>
          <cell r="Q1732">
            <v>3.8</v>
          </cell>
          <cell r="S1732">
            <v>-12</v>
          </cell>
        </row>
        <row r="1733">
          <cell r="C1733">
            <v>11</v>
          </cell>
          <cell r="F1733" t="str">
            <v/>
          </cell>
          <cell r="G1733" t="str">
            <v/>
          </cell>
          <cell r="H1733" t="str">
            <v>Clo</v>
          </cell>
        </row>
        <row r="1734">
          <cell r="B1734" t="str">
            <v>3711CCA32</v>
          </cell>
          <cell r="D1734">
            <v>5702.6099999999969</v>
          </cell>
          <cell r="E1734">
            <v>29100.429000000007</v>
          </cell>
          <cell r="F1734" t="str">
            <v>-40350.93</v>
          </cell>
          <cell r="G1734" t="str">
            <v>161082.23</v>
          </cell>
          <cell r="I1734" t="str">
            <v>S</v>
          </cell>
          <cell r="K1734" t="str">
            <v>Rígida</v>
          </cell>
          <cell r="L1734" t="str">
            <v>C859-A</v>
          </cell>
          <cell r="Q1734">
            <v>3.8</v>
          </cell>
          <cell r="S1734">
            <v>-20</v>
          </cell>
        </row>
        <row r="1735">
          <cell r="C1735">
            <v>12</v>
          </cell>
          <cell r="F1735" t="str">
            <v/>
          </cell>
          <cell r="G1735" t="str">
            <v/>
          </cell>
          <cell r="H1735" t="str">
            <v>Clo</v>
          </cell>
        </row>
        <row r="1736">
          <cell r="B1736" t="str">
            <v>3711CCA34</v>
          </cell>
          <cell r="D1736">
            <v>5714.7099999999973</v>
          </cell>
          <cell r="E1736">
            <v>29088.429000000007</v>
          </cell>
          <cell r="F1736" t="str">
            <v>-40341.01</v>
          </cell>
          <cell r="G1736" t="str">
            <v>161075.47</v>
          </cell>
          <cell r="I1736" t="str">
            <v>S</v>
          </cell>
          <cell r="K1736" t="str">
            <v>Rígida</v>
          </cell>
          <cell r="L1736" t="str">
            <v>C859-A</v>
          </cell>
          <cell r="Q1736">
            <v>3.8</v>
          </cell>
          <cell r="S1736">
            <v>-12</v>
          </cell>
        </row>
        <row r="1737">
          <cell r="C1737">
            <v>12</v>
          </cell>
          <cell r="F1737" t="str">
            <v/>
          </cell>
          <cell r="G1737" t="str">
            <v/>
          </cell>
        </row>
        <row r="1738">
          <cell r="B1738" t="str">
            <v>3711CCA36</v>
          </cell>
          <cell r="D1738">
            <v>5726.7099999999973</v>
          </cell>
          <cell r="E1738">
            <v>29076.429000000007</v>
          </cell>
          <cell r="F1738" t="str">
            <v>-40331.10</v>
          </cell>
          <cell r="G1738" t="str">
            <v>161068.71</v>
          </cell>
          <cell r="I1738" t="str">
            <v>SE</v>
          </cell>
          <cell r="K1738" t="str">
            <v>Rígida</v>
          </cell>
          <cell r="L1738" t="str">
            <v>C860-A</v>
          </cell>
          <cell r="Q1738">
            <v>3.8</v>
          </cell>
          <cell r="S1738" t="str">
            <v>+12</v>
          </cell>
          <cell r="T1738">
            <v>-20</v>
          </cell>
          <cell r="U1738" t="str">
            <v>Cantón 392,6 m</v>
          </cell>
        </row>
        <row r="1739">
          <cell r="C1739">
            <v>12</v>
          </cell>
          <cell r="F1739" t="str">
            <v/>
          </cell>
          <cell r="G1739" t="str">
            <v/>
          </cell>
          <cell r="U1739" t="str">
            <v>Seccionamento</v>
          </cell>
        </row>
        <row r="1740">
          <cell r="B1740" t="str">
            <v>3711CCA38</v>
          </cell>
          <cell r="D1740">
            <v>5738.7099999999973</v>
          </cell>
          <cell r="E1740">
            <v>29064.429000000007</v>
          </cell>
          <cell r="F1740" t="str">
            <v>-40325.97</v>
          </cell>
          <cell r="G1740" t="str">
            <v>161065.22</v>
          </cell>
          <cell r="I1740" t="str">
            <v>SE</v>
          </cell>
          <cell r="K1740" t="str">
            <v>Rígida</v>
          </cell>
          <cell r="L1740" t="str">
            <v>C860-A</v>
          </cell>
          <cell r="Q1740">
            <v>3.8</v>
          </cell>
          <cell r="S1740" t="str">
            <v>+20</v>
          </cell>
          <cell r="T1740">
            <v>-12</v>
          </cell>
          <cell r="U1740" t="str">
            <v>Cantón 360,4 m</v>
          </cell>
          <cell r="V1740" t="str">
            <v>Caix. Secc. e Con.</v>
          </cell>
          <cell r="W1740" t="str">
            <v>Caix. Imped.</v>
          </cell>
          <cell r="X1740" t="str">
            <v>FA</v>
          </cell>
        </row>
        <row r="1741">
          <cell r="C1741">
            <v>6.2</v>
          </cell>
          <cell r="F1741" t="str">
            <v/>
          </cell>
          <cell r="G1741" t="str">
            <v/>
          </cell>
        </row>
        <row r="1742">
          <cell r="B1742" t="str">
            <v>3711CCA40</v>
          </cell>
          <cell r="D1742">
            <v>5744.9099999999971</v>
          </cell>
          <cell r="E1742">
            <v>29058.229000000007</v>
          </cell>
          <cell r="F1742" t="str">
            <v>-40316.06</v>
          </cell>
          <cell r="G1742" t="str">
            <v>161058.46</v>
          </cell>
          <cell r="I1742" t="str">
            <v>S</v>
          </cell>
          <cell r="K1742" t="str">
            <v>Rígida</v>
          </cell>
          <cell r="L1742" t="str">
            <v>C859-A</v>
          </cell>
          <cell r="Q1742">
            <v>3.8</v>
          </cell>
          <cell r="S1742" t="str">
            <v>+12</v>
          </cell>
        </row>
        <row r="1743">
          <cell r="C1743">
            <v>12</v>
          </cell>
          <cell r="F1743" t="str">
            <v/>
          </cell>
          <cell r="G1743" t="str">
            <v/>
          </cell>
        </row>
        <row r="1744">
          <cell r="B1744" t="str">
            <v>3711CCA42</v>
          </cell>
          <cell r="D1744">
            <v>5756.9099999999971</v>
          </cell>
          <cell r="E1744">
            <v>29046.229000000007</v>
          </cell>
          <cell r="F1744" t="str">
            <v>-40306.14</v>
          </cell>
          <cell r="G1744" t="str">
            <v>161051.70</v>
          </cell>
          <cell r="I1744" t="str">
            <v>S</v>
          </cell>
          <cell r="K1744" t="str">
            <v>Rígida</v>
          </cell>
          <cell r="L1744" t="str">
            <v>C859-A</v>
          </cell>
          <cell r="Q1744">
            <v>3.8</v>
          </cell>
          <cell r="S1744" t="str">
            <v>+4</v>
          </cell>
        </row>
        <row r="1745">
          <cell r="C1745">
            <v>12</v>
          </cell>
          <cell r="F1745" t="str">
            <v/>
          </cell>
          <cell r="G1745" t="str">
            <v/>
          </cell>
        </row>
        <row r="1746">
          <cell r="B1746" t="str">
            <v>3711CCA44</v>
          </cell>
          <cell r="D1746">
            <v>5768.9099999999971</v>
          </cell>
          <cell r="E1746">
            <v>29034.229000000007</v>
          </cell>
          <cell r="F1746" t="str">
            <v>-40296.22</v>
          </cell>
          <cell r="G1746" t="str">
            <v>161044.95</v>
          </cell>
          <cell r="I1746" t="str">
            <v>S</v>
          </cell>
          <cell r="K1746" t="str">
            <v>Rígida</v>
          </cell>
          <cell r="L1746" t="str">
            <v>C859-A</v>
          </cell>
          <cell r="Q1746">
            <v>3.8</v>
          </cell>
          <cell r="S1746">
            <v>-4</v>
          </cell>
        </row>
        <row r="1747">
          <cell r="C1747">
            <v>12</v>
          </cell>
          <cell r="F1747" t="str">
            <v/>
          </cell>
          <cell r="G1747" t="str">
            <v/>
          </cell>
        </row>
        <row r="1748">
          <cell r="B1748" t="str">
            <v>3711CCA46</v>
          </cell>
          <cell r="D1748">
            <v>5780.9099999999971</v>
          </cell>
          <cell r="E1748">
            <v>29022.229000000007</v>
          </cell>
          <cell r="F1748" t="str">
            <v>-40286.31</v>
          </cell>
          <cell r="G1748" t="str">
            <v>161038.19</v>
          </cell>
          <cell r="I1748" t="str">
            <v>S</v>
          </cell>
          <cell r="K1748" t="str">
            <v>Rígida</v>
          </cell>
          <cell r="L1748" t="str">
            <v>C859-A</v>
          </cell>
          <cell r="Q1748">
            <v>3.8</v>
          </cell>
          <cell r="S1748">
            <v>-12</v>
          </cell>
        </row>
        <row r="1749">
          <cell r="C1749">
            <v>12</v>
          </cell>
          <cell r="F1749" t="str">
            <v/>
          </cell>
          <cell r="G1749" t="str">
            <v/>
          </cell>
        </row>
        <row r="1750">
          <cell r="B1750" t="str">
            <v>3711CCA48</v>
          </cell>
          <cell r="D1750">
            <v>5792.9099999999971</v>
          </cell>
          <cell r="E1750">
            <v>29010.229000000007</v>
          </cell>
          <cell r="F1750" t="str">
            <v>-40276.39</v>
          </cell>
          <cell r="G1750" t="str">
            <v>161031.43</v>
          </cell>
          <cell r="I1750" t="str">
            <v>S</v>
          </cell>
          <cell r="K1750" t="str">
            <v>Rígida</v>
          </cell>
          <cell r="L1750" t="str">
            <v>C859-A</v>
          </cell>
          <cell r="Q1750">
            <v>3.8</v>
          </cell>
          <cell r="S1750">
            <v>-20</v>
          </cell>
        </row>
        <row r="1751">
          <cell r="C1751">
            <v>12</v>
          </cell>
          <cell r="F1751" t="str">
            <v/>
          </cell>
          <cell r="G1751" t="str">
            <v/>
          </cell>
        </row>
        <row r="1752">
          <cell r="B1752" t="str">
            <v>3711CCA50</v>
          </cell>
          <cell r="D1752">
            <v>5804.9099999999971</v>
          </cell>
          <cell r="E1752">
            <v>28998.229000000007</v>
          </cell>
          <cell r="F1752" t="str">
            <v>-40266.47</v>
          </cell>
          <cell r="G1752" t="str">
            <v>161024.68</v>
          </cell>
          <cell r="I1752" t="str">
            <v>S</v>
          </cell>
          <cell r="K1752" t="str">
            <v>Rígida</v>
          </cell>
          <cell r="L1752" t="str">
            <v>C859-A</v>
          </cell>
          <cell r="Q1752">
            <v>3.8</v>
          </cell>
          <cell r="S1752">
            <v>-12</v>
          </cell>
        </row>
        <row r="1753">
          <cell r="C1753">
            <v>12</v>
          </cell>
          <cell r="F1753" t="str">
            <v/>
          </cell>
          <cell r="G1753" t="str">
            <v/>
          </cell>
        </row>
        <row r="1754">
          <cell r="B1754" t="str">
            <v>3711CCA52</v>
          </cell>
          <cell r="D1754">
            <v>5816.9099999999971</v>
          </cell>
          <cell r="E1754">
            <v>28986.229000000007</v>
          </cell>
          <cell r="F1754" t="str">
            <v>-40256.56</v>
          </cell>
          <cell r="G1754" t="str">
            <v>161017.92</v>
          </cell>
          <cell r="I1754" t="str">
            <v>S</v>
          </cell>
          <cell r="K1754" t="str">
            <v>Rígida</v>
          </cell>
          <cell r="L1754" t="str">
            <v>C859-A</v>
          </cell>
          <cell r="Q1754">
            <v>3.8</v>
          </cell>
          <cell r="S1754">
            <v>-4</v>
          </cell>
        </row>
        <row r="1755">
          <cell r="C1755">
            <v>12</v>
          </cell>
          <cell r="F1755" t="str">
            <v/>
          </cell>
          <cell r="G1755" t="str">
            <v/>
          </cell>
        </row>
        <row r="1756">
          <cell r="B1756" t="str">
            <v>3711CCA54</v>
          </cell>
          <cell r="D1756">
            <v>5828.9099999999971</v>
          </cell>
          <cell r="E1756">
            <v>28974.229000000007</v>
          </cell>
          <cell r="F1756" t="str">
            <v>-40246.64</v>
          </cell>
          <cell r="G1756" t="str">
            <v>161011.16</v>
          </cell>
          <cell r="I1756" t="str">
            <v>S</v>
          </cell>
          <cell r="K1756" t="str">
            <v>Rígida</v>
          </cell>
          <cell r="L1756" t="str">
            <v>C859-A</v>
          </cell>
          <cell r="Q1756">
            <v>3.8</v>
          </cell>
          <cell r="S1756" t="str">
            <v>+4</v>
          </cell>
        </row>
        <row r="1757">
          <cell r="C1757">
            <v>12</v>
          </cell>
          <cell r="F1757" t="str">
            <v/>
          </cell>
          <cell r="G1757" t="str">
            <v/>
          </cell>
        </row>
        <row r="1758">
          <cell r="B1758" t="str">
            <v>3711CCA56</v>
          </cell>
          <cell r="D1758">
            <v>5840.9099999999971</v>
          </cell>
          <cell r="E1758">
            <v>28962.229000000007</v>
          </cell>
          <cell r="F1758" t="str">
            <v>-40236.72</v>
          </cell>
          <cell r="G1758" t="str">
            <v>161004.40</v>
          </cell>
          <cell r="I1758" t="str">
            <v>S</v>
          </cell>
          <cell r="K1758" t="str">
            <v>Rígida</v>
          </cell>
          <cell r="L1758" t="str">
            <v>C859-A</v>
          </cell>
          <cell r="Q1758">
            <v>3.8</v>
          </cell>
          <cell r="S1758" t="str">
            <v>+12</v>
          </cell>
        </row>
        <row r="1759">
          <cell r="C1759">
            <v>12</v>
          </cell>
          <cell r="F1759" t="str">
            <v/>
          </cell>
          <cell r="G1759" t="str">
            <v/>
          </cell>
        </row>
        <row r="1760">
          <cell r="B1760" t="str">
            <v>3711CCA58</v>
          </cell>
          <cell r="D1760">
            <v>5852.9099999999971</v>
          </cell>
          <cell r="E1760">
            <v>28950.229000000007</v>
          </cell>
          <cell r="F1760" t="str">
            <v>-40226.81</v>
          </cell>
          <cell r="G1760" t="str">
            <v>160997.64</v>
          </cell>
          <cell r="I1760" t="str">
            <v>S</v>
          </cell>
          <cell r="K1760" t="str">
            <v>Rígida</v>
          </cell>
          <cell r="L1760" t="str">
            <v>C859-A</v>
          </cell>
          <cell r="Q1760">
            <v>3.8</v>
          </cell>
          <cell r="S1760" t="str">
            <v>+20</v>
          </cell>
        </row>
        <row r="1761">
          <cell r="C1761">
            <v>12</v>
          </cell>
          <cell r="F1761" t="str">
            <v/>
          </cell>
          <cell r="G1761" t="str">
            <v/>
          </cell>
        </row>
        <row r="1762">
          <cell r="B1762" t="str">
            <v>3711CCA60</v>
          </cell>
          <cell r="D1762">
            <v>5864.9099999999971</v>
          </cell>
          <cell r="E1762">
            <v>28938.229000000007</v>
          </cell>
          <cell r="F1762" t="str">
            <v>-40216.89</v>
          </cell>
          <cell r="G1762" t="str">
            <v>160990.89</v>
          </cell>
          <cell r="I1762" t="str">
            <v>S</v>
          </cell>
          <cell r="K1762" t="str">
            <v>Rígida</v>
          </cell>
          <cell r="L1762" t="str">
            <v>C859-A</v>
          </cell>
          <cell r="Q1762">
            <v>3.8</v>
          </cell>
          <cell r="S1762" t="str">
            <v>+12</v>
          </cell>
        </row>
        <row r="1763">
          <cell r="C1763">
            <v>12</v>
          </cell>
          <cell r="F1763" t="str">
            <v/>
          </cell>
          <cell r="G1763" t="str">
            <v/>
          </cell>
        </row>
        <row r="1764">
          <cell r="B1764" t="str">
            <v>3711CCA62</v>
          </cell>
          <cell r="D1764">
            <v>5876.9099999999971</v>
          </cell>
          <cell r="E1764">
            <v>28926.229000000007</v>
          </cell>
          <cell r="F1764" t="str">
            <v>-40206.98</v>
          </cell>
          <cell r="G1764" t="str">
            <v>160984.13</v>
          </cell>
          <cell r="I1764" t="str">
            <v>S</v>
          </cell>
          <cell r="K1764" t="str">
            <v>Rígida</v>
          </cell>
          <cell r="L1764" t="str">
            <v>C859-A</v>
          </cell>
          <cell r="Q1764">
            <v>3.8</v>
          </cell>
          <cell r="S1764" t="str">
            <v>+4</v>
          </cell>
        </row>
        <row r="1765">
          <cell r="C1765">
            <v>12</v>
          </cell>
          <cell r="F1765" t="str">
            <v/>
          </cell>
          <cell r="G1765" t="str">
            <v/>
          </cell>
        </row>
        <row r="1766">
          <cell r="B1766" t="str">
            <v>3711CCA64</v>
          </cell>
          <cell r="D1766">
            <v>5888.9099999999971</v>
          </cell>
          <cell r="E1766">
            <v>28914.229000000007</v>
          </cell>
          <cell r="F1766" t="str">
            <v>-40197.06</v>
          </cell>
          <cell r="G1766" t="str">
            <v>160977.38</v>
          </cell>
          <cell r="I1766" t="str">
            <v>S</v>
          </cell>
          <cell r="K1766" t="str">
            <v>Rígida</v>
          </cell>
          <cell r="L1766" t="str">
            <v>C859-A</v>
          </cell>
          <cell r="Q1766">
            <v>3.8</v>
          </cell>
          <cell r="S1766">
            <v>-4</v>
          </cell>
        </row>
        <row r="1767">
          <cell r="C1767">
            <v>12</v>
          </cell>
          <cell r="F1767" t="str">
            <v/>
          </cell>
          <cell r="G1767" t="str">
            <v/>
          </cell>
        </row>
        <row r="1768">
          <cell r="B1768" t="str">
            <v>3711CCA66</v>
          </cell>
          <cell r="D1768">
            <v>5900.9099999999971</v>
          </cell>
          <cell r="E1768">
            <v>28902.229000000007</v>
          </cell>
          <cell r="F1768" t="str">
            <v>-40187.14</v>
          </cell>
          <cell r="G1768" t="str">
            <v>160970.62</v>
          </cell>
          <cell r="I1768" t="str">
            <v>S</v>
          </cell>
          <cell r="K1768" t="str">
            <v>Rígida</v>
          </cell>
          <cell r="L1768" t="str">
            <v>C859-A</v>
          </cell>
          <cell r="Q1768">
            <v>3.8</v>
          </cell>
          <cell r="S1768">
            <v>-12</v>
          </cell>
        </row>
        <row r="1769">
          <cell r="C1769">
            <v>12</v>
          </cell>
          <cell r="F1769" t="str">
            <v/>
          </cell>
          <cell r="G1769" t="str">
            <v/>
          </cell>
        </row>
        <row r="1770">
          <cell r="B1770" t="str">
            <v>3711CCA68</v>
          </cell>
          <cell r="D1770">
            <v>5912.9099999999971</v>
          </cell>
          <cell r="E1770">
            <v>28890.229000000007</v>
          </cell>
          <cell r="F1770" t="str">
            <v>-40177.22</v>
          </cell>
          <cell r="G1770" t="str">
            <v>160963.86</v>
          </cell>
          <cell r="I1770" t="str">
            <v>PF</v>
          </cell>
          <cell r="K1770" t="str">
            <v>Rígida</v>
          </cell>
          <cell r="L1770" t="str">
            <v>C863-A</v>
          </cell>
          <cell r="Q1770">
            <v>3.8</v>
          </cell>
          <cell r="S1770">
            <v>-20</v>
          </cell>
        </row>
        <row r="1771">
          <cell r="C1771">
            <v>12</v>
          </cell>
          <cell r="F1771" t="str">
            <v/>
          </cell>
          <cell r="G1771" t="str">
            <v/>
          </cell>
        </row>
        <row r="1772">
          <cell r="B1772" t="str">
            <v>3711CCA70</v>
          </cell>
          <cell r="D1772">
            <v>5924.9099999999971</v>
          </cell>
          <cell r="E1772">
            <v>28878.229000000007</v>
          </cell>
          <cell r="F1772" t="str">
            <v>-40167.31</v>
          </cell>
          <cell r="G1772" t="str">
            <v>160957.11</v>
          </cell>
          <cell r="I1772" t="str">
            <v>S</v>
          </cell>
          <cell r="K1772" t="str">
            <v>Rígida</v>
          </cell>
          <cell r="L1772" t="str">
            <v>C859-A</v>
          </cell>
          <cell r="Q1772">
            <v>3.8</v>
          </cell>
          <cell r="S1772">
            <v>-12</v>
          </cell>
        </row>
        <row r="1773">
          <cell r="C1773">
            <v>12</v>
          </cell>
          <cell r="F1773" t="str">
            <v/>
          </cell>
          <cell r="G1773" t="str">
            <v/>
          </cell>
        </row>
        <row r="1774">
          <cell r="B1774" t="str">
            <v>3711CCA72</v>
          </cell>
          <cell r="D1774">
            <v>5936.9099999999971</v>
          </cell>
          <cell r="E1774">
            <v>28866.229000000007</v>
          </cell>
          <cell r="F1774" t="str">
            <v>-40157.39</v>
          </cell>
          <cell r="G1774" t="str">
            <v>160950.35</v>
          </cell>
          <cell r="I1774" t="str">
            <v>S</v>
          </cell>
          <cell r="K1774" t="str">
            <v>Rígida</v>
          </cell>
          <cell r="L1774" t="str">
            <v>C859-A</v>
          </cell>
          <cell r="Q1774">
            <v>3.8</v>
          </cell>
          <cell r="S1774">
            <v>-4</v>
          </cell>
        </row>
        <row r="1775">
          <cell r="C1775">
            <v>12</v>
          </cell>
          <cell r="F1775" t="str">
            <v/>
          </cell>
          <cell r="G1775" t="str">
            <v/>
          </cell>
          <cell r="H1775" t="str">
            <v>Clo</v>
          </cell>
        </row>
        <row r="1776">
          <cell r="B1776" t="str">
            <v>3711CCA74</v>
          </cell>
          <cell r="D1776">
            <v>5948.9099999999971</v>
          </cell>
          <cell r="E1776">
            <v>28854.229000000007</v>
          </cell>
          <cell r="F1776" t="str">
            <v>-40147.46</v>
          </cell>
          <cell r="G1776" t="str">
            <v>160943.58</v>
          </cell>
          <cell r="I1776" t="str">
            <v>S</v>
          </cell>
          <cell r="K1776" t="str">
            <v>Rígida</v>
          </cell>
          <cell r="L1776" t="str">
            <v>C859-A</v>
          </cell>
          <cell r="Q1776">
            <v>3.8</v>
          </cell>
          <cell r="S1776" t="str">
            <v>+4</v>
          </cell>
        </row>
        <row r="1777">
          <cell r="C1777">
            <v>12</v>
          </cell>
          <cell r="F1777" t="str">
            <v/>
          </cell>
          <cell r="G1777" t="str">
            <v/>
          </cell>
          <cell r="H1777" t="str">
            <v>Clo</v>
          </cell>
        </row>
        <row r="1778">
          <cell r="B1778" t="str">
            <v>3711CCA76</v>
          </cell>
          <cell r="D1778">
            <v>5960.9099999999971</v>
          </cell>
          <cell r="E1778">
            <v>28842.229000000007</v>
          </cell>
          <cell r="F1778" t="str">
            <v>-40137.62</v>
          </cell>
          <cell r="G1778" t="str">
            <v>160936.71</v>
          </cell>
          <cell r="I1778" t="str">
            <v>S</v>
          </cell>
          <cell r="K1778" t="str">
            <v>Rígida</v>
          </cell>
          <cell r="L1778" t="str">
            <v>C859-A</v>
          </cell>
          <cell r="Q1778">
            <v>3.8</v>
          </cell>
          <cell r="S1778" t="str">
            <v>+12</v>
          </cell>
        </row>
        <row r="1779">
          <cell r="C1779">
            <v>12</v>
          </cell>
          <cell r="F1779" t="str">
            <v/>
          </cell>
          <cell r="G1779" t="str">
            <v/>
          </cell>
          <cell r="H1779" t="str">
            <v>Clo</v>
          </cell>
        </row>
        <row r="1780">
          <cell r="B1780" t="str">
            <v>3711CCA78</v>
          </cell>
          <cell r="D1780">
            <v>5972.9099999999971</v>
          </cell>
          <cell r="E1780">
            <v>28830.229000000007</v>
          </cell>
          <cell r="F1780" t="str">
            <v>-40127.90</v>
          </cell>
          <cell r="G1780" t="str">
            <v>160929.68</v>
          </cell>
          <cell r="I1780" t="str">
            <v>S</v>
          </cell>
          <cell r="K1780" t="str">
            <v>Rígida</v>
          </cell>
          <cell r="L1780" t="str">
            <v>C859-A</v>
          </cell>
          <cell r="Q1780">
            <v>3.8</v>
          </cell>
          <cell r="S1780" t="str">
            <v>+20</v>
          </cell>
        </row>
        <row r="1781">
          <cell r="C1781">
            <v>12</v>
          </cell>
          <cell r="F1781" t="str">
            <v/>
          </cell>
          <cell r="G1781" t="str">
            <v/>
          </cell>
          <cell r="H1781">
            <v>-500</v>
          </cell>
        </row>
        <row r="1782">
          <cell r="B1782" t="str">
            <v>3711CCA80</v>
          </cell>
          <cell r="D1782">
            <v>5984.9099999999971</v>
          </cell>
          <cell r="E1782">
            <v>28818.229000000007</v>
          </cell>
          <cell r="F1782" t="str">
            <v>-40118.35</v>
          </cell>
          <cell r="G1782" t="str">
            <v>160922.41</v>
          </cell>
          <cell r="I1782" t="str">
            <v>S</v>
          </cell>
          <cell r="K1782" t="str">
            <v>Rígida</v>
          </cell>
          <cell r="L1782" t="str">
            <v>C859-A</v>
          </cell>
          <cell r="Q1782">
            <v>3.8</v>
          </cell>
          <cell r="S1782" t="str">
            <v>+12</v>
          </cell>
        </row>
        <row r="1783">
          <cell r="C1783">
            <v>12</v>
          </cell>
          <cell r="F1783" t="str">
            <v/>
          </cell>
          <cell r="G1783" t="str">
            <v/>
          </cell>
          <cell r="H1783">
            <v>-500</v>
          </cell>
        </row>
        <row r="1784">
          <cell r="B1784" t="str">
            <v>3711CCA82</v>
          </cell>
          <cell r="D1784">
            <v>5996.9099999999971</v>
          </cell>
          <cell r="E1784">
            <v>28806.229000000007</v>
          </cell>
          <cell r="F1784" t="str">
            <v>-40108.97</v>
          </cell>
          <cell r="G1784" t="str">
            <v>160914.92</v>
          </cell>
          <cell r="I1784" t="str">
            <v>S</v>
          </cell>
          <cell r="K1784" t="str">
            <v>Rígida</v>
          </cell>
          <cell r="L1784" t="str">
            <v>C859-A</v>
          </cell>
          <cell r="Q1784">
            <v>3.8</v>
          </cell>
          <cell r="S1784" t="str">
            <v>+4</v>
          </cell>
        </row>
        <row r="1785">
          <cell r="C1785">
            <v>12</v>
          </cell>
          <cell r="F1785" t="str">
            <v/>
          </cell>
          <cell r="G1785" t="str">
            <v/>
          </cell>
          <cell r="H1785">
            <v>-500</v>
          </cell>
        </row>
        <row r="1786">
          <cell r="B1786" t="str">
            <v>3711CCA84</v>
          </cell>
          <cell r="D1786">
            <v>6008.9099999999971</v>
          </cell>
          <cell r="E1786">
            <v>28794.229000000007</v>
          </cell>
          <cell r="F1786" t="str">
            <v>-40099.78</v>
          </cell>
          <cell r="G1786" t="str">
            <v>160907.21</v>
          </cell>
          <cell r="I1786" t="str">
            <v>S</v>
          </cell>
          <cell r="K1786" t="str">
            <v>Rígida</v>
          </cell>
          <cell r="L1786" t="str">
            <v>C859-A</v>
          </cell>
          <cell r="Q1786">
            <v>3.8</v>
          </cell>
          <cell r="S1786">
            <v>-4</v>
          </cell>
        </row>
        <row r="1787">
          <cell r="C1787">
            <v>12</v>
          </cell>
          <cell r="F1787" t="str">
            <v/>
          </cell>
          <cell r="G1787" t="str">
            <v/>
          </cell>
          <cell r="H1787">
            <v>-500</v>
          </cell>
        </row>
        <row r="1788">
          <cell r="B1788" t="str">
            <v>3711CCA86</v>
          </cell>
          <cell r="D1788">
            <v>6020.9099999999971</v>
          </cell>
          <cell r="E1788">
            <v>28782.229000000007</v>
          </cell>
          <cell r="F1788" t="str">
            <v>-40090.78</v>
          </cell>
          <cell r="G1788" t="str">
            <v>160899.27</v>
          </cell>
          <cell r="I1788" t="str">
            <v>S</v>
          </cell>
          <cell r="K1788" t="str">
            <v>Rígida</v>
          </cell>
          <cell r="L1788" t="str">
            <v>C859-A</v>
          </cell>
          <cell r="Q1788">
            <v>3.8</v>
          </cell>
          <cell r="S1788">
            <v>-12</v>
          </cell>
        </row>
        <row r="1789">
          <cell r="C1789">
            <v>12</v>
          </cell>
          <cell r="F1789" t="str">
            <v/>
          </cell>
          <cell r="G1789" t="str">
            <v/>
          </cell>
          <cell r="H1789">
            <v>-500</v>
          </cell>
        </row>
        <row r="1790">
          <cell r="B1790" t="str">
            <v>3711CCA88</v>
          </cell>
          <cell r="D1790">
            <v>6032.9099999999971</v>
          </cell>
          <cell r="E1790">
            <v>28770.229000000007</v>
          </cell>
          <cell r="F1790" t="str">
            <v>-40081.97</v>
          </cell>
          <cell r="G1790" t="str">
            <v>160891.12</v>
          </cell>
          <cell r="I1790" t="str">
            <v>S</v>
          </cell>
          <cell r="K1790" t="str">
            <v>Rígida</v>
          </cell>
          <cell r="L1790" t="str">
            <v>C859-A</v>
          </cell>
          <cell r="Q1790">
            <v>3.8</v>
          </cell>
          <cell r="S1790">
            <v>-20</v>
          </cell>
        </row>
        <row r="1791">
          <cell r="C1791">
            <v>12</v>
          </cell>
          <cell r="F1791" t="str">
            <v/>
          </cell>
          <cell r="G1791" t="str">
            <v/>
          </cell>
          <cell r="H1791">
            <v>-500</v>
          </cell>
        </row>
        <row r="1792">
          <cell r="B1792" t="str">
            <v>3711CCA90</v>
          </cell>
          <cell r="D1792">
            <v>6044.9099999999971</v>
          </cell>
          <cell r="E1792">
            <v>28758.229000000007</v>
          </cell>
          <cell r="F1792" t="str">
            <v>-40073.36</v>
          </cell>
          <cell r="G1792" t="str">
            <v>160882.76</v>
          </cell>
          <cell r="I1792" t="str">
            <v>S</v>
          </cell>
          <cell r="K1792" t="str">
            <v>Rígida</v>
          </cell>
          <cell r="L1792" t="str">
            <v>C859-A</v>
          </cell>
          <cell r="Q1792">
            <v>3.8</v>
          </cell>
          <cell r="S1792">
            <v>-12</v>
          </cell>
        </row>
        <row r="1793">
          <cell r="C1793">
            <v>12</v>
          </cell>
          <cell r="F1793" t="str">
            <v/>
          </cell>
          <cell r="G1793" t="str">
            <v/>
          </cell>
          <cell r="H1793" t="str">
            <v>Clo</v>
          </cell>
        </row>
        <row r="1794">
          <cell r="B1794" t="str">
            <v>3711CCA92</v>
          </cell>
          <cell r="D1794">
            <v>6056.9099999999971</v>
          </cell>
          <cell r="E1794">
            <v>28746.229000000007</v>
          </cell>
          <cell r="F1794" t="str">
            <v>-40064.91</v>
          </cell>
          <cell r="G1794" t="str">
            <v>160874.24</v>
          </cell>
          <cell r="I1794" t="str">
            <v>S</v>
          </cell>
          <cell r="K1794" t="str">
            <v>Rígida</v>
          </cell>
          <cell r="L1794" t="str">
            <v>C859-A</v>
          </cell>
          <cell r="Q1794">
            <v>3.8</v>
          </cell>
          <cell r="S1794">
            <v>-4</v>
          </cell>
        </row>
        <row r="1795">
          <cell r="C1795">
            <v>12</v>
          </cell>
          <cell r="F1795" t="str">
            <v/>
          </cell>
          <cell r="G1795" t="str">
            <v/>
          </cell>
          <cell r="H1795" t="str">
            <v>Clo</v>
          </cell>
        </row>
        <row r="1796">
          <cell r="B1796" t="str">
            <v>3711CCA94</v>
          </cell>
          <cell r="D1796">
            <v>6068.9099999999971</v>
          </cell>
          <cell r="E1796">
            <v>28734.229000000007</v>
          </cell>
          <cell r="F1796" t="str">
            <v>-40056.55</v>
          </cell>
          <cell r="G1796" t="str">
            <v>160865.63</v>
          </cell>
          <cell r="I1796" t="str">
            <v>S</v>
          </cell>
          <cell r="K1796" t="str">
            <v>Rígida</v>
          </cell>
          <cell r="L1796" t="str">
            <v>C859-A</v>
          </cell>
          <cell r="Q1796">
            <v>3.8</v>
          </cell>
          <cell r="S1796" t="str">
            <v>+4</v>
          </cell>
        </row>
        <row r="1797">
          <cell r="C1797">
            <v>12</v>
          </cell>
          <cell r="F1797" t="str">
            <v/>
          </cell>
          <cell r="G1797" t="str">
            <v/>
          </cell>
        </row>
        <row r="1798">
          <cell r="B1798" t="str">
            <v>3711CCA96</v>
          </cell>
          <cell r="D1798">
            <v>6080.9099999999971</v>
          </cell>
          <cell r="E1798">
            <v>28722.229000000007</v>
          </cell>
          <cell r="F1798" t="str">
            <v>-40048.21</v>
          </cell>
          <cell r="G1798" t="str">
            <v>160857.01</v>
          </cell>
          <cell r="I1798" t="str">
            <v>S</v>
          </cell>
          <cell r="K1798" t="str">
            <v>Rígida</v>
          </cell>
          <cell r="L1798" t="str">
            <v>C859-A</v>
          </cell>
          <cell r="Q1798">
            <v>3.8</v>
          </cell>
          <cell r="S1798" t="str">
            <v>+12</v>
          </cell>
        </row>
        <row r="1799">
          <cell r="C1799">
            <v>12</v>
          </cell>
          <cell r="F1799" t="str">
            <v/>
          </cell>
          <cell r="G1799" t="str">
            <v/>
          </cell>
        </row>
        <row r="1800">
          <cell r="B1800" t="str">
            <v>3711CCA98</v>
          </cell>
          <cell r="D1800">
            <v>6092.9099999999971</v>
          </cell>
          <cell r="E1800">
            <v>28710.229000000007</v>
          </cell>
          <cell r="F1800" t="str">
            <v>-40039.86</v>
          </cell>
          <cell r="G1800" t="str">
            <v>160848.39</v>
          </cell>
          <cell r="I1800" t="str">
            <v>SE</v>
          </cell>
          <cell r="K1800" t="str">
            <v>Rígida</v>
          </cell>
          <cell r="L1800" t="str">
            <v>C860-A</v>
          </cell>
          <cell r="Q1800">
            <v>3.8</v>
          </cell>
          <cell r="S1800">
            <v>-12</v>
          </cell>
          <cell r="T1800" t="str">
            <v>+20</v>
          </cell>
          <cell r="U1800" t="str">
            <v>Cantón 360,4 m</v>
          </cell>
        </row>
        <row r="1801">
          <cell r="C1801">
            <v>6.2</v>
          </cell>
          <cell r="F1801" t="str">
            <v/>
          </cell>
          <cell r="G1801" t="str">
            <v/>
          </cell>
          <cell r="U1801" t="str">
            <v>Seccionamento</v>
          </cell>
        </row>
        <row r="1802">
          <cell r="B1802" t="str">
            <v>3711CCA100</v>
          </cell>
          <cell r="D1802">
            <v>6099.1099999999969</v>
          </cell>
          <cell r="E1802">
            <v>28704.029000000006</v>
          </cell>
          <cell r="F1802" t="str">
            <v>-40035.55</v>
          </cell>
          <cell r="G1802" t="str">
            <v>160843.93</v>
          </cell>
          <cell r="I1802" t="str">
            <v>SE</v>
          </cell>
          <cell r="K1802" t="str">
            <v>Rígida</v>
          </cell>
          <cell r="L1802" t="str">
            <v>C860-A</v>
          </cell>
          <cell r="Q1802">
            <v>3.8</v>
          </cell>
          <cell r="S1802">
            <v>-20</v>
          </cell>
          <cell r="T1802" t="str">
            <v>+12</v>
          </cell>
          <cell r="U1802" t="str">
            <v>Cantón 249,6 m</v>
          </cell>
        </row>
        <row r="1803">
          <cell r="C1803">
            <v>12</v>
          </cell>
          <cell r="F1803" t="str">
            <v/>
          </cell>
          <cell r="G1803" t="str">
            <v/>
          </cell>
          <cell r="H1803" t="str">
            <v>Clo</v>
          </cell>
        </row>
        <row r="1804">
          <cell r="B1804" t="str">
            <v>3711CCA102</v>
          </cell>
          <cell r="D1804">
            <v>6111.1099999999969</v>
          </cell>
          <cell r="E1804">
            <v>28692.029000000006</v>
          </cell>
          <cell r="F1804" t="str">
            <v>-40027.15</v>
          </cell>
          <cell r="G1804" t="str">
            <v>160835.36</v>
          </cell>
          <cell r="I1804" t="str">
            <v>S</v>
          </cell>
          <cell r="K1804" t="str">
            <v>Rígida</v>
          </cell>
          <cell r="L1804" t="str">
            <v>C859-A</v>
          </cell>
          <cell r="Q1804">
            <v>3.8</v>
          </cell>
          <cell r="S1804">
            <v>-12</v>
          </cell>
        </row>
        <row r="1805">
          <cell r="C1805">
            <v>12</v>
          </cell>
          <cell r="F1805" t="str">
            <v/>
          </cell>
          <cell r="G1805" t="str">
            <v/>
          </cell>
          <cell r="H1805" t="str">
            <v>Clo</v>
          </cell>
        </row>
        <row r="1806">
          <cell r="B1806" t="str">
            <v>3711CCA104</v>
          </cell>
          <cell r="D1806">
            <v>6123.1099999999969</v>
          </cell>
          <cell r="E1806">
            <v>28680.029000000006</v>
          </cell>
          <cell r="F1806" t="str">
            <v>-40018.36</v>
          </cell>
          <cell r="G1806" t="str">
            <v>160827.19</v>
          </cell>
          <cell r="I1806" t="str">
            <v>S</v>
          </cell>
          <cell r="K1806" t="str">
            <v>Rígida</v>
          </cell>
          <cell r="L1806" t="str">
            <v>C859-A</v>
          </cell>
          <cell r="Q1806">
            <v>3.8</v>
          </cell>
          <cell r="S1806">
            <v>-4</v>
          </cell>
        </row>
        <row r="1807">
          <cell r="C1807">
            <v>12</v>
          </cell>
          <cell r="F1807" t="str">
            <v/>
          </cell>
          <cell r="G1807" t="str">
            <v/>
          </cell>
          <cell r="H1807">
            <v>120</v>
          </cell>
        </row>
        <row r="1808">
          <cell r="B1808" t="str">
            <v>3711CCA106</v>
          </cell>
          <cell r="D1808">
            <v>6135.1099999999969</v>
          </cell>
          <cell r="E1808">
            <v>28668.029000000006</v>
          </cell>
          <cell r="F1808" t="str">
            <v>-40008.90</v>
          </cell>
          <cell r="G1808" t="str">
            <v>160819.81</v>
          </cell>
          <cell r="I1808" t="str">
            <v>S</v>
          </cell>
          <cell r="K1808" t="str">
            <v>Rígida</v>
          </cell>
          <cell r="L1808" t="str">
            <v>C859-A</v>
          </cell>
          <cell r="Q1808">
            <v>3.8</v>
          </cell>
          <cell r="S1808" t="str">
            <v>+4</v>
          </cell>
        </row>
        <row r="1809">
          <cell r="C1809">
            <v>12</v>
          </cell>
          <cell r="F1809" t="str">
            <v/>
          </cell>
          <cell r="G1809" t="str">
            <v/>
          </cell>
          <cell r="H1809">
            <v>120</v>
          </cell>
        </row>
        <row r="1810">
          <cell r="B1810" t="str">
            <v>3711CCA108</v>
          </cell>
          <cell r="D1810">
            <v>6147.1099999999969</v>
          </cell>
          <cell r="E1810">
            <v>28656.029000000006</v>
          </cell>
          <cell r="F1810" t="str">
            <v>-39998.75</v>
          </cell>
          <cell r="G1810" t="str">
            <v>160813.41</v>
          </cell>
          <cell r="I1810" t="str">
            <v>S</v>
          </cell>
          <cell r="K1810" t="str">
            <v>Rígida</v>
          </cell>
          <cell r="L1810" t="str">
            <v>C859-A</v>
          </cell>
          <cell r="Q1810">
            <v>3.8</v>
          </cell>
          <cell r="S1810" t="str">
            <v>+12</v>
          </cell>
        </row>
        <row r="1811">
          <cell r="C1811">
            <v>12</v>
          </cell>
          <cell r="F1811" t="str">
            <v/>
          </cell>
          <cell r="G1811" t="str">
            <v/>
          </cell>
          <cell r="H1811">
            <v>120</v>
          </cell>
        </row>
        <row r="1812">
          <cell r="B1812" t="str">
            <v>3711CCA110</v>
          </cell>
          <cell r="D1812">
            <v>6159.1099999999969</v>
          </cell>
          <cell r="E1812">
            <v>28644.029000000006</v>
          </cell>
          <cell r="F1812" t="str">
            <v>-39988.02</v>
          </cell>
          <cell r="G1812" t="str">
            <v>160808.03</v>
          </cell>
          <cell r="I1812" t="str">
            <v>S</v>
          </cell>
          <cell r="K1812" t="str">
            <v>Rígida</v>
          </cell>
          <cell r="L1812" t="str">
            <v>C859-A</v>
          </cell>
          <cell r="Q1812">
            <v>3.8</v>
          </cell>
          <cell r="S1812" t="str">
            <v>+20</v>
          </cell>
        </row>
        <row r="1813">
          <cell r="C1813">
            <v>12</v>
          </cell>
          <cell r="F1813" t="str">
            <v/>
          </cell>
          <cell r="G1813" t="str">
            <v/>
          </cell>
          <cell r="H1813">
            <v>120</v>
          </cell>
        </row>
        <row r="1814">
          <cell r="B1814" t="str">
            <v>3711CCA112</v>
          </cell>
          <cell r="D1814">
            <v>6171.1099999999969</v>
          </cell>
          <cell r="E1814">
            <v>28632.029000000006</v>
          </cell>
          <cell r="F1814" t="str">
            <v>-39976.81</v>
          </cell>
          <cell r="G1814" t="str">
            <v>160803.74</v>
          </cell>
          <cell r="I1814" t="str">
            <v>S</v>
          </cell>
          <cell r="K1814" t="str">
            <v>Rígida</v>
          </cell>
          <cell r="L1814" t="str">
            <v>Parafil</v>
          </cell>
          <cell r="Q1814">
            <v>3.8</v>
          </cell>
          <cell r="S1814" t="str">
            <v>+12</v>
          </cell>
        </row>
        <row r="1815">
          <cell r="C1815">
            <v>12</v>
          </cell>
          <cell r="F1815" t="str">
            <v/>
          </cell>
          <cell r="G1815" t="str">
            <v/>
          </cell>
          <cell r="H1815" t="str">
            <v>Clo</v>
          </cell>
        </row>
        <row r="1816">
          <cell r="B1816" t="str">
            <v>3711CCA114</v>
          </cell>
          <cell r="D1816">
            <v>6183.1099999999969</v>
          </cell>
          <cell r="E1816">
            <v>28620.029000000006</v>
          </cell>
          <cell r="F1816" t="str">
            <v>-39965.28</v>
          </cell>
          <cell r="G1816" t="str">
            <v>160800.44</v>
          </cell>
          <cell r="I1816" t="str">
            <v>S</v>
          </cell>
          <cell r="K1816" t="str">
            <v>Rígida</v>
          </cell>
          <cell r="L1816" t="str">
            <v>Parafil</v>
          </cell>
          <cell r="Q1816">
            <v>3.8</v>
          </cell>
          <cell r="S1816" t="str">
            <v>+4</v>
          </cell>
        </row>
        <row r="1817">
          <cell r="C1817">
            <v>11.2</v>
          </cell>
          <cell r="F1817" t="str">
            <v/>
          </cell>
          <cell r="G1817" t="str">
            <v/>
          </cell>
          <cell r="H1817" t="str">
            <v>Clo</v>
          </cell>
        </row>
        <row r="1818">
          <cell r="B1818" t="str">
            <v>3711CCA116</v>
          </cell>
          <cell r="D1818">
            <v>6194.41</v>
          </cell>
          <cell r="E1818">
            <v>28608.829000000005</v>
          </cell>
          <cell r="F1818" t="str">
            <v>-39954.36</v>
          </cell>
          <cell r="G1818" t="str">
            <v>160797.92</v>
          </cell>
          <cell r="I1818" t="str">
            <v>S</v>
          </cell>
          <cell r="K1818" t="str">
            <v>Rígida</v>
          </cell>
          <cell r="L1818" t="str">
            <v>C859-A</v>
          </cell>
          <cell r="Q1818">
            <v>3.8</v>
          </cell>
          <cell r="S1818">
            <v>-4</v>
          </cell>
        </row>
        <row r="1819">
          <cell r="C1819">
            <v>8</v>
          </cell>
          <cell r="F1819" t="str">
            <v/>
          </cell>
          <cell r="G1819" t="str">
            <v/>
          </cell>
        </row>
        <row r="1820">
          <cell r="B1820" t="str">
            <v>3711CCA118</v>
          </cell>
          <cell r="D1820">
            <v>6202.5099999999966</v>
          </cell>
          <cell r="E1820">
            <v>28600.829000000005</v>
          </cell>
          <cell r="F1820" t="str">
            <v>-39946.52</v>
          </cell>
          <cell r="G1820" t="str">
            <v>160796.24</v>
          </cell>
          <cell r="I1820" t="str">
            <v>PF</v>
          </cell>
          <cell r="K1820" t="str">
            <v>Rígida</v>
          </cell>
          <cell r="L1820" t="str">
            <v>C863-B</v>
          </cell>
          <cell r="Q1820">
            <v>3.8</v>
          </cell>
          <cell r="S1820">
            <v>-12</v>
          </cell>
        </row>
        <row r="1821">
          <cell r="C1821">
            <v>7.6</v>
          </cell>
          <cell r="F1821" t="str">
            <v/>
          </cell>
          <cell r="G1821" t="str">
            <v/>
          </cell>
        </row>
        <row r="1822">
          <cell r="B1822" t="str">
            <v>3711CCA120</v>
          </cell>
          <cell r="D1822">
            <v>6210.1099999999969</v>
          </cell>
          <cell r="E1822">
            <v>28593.229000000007</v>
          </cell>
          <cell r="F1822" t="str">
            <v>-39939.05</v>
          </cell>
          <cell r="G1822" t="str">
            <v>160794.67</v>
          </cell>
          <cell r="I1822" t="str">
            <v>S</v>
          </cell>
          <cell r="K1822" t="str">
            <v>Rígida</v>
          </cell>
          <cell r="L1822" t="str">
            <v>C859-B</v>
          </cell>
          <cell r="Q1822">
            <v>3.8</v>
          </cell>
          <cell r="S1822">
            <v>-20</v>
          </cell>
        </row>
        <row r="1823">
          <cell r="C1823">
            <v>7.1</v>
          </cell>
          <cell r="F1823" t="str">
            <v/>
          </cell>
          <cell r="G1823" t="str">
            <v/>
          </cell>
          <cell r="L1823" t="str">
            <v/>
          </cell>
        </row>
        <row r="1824">
          <cell r="B1824" t="str">
            <v>3711CCA122_</v>
          </cell>
          <cell r="D1824">
            <v>6217.2099999999973</v>
          </cell>
          <cell r="E1824">
            <v>28586.129000000008</v>
          </cell>
          <cell r="F1824" t="str">
            <v>-39932.31</v>
          </cell>
          <cell r="G1824" t="str">
            <v>160793.55</v>
          </cell>
          <cell r="I1824" t="str">
            <v>S</v>
          </cell>
          <cell r="K1824" t="str">
            <v>Rígida</v>
          </cell>
          <cell r="L1824" t="str">
            <v>C860-B_</v>
          </cell>
          <cell r="Q1824">
            <v>3.8</v>
          </cell>
          <cell r="S1824">
            <v>-12</v>
          </cell>
        </row>
        <row r="1825">
          <cell r="C1825">
            <v>1.6</v>
          </cell>
          <cell r="F1825" t="str">
            <v/>
          </cell>
          <cell r="G1825" t="str">
            <v/>
          </cell>
          <cell r="I1825" t="str">
            <v>PA30</v>
          </cell>
          <cell r="L1825" t="str">
            <v/>
          </cell>
        </row>
        <row r="1826">
          <cell r="B1826" t="str">
            <v>3711CCA124_</v>
          </cell>
          <cell r="D1826">
            <v>6218.8099999999977</v>
          </cell>
          <cell r="E1826">
            <v>28584.52900000001</v>
          </cell>
          <cell r="F1826" t="str">
            <v>-39930.70</v>
          </cell>
          <cell r="G1826" t="str">
            <v>160793.41</v>
          </cell>
          <cell r="I1826" t="str">
            <v>S</v>
          </cell>
          <cell r="K1826" t="str">
            <v>Rígida</v>
          </cell>
          <cell r="L1826" t="str">
            <v>C860-B_</v>
          </cell>
          <cell r="Q1826">
            <v>3.8</v>
          </cell>
          <cell r="S1826">
            <v>-4</v>
          </cell>
        </row>
        <row r="1827">
          <cell r="C1827">
            <v>7.1</v>
          </cell>
          <cell r="F1827" t="str">
            <v/>
          </cell>
          <cell r="G1827" t="str">
            <v/>
          </cell>
          <cell r="I1827" t="str">
            <v>PA50</v>
          </cell>
          <cell r="L1827" t="str">
            <v/>
          </cell>
        </row>
        <row r="1828">
          <cell r="B1828" t="str">
            <v>3711CCA128</v>
          </cell>
          <cell r="D1828">
            <v>6225.909999999998</v>
          </cell>
          <cell r="E1828">
            <v>28577.429000000011</v>
          </cell>
          <cell r="F1828" t="str">
            <v>-39923.61</v>
          </cell>
          <cell r="G1828" t="str">
            <v>160791.40</v>
          </cell>
          <cell r="I1828" t="str">
            <v>S</v>
          </cell>
          <cell r="K1828" t="str">
            <v>Rígida</v>
          </cell>
          <cell r="L1828" t="str">
            <v>C859-B</v>
          </cell>
          <cell r="Q1828">
            <v>3.8</v>
          </cell>
          <cell r="S1828" t="str">
            <v>+4</v>
          </cell>
        </row>
        <row r="1829">
          <cell r="C1829">
            <v>7.1</v>
          </cell>
          <cell r="I1829" t="str">
            <v>PA80</v>
          </cell>
          <cell r="L1829" t="str">
            <v/>
          </cell>
        </row>
        <row r="1830">
          <cell r="B1830" t="str">
            <v>3711CCA132_</v>
          </cell>
          <cell r="D1830">
            <v>6233.0099999999984</v>
          </cell>
          <cell r="E1830">
            <v>28570.329000000012</v>
          </cell>
          <cell r="F1830" t="str">
            <v>-39916.30</v>
          </cell>
          <cell r="G1830" t="str">
            <v>160790.36</v>
          </cell>
          <cell r="I1830" t="str">
            <v>S</v>
          </cell>
          <cell r="K1830" t="str">
            <v>Rígida</v>
          </cell>
          <cell r="L1830" t="str">
            <v>C860-B_</v>
          </cell>
          <cell r="Q1830">
            <v>3.8</v>
          </cell>
          <cell r="S1830" t="str">
            <v>+12</v>
          </cell>
        </row>
        <row r="1831">
          <cell r="C1831">
            <v>1.6</v>
          </cell>
          <cell r="F1831" t="str">
            <v/>
          </cell>
          <cell r="G1831" t="str">
            <v/>
          </cell>
          <cell r="I1831" t="str">
            <v>PA80</v>
          </cell>
          <cell r="L1831" t="str">
            <v/>
          </cell>
        </row>
        <row r="1832">
          <cell r="B1832" t="str">
            <v>3711CCA134_</v>
          </cell>
          <cell r="D1832">
            <v>6234.6099999999988</v>
          </cell>
          <cell r="E1832">
            <v>28568.729000000014</v>
          </cell>
          <cell r="F1832" t="str">
            <v>-39914.78</v>
          </cell>
          <cell r="G1832" t="str">
            <v>160789.83</v>
          </cell>
          <cell r="I1832" t="str">
            <v>S</v>
          </cell>
          <cell r="K1832" t="str">
            <v>Rígida</v>
          </cell>
          <cell r="L1832" t="str">
            <v>C860-B_</v>
          </cell>
          <cell r="Q1832">
            <v>3.8</v>
          </cell>
          <cell r="S1832" t="str">
            <v>+20</v>
          </cell>
        </row>
        <row r="1833">
          <cell r="C1833">
            <v>8.8000000000000007</v>
          </cell>
          <cell r="F1833" t="str">
            <v/>
          </cell>
          <cell r="G1833" t="str">
            <v/>
          </cell>
          <cell r="I1833" t="str">
            <v>PA50</v>
          </cell>
          <cell r="L1833" t="str">
            <v/>
          </cell>
        </row>
        <row r="1834">
          <cell r="B1834" t="str">
            <v>3711CCA136</v>
          </cell>
          <cell r="D1834">
            <v>6243.4</v>
          </cell>
          <cell r="E1834">
            <v>28559.929000000015</v>
          </cell>
          <cell r="F1834" t="str">
            <v>-39906.53</v>
          </cell>
          <cell r="G1834" t="str">
            <v>160787.93</v>
          </cell>
          <cell r="I1834" t="str">
            <v>S</v>
          </cell>
          <cell r="K1834" t="str">
            <v>Rígida</v>
          </cell>
          <cell r="L1834" t="str">
            <v>C859-A</v>
          </cell>
          <cell r="Q1834">
            <v>3.8</v>
          </cell>
          <cell r="S1834" t="str">
            <v>+12</v>
          </cell>
        </row>
        <row r="1835">
          <cell r="B1835" t="str">
            <v>Inic. Estação Santo Ovídio (06+244)</v>
          </cell>
          <cell r="C1835">
            <v>11.410000000000764</v>
          </cell>
          <cell r="I1835" t="str">
            <v>PA30</v>
          </cell>
        </row>
        <row r="1836">
          <cell r="B1836" t="str">
            <v>3712CCA02</v>
          </cell>
          <cell r="D1836">
            <v>6254.81</v>
          </cell>
          <cell r="E1836">
            <v>28548.519000000015</v>
          </cell>
          <cell r="F1836" t="str">
            <v>-39895.34</v>
          </cell>
          <cell r="G1836" t="str">
            <v>160785.56</v>
          </cell>
          <cell r="I1836" t="str">
            <v>S</v>
          </cell>
          <cell r="K1836" t="str">
            <v>Rígida</v>
          </cell>
          <cell r="L1836" t="str">
            <v>C859-A</v>
          </cell>
          <cell r="Q1836">
            <v>3.8</v>
          </cell>
          <cell r="S1836" t="str">
            <v>+4</v>
          </cell>
        </row>
        <row r="1837">
          <cell r="C1837">
            <v>11.4</v>
          </cell>
          <cell r="F1837" t="str">
            <v/>
          </cell>
          <cell r="G1837" t="str">
            <v/>
          </cell>
        </row>
        <row r="1838">
          <cell r="B1838" t="str">
            <v>3712CCA04</v>
          </cell>
          <cell r="D1838">
            <v>6266.2</v>
          </cell>
          <cell r="E1838">
            <v>28537.119000000013</v>
          </cell>
          <cell r="F1838" t="str">
            <v>-39884.16</v>
          </cell>
          <cell r="G1838" t="str">
            <v>160783.20</v>
          </cell>
          <cell r="I1838" t="str">
            <v>S</v>
          </cell>
          <cell r="K1838" t="str">
            <v>Rígida</v>
          </cell>
          <cell r="L1838" t="str">
            <v>C859-A</v>
          </cell>
          <cell r="Q1838">
            <v>3.8</v>
          </cell>
          <cell r="S1838">
            <v>-4</v>
          </cell>
        </row>
        <row r="1839">
          <cell r="C1839">
            <v>12</v>
          </cell>
          <cell r="F1839" t="str">
            <v/>
          </cell>
          <cell r="G1839" t="str">
            <v/>
          </cell>
        </row>
        <row r="1840">
          <cell r="B1840" t="str">
            <v>3712CCA06</v>
          </cell>
          <cell r="D1840">
            <v>6277.7099999999991</v>
          </cell>
          <cell r="E1840">
            <v>28525.119000000013</v>
          </cell>
          <cell r="F1840" t="str">
            <v>-39872.94</v>
          </cell>
          <cell r="G1840" t="str">
            <v>160780.68</v>
          </cell>
          <cell r="I1840" t="str">
            <v>S</v>
          </cell>
          <cell r="K1840" t="str">
            <v>Rígida</v>
          </cell>
          <cell r="L1840" t="str">
            <v>Parafil</v>
          </cell>
          <cell r="Q1840">
            <v>3.8</v>
          </cell>
          <cell r="S1840">
            <v>-12</v>
          </cell>
        </row>
        <row r="1841">
          <cell r="C1841">
            <v>12</v>
          </cell>
          <cell r="F1841" t="str">
            <v/>
          </cell>
          <cell r="G1841" t="str">
            <v/>
          </cell>
        </row>
        <row r="1842">
          <cell r="B1842" t="str">
            <v>3712CCA08</v>
          </cell>
          <cell r="D1842">
            <v>6289.7099999999991</v>
          </cell>
          <cell r="E1842">
            <v>28513.119000000013</v>
          </cell>
          <cell r="F1842" t="str">
            <v>-39861.20</v>
          </cell>
          <cell r="G1842" t="str">
            <v>160778.19</v>
          </cell>
          <cell r="I1842" t="str">
            <v>S</v>
          </cell>
          <cell r="K1842" t="str">
            <v>Rígida</v>
          </cell>
          <cell r="L1842" t="str">
            <v>Parafil</v>
          </cell>
          <cell r="Q1842">
            <v>3.8</v>
          </cell>
          <cell r="S1842">
            <v>-20</v>
          </cell>
        </row>
        <row r="1843">
          <cell r="C1843">
            <v>12</v>
          </cell>
          <cell r="F1843" t="str">
            <v/>
          </cell>
          <cell r="G1843" t="str">
            <v/>
          </cell>
        </row>
        <row r="1844">
          <cell r="B1844" t="str">
            <v>3712CCA10</v>
          </cell>
          <cell r="D1844">
            <v>6301.7099999999991</v>
          </cell>
          <cell r="E1844">
            <v>28501.119000000013</v>
          </cell>
          <cell r="F1844" t="str">
            <v>-39849.46</v>
          </cell>
          <cell r="G1844" t="str">
            <v>160775.71</v>
          </cell>
          <cell r="I1844" t="str">
            <v>S</v>
          </cell>
          <cell r="K1844" t="str">
            <v>Rígida</v>
          </cell>
          <cell r="L1844" t="str">
            <v>Parafil</v>
          </cell>
          <cell r="Q1844">
            <v>3.8</v>
          </cell>
          <cell r="S1844">
            <v>-12</v>
          </cell>
        </row>
        <row r="1845">
          <cell r="C1845">
            <v>12</v>
          </cell>
          <cell r="F1845" t="str">
            <v/>
          </cell>
          <cell r="G1845" t="str">
            <v/>
          </cell>
        </row>
        <row r="1846">
          <cell r="B1846" t="str">
            <v>3712CCA12</v>
          </cell>
          <cell r="D1846">
            <v>6313.7099999999991</v>
          </cell>
          <cell r="E1846">
            <v>28489.119000000013</v>
          </cell>
          <cell r="F1846" t="str">
            <v>-39837.72</v>
          </cell>
          <cell r="G1846" t="str">
            <v>160773.22</v>
          </cell>
          <cell r="I1846" t="str">
            <v>S</v>
          </cell>
          <cell r="K1846" t="str">
            <v>Rígida</v>
          </cell>
          <cell r="L1846" t="str">
            <v>Parafil</v>
          </cell>
          <cell r="Q1846">
            <v>3.8</v>
          </cell>
          <cell r="S1846">
            <v>-4</v>
          </cell>
        </row>
        <row r="1847">
          <cell r="C1847">
            <v>12</v>
          </cell>
          <cell r="F1847" t="str">
            <v/>
          </cell>
          <cell r="G1847" t="str">
            <v/>
          </cell>
        </row>
        <row r="1848">
          <cell r="B1848" t="str">
            <v>3712CCA14</v>
          </cell>
          <cell r="D1848">
            <v>6325.7099999999991</v>
          </cell>
          <cell r="E1848">
            <v>28477.119000000013</v>
          </cell>
          <cell r="F1848" t="str">
            <v>-39825.98</v>
          </cell>
          <cell r="G1848" t="str">
            <v>160770.74</v>
          </cell>
          <cell r="I1848" t="str">
            <v>S</v>
          </cell>
          <cell r="K1848" t="str">
            <v>Rígida</v>
          </cell>
          <cell r="L1848" t="str">
            <v>C859-A</v>
          </cell>
          <cell r="Q1848">
            <v>3.8</v>
          </cell>
          <cell r="S1848" t="str">
            <v>+4</v>
          </cell>
        </row>
        <row r="1849">
          <cell r="C1849">
            <v>12</v>
          </cell>
        </row>
        <row r="1850">
          <cell r="B1850" t="str">
            <v>3712CCA16</v>
          </cell>
          <cell r="D1850">
            <v>6337.7099999999991</v>
          </cell>
          <cell r="E1850">
            <v>28465.119000000013</v>
          </cell>
          <cell r="F1850" t="str">
            <v>-39814.24</v>
          </cell>
          <cell r="G1850" t="str">
            <v>160768.25</v>
          </cell>
          <cell r="I1850" t="str">
            <v>S</v>
          </cell>
          <cell r="K1850" t="str">
            <v>Rígida</v>
          </cell>
          <cell r="L1850" t="str">
            <v>C859-A</v>
          </cell>
          <cell r="Q1850">
            <v>3.8</v>
          </cell>
          <cell r="S1850" t="str">
            <v>+12</v>
          </cell>
        </row>
        <row r="1851">
          <cell r="C1851">
            <v>8</v>
          </cell>
        </row>
        <row r="1852">
          <cell r="B1852" t="str">
            <v>3712CCA18</v>
          </cell>
          <cell r="D1852">
            <v>6345.7099999999991</v>
          </cell>
          <cell r="E1852">
            <v>28457.119000000013</v>
          </cell>
          <cell r="F1852" t="str">
            <v>-39806.41</v>
          </cell>
          <cell r="G1852" t="str">
            <v>160766.62</v>
          </cell>
          <cell r="I1852" t="str">
            <v>S</v>
          </cell>
          <cell r="K1852" t="str">
            <v>Rígida</v>
          </cell>
          <cell r="L1852" t="str">
            <v>C859-A</v>
          </cell>
          <cell r="Q1852">
            <v>3.8</v>
          </cell>
          <cell r="S1852" t="str">
            <v>+20</v>
          </cell>
        </row>
        <row r="1853">
          <cell r="C1853">
            <v>8</v>
          </cell>
        </row>
        <row r="1854">
          <cell r="B1854" t="str">
            <v>3712CCA20</v>
          </cell>
          <cell r="D1854">
            <v>6353.7099999999991</v>
          </cell>
          <cell r="E1854">
            <v>28449.119000000013</v>
          </cell>
          <cell r="F1854" t="str">
            <v>-39798.86</v>
          </cell>
          <cell r="G1854" t="str">
            <v>160763.97</v>
          </cell>
          <cell r="I1854" t="str">
            <v>S</v>
          </cell>
          <cell r="K1854" t="str">
            <v>Rígida</v>
          </cell>
          <cell r="L1854" t="str">
            <v>C859-A</v>
          </cell>
          <cell r="Q1854">
            <v>3.8</v>
          </cell>
          <cell r="S1854" t="str">
            <v>+12</v>
          </cell>
        </row>
        <row r="1855">
          <cell r="B1855" t="str">
            <v>Fin. Estação Santo Ovídio (06+352)</v>
          </cell>
          <cell r="C1855">
            <v>7.2</v>
          </cell>
          <cell r="F1855" t="str">
            <v/>
          </cell>
          <cell r="G1855" t="str">
            <v/>
          </cell>
        </row>
        <row r="1856">
          <cell r="B1856" t="str">
            <v>3713CCA02</v>
          </cell>
          <cell r="D1856">
            <v>6360.8099999999986</v>
          </cell>
          <cell r="E1856">
            <v>28441.919000000013</v>
          </cell>
          <cell r="F1856" t="str">
            <v>-39794.29</v>
          </cell>
          <cell r="G1856" t="str">
            <v>160758.33</v>
          </cell>
          <cell r="H1856">
            <v>-30</v>
          </cell>
          <cell r="I1856" t="str">
            <v>S</v>
          </cell>
          <cell r="K1856" t="str">
            <v>Rígida</v>
          </cell>
          <cell r="L1856" t="str">
            <v>C859-B</v>
          </cell>
          <cell r="Q1856">
            <v>3.8</v>
          </cell>
          <cell r="S1856" t="str">
            <v>+20</v>
          </cell>
        </row>
        <row r="1857">
          <cell r="C1857">
            <v>8.3900000000012369</v>
          </cell>
          <cell r="F1857" t="str">
            <v/>
          </cell>
          <cell r="G1857" t="str">
            <v/>
          </cell>
          <cell r="N1857" t="str">
            <v/>
          </cell>
        </row>
        <row r="1858">
          <cell r="B1858" t="str">
            <v>3713CCA04</v>
          </cell>
          <cell r="D1858">
            <v>6369.2</v>
          </cell>
          <cell r="E1858">
            <v>28433.52900000001</v>
          </cell>
          <cell r="F1858" t="str">
            <v>-39789.05</v>
          </cell>
          <cell r="G1858" t="str">
            <v>160752.01</v>
          </cell>
          <cell r="H1858">
            <v>-30</v>
          </cell>
          <cell r="I1858" t="str">
            <v>S</v>
          </cell>
          <cell r="K1858" t="str">
            <v>Rígida</v>
          </cell>
          <cell r="L1858" t="str">
            <v>C859-B</v>
          </cell>
          <cell r="Q1858">
            <v>3.8</v>
          </cell>
          <cell r="S1858" t="str">
            <v>+20</v>
          </cell>
        </row>
        <row r="1859">
          <cell r="C1859">
            <v>9.3000000000001819</v>
          </cell>
          <cell r="F1859" t="str">
            <v/>
          </cell>
          <cell r="G1859" t="str">
            <v/>
          </cell>
          <cell r="N1859" t="str">
            <v/>
          </cell>
          <cell r="U1859" t="str">
            <v>Transição Catenaria</v>
          </cell>
          <cell r="V1859" t="str">
            <v>Disp. Transic.</v>
          </cell>
        </row>
        <row r="1860">
          <cell r="B1860" t="str">
            <v>3713CCA06</v>
          </cell>
          <cell r="D1860">
            <v>6378.5</v>
          </cell>
          <cell r="E1860">
            <v>28424.22900000001</v>
          </cell>
          <cell r="F1860" t="str">
            <v>-39786.00</v>
          </cell>
          <cell r="G1860" t="str">
            <v>160744.39</v>
          </cell>
          <cell r="H1860">
            <v>-30</v>
          </cell>
          <cell r="I1860" t="str">
            <v>S</v>
          </cell>
          <cell r="J1860" t="str">
            <v>1,60</v>
          </cell>
          <cell r="K1860" t="str">
            <v>Cons. Simp.</v>
          </cell>
          <cell r="L1860" t="str">
            <v>-</v>
          </cell>
          <cell r="M1860" t="str">
            <v>Fixação Muro</v>
          </cell>
          <cell r="N1860" t="str">
            <v>C3- C.C.</v>
          </cell>
          <cell r="Q1860">
            <v>3.86</v>
          </cell>
          <cell r="S1860" t="str">
            <v>+20</v>
          </cell>
          <cell r="AM1860">
            <v>0</v>
          </cell>
          <cell r="AN1860">
            <v>1.6</v>
          </cell>
          <cell r="BE1860" t="str">
            <v>C3A</v>
          </cell>
          <cell r="BF1860">
            <v>0.2</v>
          </cell>
          <cell r="BH1860">
            <v>1.4</v>
          </cell>
          <cell r="BJ1860">
            <v>0.35</v>
          </cell>
          <cell r="BL1860">
            <v>2.5779999999999998</v>
          </cell>
          <cell r="BN1860" t="str">
            <v>28,57°</v>
          </cell>
          <cell r="BP1860">
            <v>3.86</v>
          </cell>
          <cell r="BR1860">
            <v>0.33</v>
          </cell>
          <cell r="BS1860">
            <v>2.8</v>
          </cell>
          <cell r="BW1860" t="str">
            <v>C.C.3.A</v>
          </cell>
        </row>
        <row r="1861">
          <cell r="C1861">
            <v>7.6000000000003638</v>
          </cell>
          <cell r="F1861" t="str">
            <v/>
          </cell>
          <cell r="G1861" t="str">
            <v/>
          </cell>
          <cell r="N1861" t="str">
            <v/>
          </cell>
        </row>
        <row r="1862">
          <cell r="B1862" t="str">
            <v>3713CCA07</v>
          </cell>
          <cell r="D1862">
            <v>6386.1</v>
          </cell>
          <cell r="E1862">
            <v>28448.93899999998</v>
          </cell>
          <cell r="F1862" t="str">
            <v>-39785.62</v>
          </cell>
          <cell r="G1862" t="str">
            <v>160737.69</v>
          </cell>
          <cell r="H1862">
            <v>-30</v>
          </cell>
          <cell r="I1862" t="str">
            <v>S</v>
          </cell>
          <cell r="J1862" t="str">
            <v>2,50</v>
          </cell>
          <cell r="K1862" t="str">
            <v>Cons. Dob.</v>
          </cell>
          <cell r="L1862" t="str">
            <v>HEA 280</v>
          </cell>
          <cell r="M1862" t="str">
            <v>Poste parede</v>
          </cell>
          <cell r="N1862" t="str">
            <v>C3- C.L.</v>
          </cell>
          <cell r="Q1862">
            <v>3.92</v>
          </cell>
          <cell r="S1862" t="str">
            <v>+20</v>
          </cell>
        </row>
        <row r="1863">
          <cell r="C1863">
            <v>5.8999999999996362</v>
          </cell>
          <cell r="F1863" t="str">
            <v/>
          </cell>
          <cell r="G1863" t="str">
            <v/>
          </cell>
          <cell r="N1863" t="str">
            <v/>
          </cell>
        </row>
        <row r="1864">
          <cell r="B1864" t="str">
            <v>3713CCA08</v>
          </cell>
          <cell r="D1864">
            <v>6392</v>
          </cell>
          <cell r="E1864">
            <v>28416.629000000008</v>
          </cell>
          <cell r="F1864" t="str">
            <v>-39785.49</v>
          </cell>
          <cell r="G1864" t="str">
            <v>160736.04</v>
          </cell>
          <cell r="I1864" t="str">
            <v>A/S</v>
          </cell>
          <cell r="J1864" t="str">
            <v>2,5</v>
          </cell>
          <cell r="K1864" t="str">
            <v>-</v>
          </cell>
          <cell r="L1864" t="str">
            <v>HEA 280 G.</v>
          </cell>
          <cell r="M1864" t="str">
            <v>Poste parede</v>
          </cell>
          <cell r="Q1864">
            <v>4.2</v>
          </cell>
          <cell r="S1864" t="str">
            <v>-</v>
          </cell>
          <cell r="V1864" t="str">
            <v>Ancoraem coneção Sto Ov.</v>
          </cell>
          <cell r="AM1864" t="str">
            <v>0,280</v>
          </cell>
          <cell r="AN1864">
            <v>2500</v>
          </cell>
          <cell r="AO1864">
            <v>3400</v>
          </cell>
          <cell r="BE1864" t="str">
            <v>C2</v>
          </cell>
          <cell r="BF1864" t="str">
            <v>0,200</v>
          </cell>
          <cell r="BG1864" t="str">
            <v>0,200</v>
          </cell>
          <cell r="BH1864">
            <v>1800</v>
          </cell>
          <cell r="BI1864" t="str">
            <v>0,150</v>
          </cell>
          <cell r="BJ1864" t="str">
            <v>0,350</v>
          </cell>
          <cell r="BK1864" t="str">
            <v>0,350</v>
          </cell>
          <cell r="BL1864">
            <v>3368</v>
          </cell>
          <cell r="BM1864">
            <v>5308</v>
          </cell>
          <cell r="BN1864" t="str">
            <v>26,25°</v>
          </cell>
          <cell r="BO1864" t="str">
            <v>18,25°</v>
          </cell>
          <cell r="BP1864">
            <v>3920</v>
          </cell>
          <cell r="BQ1864">
            <v>3920</v>
          </cell>
          <cell r="BR1864" t="str">
            <v>0,330</v>
          </cell>
          <cell r="BS1864">
            <v>6900</v>
          </cell>
          <cell r="BW1864" t="str">
            <v>C.C.2</v>
          </cell>
        </row>
        <row r="1865">
          <cell r="C1865">
            <v>10.010000000000218</v>
          </cell>
          <cell r="F1865" t="str">
            <v/>
          </cell>
          <cell r="G1865" t="str">
            <v/>
          </cell>
          <cell r="N1865" t="str">
            <v/>
          </cell>
        </row>
        <row r="1866">
          <cell r="B1866" t="str">
            <v>3713CCA10</v>
          </cell>
          <cell r="D1866">
            <v>6402.01</v>
          </cell>
          <cell r="E1866">
            <v>28406.619000000006</v>
          </cell>
          <cell r="F1866" t="str">
            <v>-39786.72</v>
          </cell>
          <cell r="G1866" t="str">
            <v>160718.96</v>
          </cell>
          <cell r="I1866" t="str">
            <v>Elev.</v>
          </cell>
          <cell r="J1866" t="str">
            <v>2,5</v>
          </cell>
          <cell r="K1866" t="str">
            <v>Cons. Dob.</v>
          </cell>
          <cell r="L1866" t="str">
            <v>HEA 280</v>
          </cell>
          <cell r="M1866" t="str">
            <v>Poste parede</v>
          </cell>
          <cell r="N1866" t="str">
            <v>C3- C.L.</v>
          </cell>
          <cell r="Q1866">
            <v>4.0199999999999996</v>
          </cell>
          <cell r="R1866">
            <v>4.16</v>
          </cell>
          <cell r="S1866">
            <v>0</v>
          </cell>
          <cell r="T1866" t="str">
            <v>+20</v>
          </cell>
        </row>
        <row r="1867">
          <cell r="C1867">
            <v>18.989999999999782</v>
          </cell>
          <cell r="F1867" t="str">
            <v/>
          </cell>
          <cell r="G1867" t="str">
            <v/>
          </cell>
          <cell r="N1867" t="str">
            <v/>
          </cell>
        </row>
        <row r="1868">
          <cell r="B1868" t="str">
            <v>3713CCA14</v>
          </cell>
          <cell r="D1868">
            <v>6421</v>
          </cell>
          <cell r="E1868">
            <v>28387.629000000008</v>
          </cell>
          <cell r="F1868" t="str">
            <v>-39787.71</v>
          </cell>
          <cell r="G1868" t="str">
            <v>160705.20</v>
          </cell>
          <cell r="I1868" t="str">
            <v>PA30</v>
          </cell>
          <cell r="J1868" t="str">
            <v>2,5</v>
          </cell>
          <cell r="K1868" t="str">
            <v>Cons. Simp.</v>
          </cell>
          <cell r="L1868" t="str">
            <v>HEA 280</v>
          </cell>
          <cell r="M1868" t="str">
            <v>Poste parede</v>
          </cell>
          <cell r="N1868" t="str">
            <v>C3- C.C.</v>
          </cell>
          <cell r="O1868" t="str">
            <v>B.Fun.</v>
          </cell>
          <cell r="Q1868">
            <v>4.12</v>
          </cell>
          <cell r="S1868">
            <v>10</v>
          </cell>
          <cell r="AM1868">
            <v>0.28000000000000003</v>
          </cell>
          <cell r="AN1868">
            <v>5.9</v>
          </cell>
          <cell r="AO1868">
            <v>0</v>
          </cell>
          <cell r="BE1868" t="str">
            <v>C6</v>
          </cell>
          <cell r="BG1868">
            <v>0.2</v>
          </cell>
          <cell r="BH1868">
            <v>1.8</v>
          </cell>
          <cell r="BJ1868">
            <v>0.35</v>
          </cell>
          <cell r="BK1868">
            <v>0.35</v>
          </cell>
          <cell r="BM1868">
            <v>5.3079999999999998</v>
          </cell>
          <cell r="BO1868" t="str">
            <v>18,25°</v>
          </cell>
          <cell r="BQ1868">
            <v>4.12</v>
          </cell>
          <cell r="BR1868">
            <v>0.33</v>
          </cell>
          <cell r="BS1868">
            <v>6.9</v>
          </cell>
          <cell r="BT1868">
            <v>0.1</v>
          </cell>
          <cell r="BU1868">
            <v>4.12</v>
          </cell>
          <cell r="BW1868" t="str">
            <v>C.C.6</v>
          </cell>
        </row>
        <row r="1869">
          <cell r="C1869">
            <v>17.899999999999636</v>
          </cell>
          <cell r="F1869" t="str">
            <v/>
          </cell>
          <cell r="G1869" t="str">
            <v/>
          </cell>
        </row>
        <row r="1870">
          <cell r="B1870" t="str">
            <v>3301CCA016</v>
          </cell>
          <cell r="D1870">
            <v>6438.9</v>
          </cell>
          <cell r="E1870">
            <v>28369.729000000007</v>
          </cell>
          <cell r="F1870" t="str">
            <v>-39789.02</v>
          </cell>
          <cell r="G1870" t="str">
            <v>160685.50</v>
          </cell>
          <cell r="I1870" t="str">
            <v>PA30</v>
          </cell>
          <cell r="J1870" t="str">
            <v>3,17</v>
          </cell>
          <cell r="K1870" t="str">
            <v>Cons. Dob.</v>
          </cell>
          <cell r="M1870" t="str">
            <v>Anc. Suelo</v>
          </cell>
          <cell r="N1870" t="str">
            <v>C3- C.L.</v>
          </cell>
          <cell r="O1870" t="str">
            <v>B.Fun.</v>
          </cell>
          <cell r="Q1870">
            <v>4.22</v>
          </cell>
          <cell r="R1870">
            <v>4.22</v>
          </cell>
          <cell r="S1870" t="str">
            <v>-10</v>
          </cell>
          <cell r="T1870" t="str">
            <v>-20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77E7-58BA-4043-8A5A-AC4E56749D1E}">
  <sheetPr codeName="Hoja15"/>
  <dimension ref="A1:BN943"/>
  <sheetViews>
    <sheetView tabSelected="1" topLeftCell="C1" zoomScale="40" zoomScaleNormal="40" workbookViewId="0">
      <pane ySplit="6" topLeftCell="A7" activePane="bottomLeft" state="frozen"/>
      <selection pane="bottomLeft" activeCell="M857" sqref="M857"/>
    </sheetView>
  </sheetViews>
  <sheetFormatPr baseColWidth="10" defaultColWidth="10.90625" defaultRowHeight="14.5" x14ac:dyDescent="0.35"/>
  <cols>
    <col min="2" max="2" width="18.81640625" customWidth="1"/>
    <col min="3" max="3" width="33.453125" bestFit="1" customWidth="1"/>
    <col min="4" max="4" width="18.81640625" customWidth="1"/>
    <col min="5" max="5" width="28.81640625" customWidth="1"/>
    <col min="6" max="6" width="22.1796875" style="1" customWidth="1"/>
    <col min="7" max="7" width="22.453125" style="1" customWidth="1"/>
    <col min="8" max="8" width="20.54296875" style="1" customWidth="1"/>
    <col min="9" max="9" width="7.453125" style="2" customWidth="1"/>
    <col min="10" max="10" width="16.453125" style="2" bestFit="1" customWidth="1"/>
    <col min="11" max="11" width="5.81640625" style="2" bestFit="1" customWidth="1"/>
    <col min="12" max="12" width="14.453125" style="2" bestFit="1" customWidth="1"/>
    <col min="13" max="13" width="18.6328125" style="1" bestFit="1" customWidth="1"/>
    <col min="14" max="14" width="8.81640625" style="1" customWidth="1"/>
    <col min="15" max="15" width="12" style="1" customWidth="1"/>
    <col min="16" max="16" width="17.81640625" style="1" customWidth="1"/>
    <col min="17" max="17" width="16.453125" style="1" customWidth="1"/>
    <col min="18" max="18" width="12.54296875" style="1" customWidth="1"/>
    <col min="19" max="19" width="15.54296875" style="1" customWidth="1"/>
    <col min="20" max="20" width="14.453125" style="1" bestFit="1" customWidth="1"/>
    <col min="21" max="21" width="10.81640625" style="1" bestFit="1" customWidth="1"/>
    <col min="22" max="22" width="11.453125" style="1" bestFit="1" customWidth="1"/>
    <col min="23" max="23" width="12.1796875" style="1" customWidth="1"/>
    <col min="24" max="24" width="17.26953125" style="1" customWidth="1"/>
    <col min="25" max="25" width="11.54296875" style="1" customWidth="1"/>
    <col min="26" max="26" width="12.90625" style="1" customWidth="1"/>
    <col min="27" max="27" width="24.1796875" style="3" customWidth="1"/>
    <col min="29" max="32" width="3.90625" customWidth="1"/>
    <col min="34" max="34" width="16.36328125" customWidth="1"/>
    <col min="37" max="40" width="3.6328125" customWidth="1"/>
    <col min="42" max="42" width="25.36328125" customWidth="1"/>
    <col min="43" max="43" width="8" bestFit="1" customWidth="1"/>
    <col min="44" max="44" width="9.08984375" bestFit="1" customWidth="1"/>
    <col min="45" max="45" width="9.453125" bestFit="1" customWidth="1"/>
    <col min="46" max="46" width="9" bestFit="1" customWidth="1"/>
    <col min="47" max="47" width="9.36328125" bestFit="1" customWidth="1"/>
    <col min="48" max="48" width="11.6328125" bestFit="1" customWidth="1"/>
    <col min="49" max="49" width="13.90625" customWidth="1"/>
    <col min="50" max="50" width="10.81640625" bestFit="1" customWidth="1"/>
    <col min="51" max="51" width="16.54296875" customWidth="1"/>
    <col min="52" max="52" width="14.1796875" hidden="1" customWidth="1"/>
    <col min="53" max="53" width="15.36328125" hidden="1" customWidth="1"/>
    <col min="54" max="54" width="9.54296875" hidden="1" customWidth="1"/>
    <col min="55" max="55" width="7" hidden="1" customWidth="1"/>
    <col min="56" max="56" width="8.08984375" hidden="1" customWidth="1"/>
    <col min="57" max="57" width="10.54296875" hidden="1" customWidth="1"/>
    <col min="58" max="58" width="4.6328125" customWidth="1"/>
    <col min="59" max="59" width="18.26953125" bestFit="1" customWidth="1"/>
    <col min="60" max="60" width="6.54296875" customWidth="1"/>
    <col min="61" max="61" width="26.81640625" bestFit="1" customWidth="1"/>
    <col min="62" max="62" width="25.90625" bestFit="1" customWidth="1"/>
    <col min="63" max="63" width="15.1796875" customWidth="1"/>
    <col min="64" max="65" width="26.08984375" customWidth="1"/>
  </cols>
  <sheetData>
    <row r="1" spans="1:65" ht="15.5" x14ac:dyDescent="0.35">
      <c r="A1">
        <v>1</v>
      </c>
      <c r="B1">
        <v>1</v>
      </c>
      <c r="AB1" s="4" t="s">
        <v>0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65" ht="19" x14ac:dyDescent="0.35">
      <c r="A2">
        <v>1</v>
      </c>
      <c r="AB2" s="5" t="s">
        <v>1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65" x14ac:dyDescent="0.35">
      <c r="A3">
        <v>1</v>
      </c>
    </row>
    <row r="4" spans="1:65" ht="15" thickBot="1" x14ac:dyDescent="0.4">
      <c r="A4">
        <v>1</v>
      </c>
    </row>
    <row r="5" spans="1:65" ht="16" thickBot="1" x14ac:dyDescent="0.4">
      <c r="A5">
        <v>1</v>
      </c>
      <c r="F5" s="6"/>
      <c r="G5" s="7"/>
      <c r="H5" s="7"/>
      <c r="I5" s="7"/>
      <c r="J5" s="7"/>
      <c r="K5" s="7"/>
      <c r="L5" s="7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9" t="s">
        <v>2</v>
      </c>
      <c r="AO5" s="1"/>
      <c r="AP5" s="10" t="s">
        <v>3</v>
      </c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2"/>
      <c r="BC5" s="12"/>
      <c r="BD5" s="12"/>
      <c r="BE5" s="11"/>
      <c r="BF5" s="11"/>
      <c r="BG5" s="13"/>
      <c r="BH5" s="13"/>
      <c r="BI5" s="11"/>
      <c r="BJ5" s="11"/>
      <c r="BK5" s="6"/>
    </row>
    <row r="6" spans="1:65" ht="42.5" thickBot="1" x14ac:dyDescent="0.4">
      <c r="A6">
        <v>1</v>
      </c>
      <c r="C6" s="14" t="s">
        <v>4</v>
      </c>
      <c r="D6" s="15" t="s">
        <v>5</v>
      </c>
      <c r="E6" s="14" t="s">
        <v>6</v>
      </c>
      <c r="F6" s="16" t="s">
        <v>7</v>
      </c>
      <c r="G6" s="16" t="s">
        <v>7</v>
      </c>
      <c r="H6" s="16" t="s">
        <v>8</v>
      </c>
      <c r="I6" s="17"/>
      <c r="J6" s="17" t="s">
        <v>9</v>
      </c>
      <c r="K6" s="18"/>
      <c r="L6" s="18" t="s">
        <v>10</v>
      </c>
      <c r="M6" s="16" t="s">
        <v>11</v>
      </c>
      <c r="N6" s="19"/>
      <c r="O6" s="19" t="s">
        <v>12</v>
      </c>
      <c r="P6" s="16" t="s">
        <v>13</v>
      </c>
      <c r="Q6" s="16" t="s">
        <v>14</v>
      </c>
      <c r="R6" s="16" t="s">
        <v>15</v>
      </c>
      <c r="S6" s="16" t="s">
        <v>16</v>
      </c>
      <c r="T6" s="16" t="s">
        <v>17</v>
      </c>
      <c r="U6" s="16" t="s">
        <v>18</v>
      </c>
      <c r="V6" s="16" t="s">
        <v>19</v>
      </c>
      <c r="W6" s="16" t="s">
        <v>20</v>
      </c>
      <c r="X6" s="16" t="s">
        <v>21</v>
      </c>
      <c r="Y6" s="16" t="s">
        <v>22</v>
      </c>
      <c r="Z6" s="16" t="s">
        <v>23</v>
      </c>
      <c r="AA6" s="20" t="s">
        <v>24</v>
      </c>
      <c r="AB6" s="21" t="s">
        <v>2</v>
      </c>
      <c r="AO6" s="10" t="s">
        <v>3</v>
      </c>
      <c r="AP6" s="22" t="s">
        <v>24</v>
      </c>
      <c r="AQ6" s="23" t="s">
        <v>23</v>
      </c>
      <c r="AR6" s="23" t="s">
        <v>25</v>
      </c>
      <c r="AS6" s="23" t="s">
        <v>21</v>
      </c>
      <c r="AT6" s="23" t="s">
        <v>20</v>
      </c>
      <c r="AU6" s="23" t="s">
        <v>19</v>
      </c>
      <c r="AV6" s="23" t="s">
        <v>18</v>
      </c>
      <c r="AW6" s="23" t="s">
        <v>17</v>
      </c>
      <c r="AX6" s="24" t="s">
        <v>16</v>
      </c>
      <c r="AY6" s="23" t="s">
        <v>15</v>
      </c>
      <c r="AZ6" s="23" t="s">
        <v>14</v>
      </c>
      <c r="BA6" s="24" t="s">
        <v>13</v>
      </c>
      <c r="BB6" s="25" t="s">
        <v>12</v>
      </c>
      <c r="BC6" s="26"/>
      <c r="BD6" s="27" t="s">
        <v>26</v>
      </c>
      <c r="BE6" s="28" t="s">
        <v>10</v>
      </c>
      <c r="BF6" s="29"/>
      <c r="BG6" s="30" t="s">
        <v>9</v>
      </c>
      <c r="BH6" s="31"/>
      <c r="BI6" s="27" t="s">
        <v>8</v>
      </c>
      <c r="BJ6" s="25" t="s">
        <v>7</v>
      </c>
      <c r="BK6" s="32"/>
      <c r="BL6" s="33" t="s">
        <v>6</v>
      </c>
      <c r="BM6" s="33" t="s">
        <v>27</v>
      </c>
    </row>
    <row r="7" spans="1:65" ht="16" thickBot="1" x14ac:dyDescent="0.4">
      <c r="A7">
        <v>1</v>
      </c>
      <c r="B7" s="34" t="s">
        <v>28</v>
      </c>
      <c r="C7" s="34"/>
      <c r="D7" s="35"/>
      <c r="E7" s="36">
        <f>VLOOKUP($B7,'[1]V1 V2'!$B$5:$BW$1894,74,0)</f>
        <v>0</v>
      </c>
      <c r="F7" s="37"/>
      <c r="G7" s="38"/>
      <c r="H7" s="39"/>
      <c r="I7" s="37"/>
      <c r="J7" s="40"/>
      <c r="K7" s="41"/>
      <c r="L7" s="42">
        <v>3.8</v>
      </c>
      <c r="M7" s="43"/>
      <c r="N7" s="44"/>
      <c r="O7" s="45"/>
      <c r="P7" s="46"/>
      <c r="Q7" s="47"/>
      <c r="R7" s="47" t="s">
        <v>29</v>
      </c>
      <c r="S7" s="46"/>
      <c r="T7" s="44" t="s">
        <v>30</v>
      </c>
      <c r="U7" s="48"/>
      <c r="V7" s="49"/>
      <c r="W7" s="49"/>
      <c r="X7" s="49"/>
      <c r="Y7" s="49" t="s">
        <v>31</v>
      </c>
      <c r="Z7" s="50"/>
      <c r="AA7" s="51" t="s">
        <v>28</v>
      </c>
      <c r="AB7" s="21" t="s">
        <v>2</v>
      </c>
      <c r="AH7" s="52"/>
      <c r="AO7" s="10" t="s">
        <v>3</v>
      </c>
      <c r="AP7" s="53" t="s">
        <v>28</v>
      </c>
      <c r="AQ7" s="50"/>
      <c r="AR7" s="49" t="s">
        <v>31</v>
      </c>
      <c r="AS7" s="49"/>
      <c r="AT7" s="49"/>
      <c r="AU7" s="49"/>
      <c r="AV7" s="54"/>
      <c r="AW7" s="44" t="s">
        <v>30</v>
      </c>
      <c r="AX7" s="46"/>
      <c r="AY7" s="47" t="s">
        <v>29</v>
      </c>
      <c r="AZ7" s="47"/>
      <c r="BA7" s="46"/>
      <c r="BB7" s="55"/>
      <c r="BC7" s="43"/>
      <c r="BD7" s="43"/>
      <c r="BE7" s="42">
        <v>3.8</v>
      </c>
      <c r="BF7" s="41"/>
      <c r="BG7" s="56"/>
      <c r="BH7" s="57"/>
      <c r="BI7" s="39"/>
      <c r="BJ7" s="38"/>
      <c r="BK7" s="58"/>
      <c r="BL7" s="36">
        <f>VLOOKUP($AP7,'[1]V1 V2'!$B$5:$BW$1894,74,0)</f>
        <v>0</v>
      </c>
      <c r="BM7" s="36" t="str">
        <f>IF('[1]V1 V2'!X6="","",'[1]V1 V2'!X6)</f>
        <v/>
      </c>
    </row>
    <row r="8" spans="1:65" ht="16" thickBot="1" x14ac:dyDescent="0.4">
      <c r="A8">
        <v>1</v>
      </c>
      <c r="B8" s="59"/>
      <c r="C8" s="59"/>
      <c r="D8" s="35"/>
      <c r="E8" s="36"/>
      <c r="F8" s="37"/>
      <c r="G8" s="38"/>
      <c r="H8" s="39"/>
      <c r="I8" s="37"/>
      <c r="J8" s="40"/>
      <c r="K8" s="41"/>
      <c r="L8" s="42"/>
      <c r="M8" s="43"/>
      <c r="N8" s="44"/>
      <c r="O8" s="60"/>
      <c r="P8" s="46"/>
      <c r="Q8" s="61"/>
      <c r="R8" s="61"/>
      <c r="S8" s="46"/>
      <c r="T8" s="44"/>
      <c r="U8" s="62"/>
      <c r="V8" s="49"/>
      <c r="W8" s="49"/>
      <c r="X8" s="49"/>
      <c r="Y8" s="49"/>
      <c r="Z8" s="50" t="s">
        <v>31</v>
      </c>
      <c r="AA8" s="53"/>
      <c r="AB8" s="21" t="s">
        <v>2</v>
      </c>
      <c r="AH8" s="63">
        <v>1</v>
      </c>
      <c r="AO8" s="10" t="s">
        <v>3</v>
      </c>
      <c r="AP8" s="53"/>
      <c r="AQ8" s="50" t="s">
        <v>31</v>
      </c>
      <c r="AR8" s="49"/>
      <c r="AS8" s="49"/>
      <c r="AT8" s="49"/>
      <c r="AU8" s="49"/>
      <c r="AV8" s="54"/>
      <c r="AW8" s="44"/>
      <c r="AX8" s="46"/>
      <c r="AY8" s="61"/>
      <c r="AZ8" s="61"/>
      <c r="BA8" s="46"/>
      <c r="BB8" s="55"/>
      <c r="BC8" s="43"/>
      <c r="BD8" s="43"/>
      <c r="BE8" s="42"/>
      <c r="BF8" s="41"/>
      <c r="BG8" s="56"/>
      <c r="BH8" s="57"/>
      <c r="BI8" s="39"/>
      <c r="BJ8" s="38"/>
      <c r="BK8" s="58"/>
      <c r="BL8" s="36"/>
      <c r="BM8" s="36" t="str">
        <f>IF('[1]V1 V2'!X7="","",'[1]V1 V2'!X7)</f>
        <v/>
      </c>
    </row>
    <row r="9" spans="1:65" ht="16" thickBot="1" x14ac:dyDescent="0.4">
      <c r="A9">
        <v>1</v>
      </c>
      <c r="B9" s="59" t="s">
        <v>32</v>
      </c>
      <c r="C9" s="59"/>
      <c r="D9" s="35"/>
      <c r="E9" s="36">
        <f>VLOOKUP($B9,'[1]V1 V2'!$B$5:$BW$1894,74,0)</f>
        <v>0</v>
      </c>
      <c r="F9" s="37"/>
      <c r="G9" s="38"/>
      <c r="H9" s="39"/>
      <c r="I9" s="37"/>
      <c r="J9" s="40"/>
      <c r="K9" s="41"/>
      <c r="L9" s="42">
        <v>3.8</v>
      </c>
      <c r="M9" s="43"/>
      <c r="N9" s="44"/>
      <c r="O9" s="60"/>
      <c r="P9" s="46"/>
      <c r="Q9" s="47"/>
      <c r="R9" s="47" t="s">
        <v>29</v>
      </c>
      <c r="S9" s="46"/>
      <c r="T9" s="44" t="s">
        <v>33</v>
      </c>
      <c r="U9" s="62"/>
      <c r="V9" s="49"/>
      <c r="W9" s="49"/>
      <c r="X9" s="49">
        <v>34806.788999999997</v>
      </c>
      <c r="Y9" s="49">
        <v>-2.84</v>
      </c>
      <c r="Z9" s="50"/>
      <c r="AA9" s="53" t="s">
        <v>32</v>
      </c>
      <c r="AB9" s="21" t="s">
        <v>2</v>
      </c>
      <c r="AH9" s="63">
        <v>1</v>
      </c>
      <c r="AO9" s="10" t="s">
        <v>3</v>
      </c>
      <c r="AP9" s="53" t="s">
        <v>34</v>
      </c>
      <c r="AQ9" s="50"/>
      <c r="AR9" s="49">
        <v>-2.84</v>
      </c>
      <c r="AS9" s="49">
        <v>34806.788999999997</v>
      </c>
      <c r="AT9" s="49"/>
      <c r="AU9" s="49"/>
      <c r="AV9" s="54"/>
      <c r="AW9" s="44" t="s">
        <v>33</v>
      </c>
      <c r="AX9" s="46"/>
      <c r="AY9" s="47" t="s">
        <v>29</v>
      </c>
      <c r="AZ9" s="47"/>
      <c r="BA9" s="46"/>
      <c r="BB9" s="55"/>
      <c r="BC9" s="43"/>
      <c r="BD9" s="43"/>
      <c r="BE9" s="42">
        <v>3.8</v>
      </c>
      <c r="BF9" s="41"/>
      <c r="BG9" s="56"/>
      <c r="BH9" s="57"/>
      <c r="BI9" s="39"/>
      <c r="BJ9" s="38"/>
      <c r="BK9" s="58"/>
      <c r="BL9" s="36">
        <f>VLOOKUP($AP9,'[1]V1 V2'!$B$5:$BW$1894,74,0)</f>
        <v>0</v>
      </c>
      <c r="BM9" s="36" t="str">
        <f>IF('[1]V1 V2'!X8="","",'[1]V1 V2'!X8)</f>
        <v/>
      </c>
    </row>
    <row r="10" spans="1:65" ht="16" thickBot="1" x14ac:dyDescent="0.4">
      <c r="A10">
        <v>1</v>
      </c>
      <c r="B10" s="59"/>
      <c r="C10" s="59"/>
      <c r="D10" s="35"/>
      <c r="E10" s="36"/>
      <c r="F10" s="37"/>
      <c r="G10" s="38"/>
      <c r="H10" s="39"/>
      <c r="I10" s="37"/>
      <c r="J10" s="40"/>
      <c r="K10" s="41"/>
      <c r="L10" s="42"/>
      <c r="M10" s="43"/>
      <c r="N10" s="44"/>
      <c r="O10" s="60"/>
      <c r="P10" s="46"/>
      <c r="Q10" s="61"/>
      <c r="R10" s="61"/>
      <c r="S10" s="46"/>
      <c r="T10" s="44"/>
      <c r="U10" s="62"/>
      <c r="V10" s="49"/>
      <c r="W10" s="49"/>
      <c r="X10" s="49"/>
      <c r="Y10" s="49"/>
      <c r="Z10" s="50">
        <v>6.2</v>
      </c>
      <c r="AA10" s="53"/>
      <c r="AB10" s="21" t="s">
        <v>2</v>
      </c>
      <c r="AH10" s="63">
        <v>1</v>
      </c>
      <c r="AO10" s="10" t="s">
        <v>3</v>
      </c>
      <c r="AP10" s="53"/>
      <c r="AQ10" s="50">
        <v>6.2</v>
      </c>
      <c r="AR10" s="49"/>
      <c r="AS10" s="49"/>
      <c r="AT10" s="49"/>
      <c r="AU10" s="49"/>
      <c r="AV10" s="62" t="s">
        <v>35</v>
      </c>
      <c r="AW10" s="44"/>
      <c r="AX10" s="46"/>
      <c r="AY10" s="61"/>
      <c r="AZ10" s="61"/>
      <c r="BA10" s="46"/>
      <c r="BB10" s="55"/>
      <c r="BC10" s="43"/>
      <c r="BD10" s="43"/>
      <c r="BE10" s="42"/>
      <c r="BF10" s="41"/>
      <c r="BG10" s="56"/>
      <c r="BH10" s="57"/>
      <c r="BI10" s="39"/>
      <c r="BJ10" s="38"/>
      <c r="BK10" s="58"/>
      <c r="BL10" s="36"/>
      <c r="BM10" s="36" t="str">
        <f>IF('[1]V1 V2'!X9="","",'[1]V1 V2'!X9)</f>
        <v/>
      </c>
    </row>
    <row r="11" spans="1:65" ht="16" thickBot="1" x14ac:dyDescent="0.4">
      <c r="A11">
        <v>1</v>
      </c>
      <c r="B11" s="59" t="s">
        <v>36</v>
      </c>
      <c r="C11" s="59"/>
      <c r="D11" s="35"/>
      <c r="E11" s="36">
        <f>VLOOKUP($B11,'[1]V1 V2'!$B$5:$BW$1894,74,0)</f>
        <v>0</v>
      </c>
      <c r="F11" s="37"/>
      <c r="G11" s="38"/>
      <c r="H11" s="39"/>
      <c r="I11" s="37"/>
      <c r="J11" s="40"/>
      <c r="K11" s="41"/>
      <c r="L11" s="42">
        <v>3.8</v>
      </c>
      <c r="M11" s="43"/>
      <c r="N11" s="44"/>
      <c r="O11" s="60"/>
      <c r="P11" s="46"/>
      <c r="Q11" s="47"/>
      <c r="R11" s="47" t="s">
        <v>29</v>
      </c>
      <c r="S11" s="46"/>
      <c r="T11" s="44" t="s">
        <v>33</v>
      </c>
      <c r="U11" s="62"/>
      <c r="V11" s="49"/>
      <c r="W11" s="49"/>
      <c r="X11" s="49">
        <v>34800.589</v>
      </c>
      <c r="Y11" s="49">
        <v>3.3600000000000003</v>
      </c>
      <c r="Z11" s="50"/>
      <c r="AA11" s="53" t="s">
        <v>36</v>
      </c>
      <c r="AB11" s="21" t="s">
        <v>2</v>
      </c>
      <c r="AH11" s="63">
        <v>1</v>
      </c>
      <c r="AO11" s="10" t="s">
        <v>3</v>
      </c>
      <c r="AP11" s="53" t="s">
        <v>37</v>
      </c>
      <c r="AQ11" s="50"/>
      <c r="AR11" s="49">
        <v>3.3600000000000003</v>
      </c>
      <c r="AS11" s="49">
        <v>34800.589</v>
      </c>
      <c r="AT11" s="49"/>
      <c r="AU11" s="49"/>
      <c r="AV11" s="54"/>
      <c r="AW11" s="44" t="s">
        <v>33</v>
      </c>
      <c r="AX11" s="46"/>
      <c r="AY11" s="47" t="s">
        <v>29</v>
      </c>
      <c r="AZ11" s="47"/>
      <c r="BA11" s="46"/>
      <c r="BB11" s="55"/>
      <c r="BC11" s="43"/>
      <c r="BD11" s="43"/>
      <c r="BE11" s="42">
        <v>3.8</v>
      </c>
      <c r="BF11" s="41"/>
      <c r="BG11" s="56"/>
      <c r="BH11" s="57"/>
      <c r="BI11" s="39"/>
      <c r="BJ11" s="38"/>
      <c r="BK11" s="58"/>
      <c r="BL11" s="36">
        <f>VLOOKUP($AP11,'[1]V1 V2'!$B$5:$BW$1894,74,0)</f>
        <v>0</v>
      </c>
      <c r="BM11" s="36" t="str">
        <f>IF('[1]V1 V2'!X10="","",'[1]V1 V2'!X10)</f>
        <v/>
      </c>
    </row>
    <row r="12" spans="1:65" ht="16" thickBot="1" x14ac:dyDescent="0.4">
      <c r="A12">
        <v>1</v>
      </c>
      <c r="B12" s="59"/>
      <c r="C12" s="59"/>
      <c r="D12" s="35"/>
      <c r="E12" s="36"/>
      <c r="F12" s="37"/>
      <c r="G12" s="38"/>
      <c r="H12" s="39"/>
      <c r="I12" s="37"/>
      <c r="J12" s="40"/>
      <c r="K12" s="41"/>
      <c r="L12" s="42"/>
      <c r="M12" s="43"/>
      <c r="N12" s="44"/>
      <c r="O12" s="60"/>
      <c r="P12" s="46"/>
      <c r="Q12" s="61"/>
      <c r="R12" s="61"/>
      <c r="S12" s="46"/>
      <c r="T12" s="44"/>
      <c r="U12" s="62"/>
      <c r="V12" s="49"/>
      <c r="W12" s="49"/>
      <c r="X12" s="49"/>
      <c r="Y12" s="49"/>
      <c r="Z12" s="50">
        <v>8</v>
      </c>
      <c r="AA12" s="53"/>
      <c r="AB12" s="21" t="s">
        <v>2</v>
      </c>
      <c r="AH12" s="63">
        <v>1</v>
      </c>
      <c r="AO12" s="10" t="s">
        <v>3</v>
      </c>
      <c r="AP12" s="53"/>
      <c r="AQ12" s="50">
        <v>8</v>
      </c>
      <c r="AR12" s="49"/>
      <c r="AS12" s="49"/>
      <c r="AT12" s="49"/>
      <c r="AU12" s="49"/>
      <c r="AV12" s="54"/>
      <c r="AW12" s="44"/>
      <c r="AX12" s="46"/>
      <c r="AY12" s="61"/>
      <c r="AZ12" s="61"/>
      <c r="BA12" s="46"/>
      <c r="BB12" s="55"/>
      <c r="BC12" s="43"/>
      <c r="BD12" s="43"/>
      <c r="BE12" s="42"/>
      <c r="BF12" s="41"/>
      <c r="BG12" s="56"/>
      <c r="BH12" s="57"/>
      <c r="BI12" s="39"/>
      <c r="BJ12" s="38"/>
      <c r="BK12" s="58"/>
      <c r="BL12" s="36"/>
      <c r="BM12" s="36" t="str">
        <f>IF('[1]V1 V2'!X11="","",'[1]V1 V2'!X11)</f>
        <v/>
      </c>
    </row>
    <row r="13" spans="1:65" ht="16" thickBot="1" x14ac:dyDescent="0.4">
      <c r="A13">
        <v>1</v>
      </c>
      <c r="B13" s="59" t="s">
        <v>38</v>
      </c>
      <c r="C13" s="59"/>
      <c r="D13" s="35"/>
      <c r="E13" s="36">
        <f>VLOOKUP($B13,'[1]V1 V2'!$B$5:$BW$1894,74,0)</f>
        <v>0</v>
      </c>
      <c r="F13" s="37"/>
      <c r="G13" s="38"/>
      <c r="H13" s="39"/>
      <c r="I13" s="37"/>
      <c r="J13" s="40"/>
      <c r="K13" s="41"/>
      <c r="L13" s="42">
        <v>3.8</v>
      </c>
      <c r="M13" s="43"/>
      <c r="N13" s="44"/>
      <c r="O13" s="60"/>
      <c r="P13" s="46"/>
      <c r="Q13" s="47"/>
      <c r="R13" s="47" t="s">
        <v>29</v>
      </c>
      <c r="S13" s="46"/>
      <c r="T13" s="44" t="s">
        <v>30</v>
      </c>
      <c r="U13" s="62"/>
      <c r="V13" s="49"/>
      <c r="W13" s="49"/>
      <c r="X13" s="49">
        <v>34792.589</v>
      </c>
      <c r="Y13" s="49">
        <v>11.36</v>
      </c>
      <c r="Z13" s="50"/>
      <c r="AA13" s="53" t="s">
        <v>38</v>
      </c>
      <c r="AB13" s="21" t="s">
        <v>2</v>
      </c>
      <c r="AH13" s="63">
        <v>1</v>
      </c>
      <c r="AO13" s="10" t="s">
        <v>3</v>
      </c>
      <c r="AP13" s="53" t="s">
        <v>39</v>
      </c>
      <c r="AQ13" s="50"/>
      <c r="AR13" s="49">
        <v>11.36</v>
      </c>
      <c r="AS13" s="49">
        <v>34792.589</v>
      </c>
      <c r="AT13" s="49"/>
      <c r="AU13" s="49"/>
      <c r="AV13" s="54"/>
      <c r="AW13" s="44" t="s">
        <v>30</v>
      </c>
      <c r="AX13" s="46"/>
      <c r="AY13" s="47" t="s">
        <v>29</v>
      </c>
      <c r="AZ13" s="47"/>
      <c r="BA13" s="46"/>
      <c r="BB13" s="55"/>
      <c r="BC13" s="43"/>
      <c r="BD13" s="43"/>
      <c r="BE13" s="42">
        <v>3.8</v>
      </c>
      <c r="BF13" s="41"/>
      <c r="BG13" s="56"/>
      <c r="BH13" s="57"/>
      <c r="BI13" s="39"/>
      <c r="BJ13" s="38"/>
      <c r="BK13" s="58"/>
      <c r="BL13" s="36">
        <f>VLOOKUP($AP13,'[1]V1 V2'!$B$5:$BW$1894,74,0)</f>
        <v>0</v>
      </c>
      <c r="BM13" s="36" t="str">
        <f>IF('[1]V1 V2'!X12="","",'[1]V1 V2'!X12)</f>
        <v/>
      </c>
    </row>
    <row r="14" spans="1:65" ht="16" thickBot="1" x14ac:dyDescent="0.4">
      <c r="A14">
        <v>1</v>
      </c>
      <c r="B14" s="59"/>
      <c r="C14" s="59"/>
      <c r="D14" s="35"/>
      <c r="E14" s="36"/>
      <c r="F14" s="37"/>
      <c r="G14" s="38"/>
      <c r="H14" s="39"/>
      <c r="I14" s="37"/>
      <c r="J14" s="40"/>
      <c r="K14" s="41"/>
      <c r="L14" s="42"/>
      <c r="M14" s="43"/>
      <c r="N14" s="44"/>
      <c r="O14" s="60"/>
      <c r="P14" s="46"/>
      <c r="Q14" s="61"/>
      <c r="R14" s="61"/>
      <c r="S14" s="46"/>
      <c r="T14" s="44"/>
      <c r="U14" s="62"/>
      <c r="V14" s="49"/>
      <c r="W14" s="49"/>
      <c r="X14" s="49"/>
      <c r="Y14" s="49"/>
      <c r="Z14" s="50">
        <v>12</v>
      </c>
      <c r="AA14" s="53"/>
      <c r="AB14" s="21" t="s">
        <v>2</v>
      </c>
      <c r="AH14" s="63">
        <v>1</v>
      </c>
      <c r="AO14" s="10" t="s">
        <v>3</v>
      </c>
      <c r="AP14" s="53"/>
      <c r="AQ14" s="50">
        <v>12</v>
      </c>
      <c r="AR14" s="49"/>
      <c r="AS14" s="49"/>
      <c r="AT14" s="49"/>
      <c r="AU14" s="49"/>
      <c r="AV14" s="54"/>
      <c r="AW14" s="44"/>
      <c r="AX14" s="46"/>
      <c r="AY14" s="61"/>
      <c r="AZ14" s="61"/>
      <c r="BA14" s="46"/>
      <c r="BB14" s="55"/>
      <c r="BC14" s="43"/>
      <c r="BD14" s="43"/>
      <c r="BE14" s="42"/>
      <c r="BF14" s="41"/>
      <c r="BG14" s="56"/>
      <c r="BH14" s="57"/>
      <c r="BI14" s="39"/>
      <c r="BJ14" s="38"/>
      <c r="BK14" s="58"/>
      <c r="BL14" s="36"/>
      <c r="BM14" s="36" t="str">
        <f>IF('[1]V1 V2'!X13="","",'[1]V1 V2'!X13)</f>
        <v/>
      </c>
    </row>
    <row r="15" spans="1:65" ht="16" thickBot="1" x14ac:dyDescent="0.4">
      <c r="A15">
        <v>1</v>
      </c>
      <c r="B15" s="59" t="s">
        <v>40</v>
      </c>
      <c r="C15" s="59"/>
      <c r="D15" s="35"/>
      <c r="E15" s="36">
        <f>VLOOKUP($B15,'[1]V1 V2'!$B$5:$BW$1894,74,0)</f>
        <v>0</v>
      </c>
      <c r="F15" s="37"/>
      <c r="G15" s="38"/>
      <c r="H15" s="39"/>
      <c r="I15" s="37"/>
      <c r="J15" s="40"/>
      <c r="K15" s="41"/>
      <c r="L15" s="42">
        <v>3.8</v>
      </c>
      <c r="M15" s="43"/>
      <c r="N15" s="44"/>
      <c r="O15" s="60"/>
      <c r="P15" s="46"/>
      <c r="Q15" s="47"/>
      <c r="R15" s="47" t="s">
        <v>29</v>
      </c>
      <c r="S15" s="46"/>
      <c r="T15" s="44" t="s">
        <v>30</v>
      </c>
      <c r="U15" s="62"/>
      <c r="V15" s="49"/>
      <c r="W15" s="49"/>
      <c r="X15" s="49">
        <v>34780.589</v>
      </c>
      <c r="Y15" s="49">
        <v>23.36</v>
      </c>
      <c r="Z15" s="50"/>
      <c r="AA15" s="53" t="s">
        <v>40</v>
      </c>
      <c r="AB15" s="21" t="s">
        <v>2</v>
      </c>
      <c r="AH15" s="63">
        <v>1</v>
      </c>
      <c r="AO15" s="10" t="s">
        <v>3</v>
      </c>
      <c r="AP15" s="53" t="s">
        <v>41</v>
      </c>
      <c r="AQ15" s="50"/>
      <c r="AR15" s="49">
        <v>23.36</v>
      </c>
      <c r="AS15" s="49">
        <v>34780.589</v>
      </c>
      <c r="AT15" s="49"/>
      <c r="AU15" s="49"/>
      <c r="AV15" s="54"/>
      <c r="AW15" s="44" t="s">
        <v>30</v>
      </c>
      <c r="AX15" s="46"/>
      <c r="AY15" s="47" t="s">
        <v>29</v>
      </c>
      <c r="AZ15" s="47"/>
      <c r="BA15" s="46"/>
      <c r="BB15" s="55"/>
      <c r="BC15" s="43"/>
      <c r="BD15" s="43"/>
      <c r="BE15" s="42">
        <v>3.8</v>
      </c>
      <c r="BF15" s="41"/>
      <c r="BG15" s="56"/>
      <c r="BH15" s="57"/>
      <c r="BI15" s="39"/>
      <c r="BJ15" s="38"/>
      <c r="BK15" s="58"/>
      <c r="BL15" s="36">
        <f>VLOOKUP($AP15,'[1]V1 V2'!$B$5:$BW$1894,74,0)</f>
        <v>0</v>
      </c>
      <c r="BM15" s="36" t="str">
        <f>IF('[1]V1 V2'!X14="","",'[1]V1 V2'!X14)</f>
        <v/>
      </c>
    </row>
    <row r="16" spans="1:65" ht="16" thickBot="1" x14ac:dyDescent="0.4">
      <c r="A16">
        <v>1</v>
      </c>
      <c r="B16" s="59"/>
      <c r="C16" s="59"/>
      <c r="D16" s="35"/>
      <c r="E16" s="36"/>
      <c r="F16" s="37"/>
      <c r="G16" s="38"/>
      <c r="H16" s="39"/>
      <c r="I16" s="37"/>
      <c r="J16" s="40"/>
      <c r="K16" s="41"/>
      <c r="L16" s="42"/>
      <c r="M16" s="43"/>
      <c r="N16" s="44"/>
      <c r="O16" s="60"/>
      <c r="P16" s="46"/>
      <c r="Q16" s="61"/>
      <c r="R16" s="61"/>
      <c r="S16" s="46"/>
      <c r="T16" s="44"/>
      <c r="U16" s="62"/>
      <c r="V16" s="49"/>
      <c r="W16" s="49"/>
      <c r="X16" s="49"/>
      <c r="Y16" s="49"/>
      <c r="Z16" s="50">
        <v>12</v>
      </c>
      <c r="AA16" s="53"/>
      <c r="AB16" s="21" t="s">
        <v>2</v>
      </c>
      <c r="AH16" s="63">
        <v>1</v>
      </c>
      <c r="AO16" s="10" t="s">
        <v>3</v>
      </c>
      <c r="AP16" s="53"/>
      <c r="AQ16" s="50">
        <v>12</v>
      </c>
      <c r="AR16" s="49"/>
      <c r="AS16" s="49"/>
      <c r="AT16" s="49"/>
      <c r="AU16" s="49"/>
      <c r="AV16" s="54"/>
      <c r="AW16" s="44"/>
      <c r="AX16" s="46"/>
      <c r="AY16" s="61"/>
      <c r="AZ16" s="61"/>
      <c r="BA16" s="46"/>
      <c r="BB16" s="55"/>
      <c r="BC16" s="43"/>
      <c r="BD16" s="43"/>
      <c r="BE16" s="42"/>
      <c r="BF16" s="41"/>
      <c r="BG16" s="56"/>
      <c r="BH16" s="57"/>
      <c r="BI16" s="39"/>
      <c r="BJ16" s="38"/>
      <c r="BK16" s="58"/>
      <c r="BL16" s="36"/>
      <c r="BM16" s="36" t="str">
        <f>IF('[1]V1 V2'!X15="","",'[1]V1 V2'!X15)</f>
        <v/>
      </c>
    </row>
    <row r="17" spans="1:65" ht="16" thickBot="1" x14ac:dyDescent="0.4">
      <c r="A17">
        <v>1</v>
      </c>
      <c r="B17" s="64" t="s">
        <v>42</v>
      </c>
      <c r="C17" s="65"/>
      <c r="D17" s="66"/>
      <c r="E17" s="36">
        <f>VLOOKUP($B17,'[1]V1 V2'!$B$5:$BW$1894,74,0)</f>
        <v>0</v>
      </c>
      <c r="F17" s="67"/>
      <c r="G17" s="68"/>
      <c r="H17" s="69"/>
      <c r="I17" s="70"/>
      <c r="J17" s="71"/>
      <c r="K17" s="72"/>
      <c r="L17" s="73">
        <v>3.8</v>
      </c>
      <c r="M17" s="74"/>
      <c r="N17" s="75"/>
      <c r="O17" s="76"/>
      <c r="P17" s="77"/>
      <c r="Q17" s="78"/>
      <c r="R17" s="79" t="s">
        <v>29</v>
      </c>
      <c r="S17" s="77"/>
      <c r="T17" s="75" t="s">
        <v>33</v>
      </c>
      <c r="U17" s="80"/>
      <c r="V17" s="81"/>
      <c r="W17" s="81"/>
      <c r="X17" s="81">
        <v>34768.589</v>
      </c>
      <c r="Y17" s="81">
        <v>35.36</v>
      </c>
      <c r="Z17" s="82"/>
      <c r="AA17" s="83" t="s">
        <v>42</v>
      </c>
      <c r="AB17" s="21" t="s">
        <v>2</v>
      </c>
      <c r="AH17" s="63">
        <v>1</v>
      </c>
      <c r="AO17" s="10" t="s">
        <v>3</v>
      </c>
      <c r="AP17" s="83" t="s">
        <v>42</v>
      </c>
      <c r="AQ17" s="82"/>
      <c r="AR17" s="81">
        <v>35.36</v>
      </c>
      <c r="AS17" s="81">
        <v>34768.589</v>
      </c>
      <c r="AT17" s="81"/>
      <c r="AU17" s="81"/>
      <c r="AV17" s="84"/>
      <c r="AW17" s="75" t="s">
        <v>33</v>
      </c>
      <c r="AX17" s="77"/>
      <c r="AY17" s="79" t="s">
        <v>29</v>
      </c>
      <c r="AZ17" s="78"/>
      <c r="BA17" s="77"/>
      <c r="BB17" s="85"/>
      <c r="BC17" s="74"/>
      <c r="BD17" s="74"/>
      <c r="BE17" s="73">
        <v>3.8</v>
      </c>
      <c r="BF17" s="72"/>
      <c r="BG17" s="86"/>
      <c r="BH17" s="87"/>
      <c r="BI17" s="69"/>
      <c r="BJ17" s="68"/>
      <c r="BK17" s="88"/>
      <c r="BL17" s="36">
        <f>VLOOKUP($AP17,'[1]V1 V2'!$B$5:$BW$1894,74,0)</f>
        <v>0</v>
      </c>
      <c r="BM17" s="36" t="str">
        <f>IF('[1]V1 V2'!X16="","",'[1]V1 V2'!X16)</f>
        <v/>
      </c>
    </row>
    <row r="18" spans="1:65" ht="44" thickBot="1" x14ac:dyDescent="0.4">
      <c r="A18">
        <v>1</v>
      </c>
      <c r="B18" s="89" t="s">
        <v>43</v>
      </c>
      <c r="C18" s="90"/>
      <c r="D18" s="91"/>
      <c r="E18" s="36">
        <f>VLOOKUP($B18,'[1]V1 V2'!$B$5:$BW$1894,74,0)</f>
        <v>0</v>
      </c>
      <c r="F18" s="67"/>
      <c r="G18" s="68"/>
      <c r="H18" s="92"/>
      <c r="I18" s="70"/>
      <c r="J18" s="71"/>
      <c r="K18" s="72"/>
      <c r="L18" s="73"/>
      <c r="M18" s="74"/>
      <c r="N18" s="75"/>
      <c r="O18" s="76"/>
      <c r="P18" s="77"/>
      <c r="Q18" s="79"/>
      <c r="R18" s="79"/>
      <c r="S18" s="77"/>
      <c r="T18" s="75"/>
      <c r="U18" s="80"/>
      <c r="V18" s="81"/>
      <c r="W18" s="81"/>
      <c r="X18" s="81"/>
      <c r="Y18" s="81"/>
      <c r="Z18" s="82">
        <v>6.2</v>
      </c>
      <c r="AA18" s="93" t="s">
        <v>43</v>
      </c>
      <c r="AB18" s="21" t="s">
        <v>2</v>
      </c>
      <c r="AH18" s="63">
        <v>1</v>
      </c>
      <c r="AO18" s="10" t="s">
        <v>3</v>
      </c>
      <c r="AP18" s="93" t="s">
        <v>43</v>
      </c>
      <c r="AQ18" s="82">
        <v>6.2</v>
      </c>
      <c r="AR18" s="81"/>
      <c r="AS18" s="81"/>
      <c r="AT18" s="81"/>
      <c r="AU18" s="81"/>
      <c r="AV18" s="84"/>
      <c r="AW18" s="75"/>
      <c r="AX18" s="77"/>
      <c r="AY18" s="79"/>
      <c r="AZ18" s="79"/>
      <c r="BA18" s="77"/>
      <c r="BB18" s="85"/>
      <c r="BC18" s="74"/>
      <c r="BD18" s="74"/>
      <c r="BE18" s="73"/>
      <c r="BF18" s="72"/>
      <c r="BG18" s="86"/>
      <c r="BH18" s="87"/>
      <c r="BI18" s="92"/>
      <c r="BJ18" s="68"/>
      <c r="BK18" s="88"/>
      <c r="BL18" s="36">
        <f>VLOOKUP($AP18,'[1]V1 V2'!$B$5:$BW$1894,74,0)</f>
        <v>0</v>
      </c>
      <c r="BM18" s="36" t="str">
        <f>IF('[1]V1 V2'!X17="","",'[1]V1 V2'!X17)</f>
        <v/>
      </c>
    </row>
    <row r="19" spans="1:65" ht="16" thickBot="1" x14ac:dyDescent="0.4">
      <c r="A19">
        <v>1</v>
      </c>
      <c r="B19" s="94" t="s">
        <v>44</v>
      </c>
      <c r="C19" s="94"/>
      <c r="D19" s="95"/>
      <c r="E19" s="36">
        <f>VLOOKUP($B19,'[1]V1 V2'!$B$5:$BW$1894,74,0)</f>
        <v>0</v>
      </c>
      <c r="F19" s="96"/>
      <c r="G19" s="97"/>
      <c r="H19" s="98"/>
      <c r="I19" s="96"/>
      <c r="J19" s="99"/>
      <c r="K19" s="100"/>
      <c r="L19" s="101">
        <v>3.8</v>
      </c>
      <c r="M19" s="102"/>
      <c r="N19" s="103"/>
      <c r="O19" s="104"/>
      <c r="P19" s="105"/>
      <c r="Q19" s="106"/>
      <c r="R19" s="107" t="s">
        <v>29</v>
      </c>
      <c r="S19" s="105"/>
      <c r="T19" s="103" t="s">
        <v>33</v>
      </c>
      <c r="U19" s="108"/>
      <c r="V19" s="109"/>
      <c r="W19" s="109"/>
      <c r="X19" s="109">
        <v>34762.389000000003</v>
      </c>
      <c r="Y19" s="109">
        <v>41.56</v>
      </c>
      <c r="Z19" s="110"/>
      <c r="AA19" s="111" t="s">
        <v>44</v>
      </c>
      <c r="AB19" s="21" t="s">
        <v>2</v>
      </c>
      <c r="AC19" s="112"/>
      <c r="AD19" s="113"/>
      <c r="AE19" s="113"/>
      <c r="AF19" s="113"/>
      <c r="AG19" s="113"/>
      <c r="AH19" s="114"/>
      <c r="AI19" s="113"/>
      <c r="AJ19" s="113"/>
      <c r="AK19" s="113"/>
      <c r="AL19" s="113"/>
      <c r="AM19" s="113"/>
      <c r="AN19" s="115"/>
      <c r="AO19" s="10" t="s">
        <v>3</v>
      </c>
      <c r="AP19" s="111" t="s">
        <v>45</v>
      </c>
      <c r="AQ19" s="110"/>
      <c r="AR19" s="109">
        <v>41.56</v>
      </c>
      <c r="AS19" s="109">
        <v>34762.389000000003</v>
      </c>
      <c r="AT19" s="109"/>
      <c r="AU19" s="109"/>
      <c r="AV19" s="95"/>
      <c r="AW19" s="103" t="s">
        <v>33</v>
      </c>
      <c r="AX19" s="105"/>
      <c r="AY19" s="107" t="s">
        <v>29</v>
      </c>
      <c r="AZ19" s="106"/>
      <c r="BA19" s="105"/>
      <c r="BB19" s="116"/>
      <c r="BC19" s="102"/>
      <c r="BD19" s="102"/>
      <c r="BE19" s="101">
        <v>3.8</v>
      </c>
      <c r="BF19" s="100"/>
      <c r="BG19" s="117"/>
      <c r="BH19" s="118"/>
      <c r="BI19" s="98"/>
      <c r="BJ19" s="97"/>
      <c r="BK19" s="119"/>
      <c r="BL19" s="36">
        <f>VLOOKUP($AP19,'[1]V1 V2'!$B$5:$BW$1894,74,0)</f>
        <v>0</v>
      </c>
      <c r="BM19" s="36" t="str">
        <f>IF('[1]V1 V2'!X18="","",'[1]V1 V2'!X18)</f>
        <v/>
      </c>
    </row>
    <row r="20" spans="1:65" ht="16" thickBot="1" x14ac:dyDescent="0.4">
      <c r="A20">
        <v>1</v>
      </c>
      <c r="B20" s="59"/>
      <c r="C20" s="59"/>
      <c r="D20" s="35"/>
      <c r="E20" s="36"/>
      <c r="F20" s="37"/>
      <c r="G20" s="38"/>
      <c r="H20" s="39"/>
      <c r="I20" s="37"/>
      <c r="J20" s="40"/>
      <c r="K20" s="41"/>
      <c r="L20" s="42"/>
      <c r="M20" s="43"/>
      <c r="N20" s="44"/>
      <c r="O20" s="60"/>
      <c r="P20" s="46"/>
      <c r="Q20" s="47"/>
      <c r="R20" s="47"/>
      <c r="S20" s="46"/>
      <c r="T20" s="44"/>
      <c r="U20" s="62"/>
      <c r="V20" s="49"/>
      <c r="W20" s="49"/>
      <c r="X20" s="49"/>
      <c r="Y20" s="49"/>
      <c r="Z20" s="50">
        <v>12</v>
      </c>
      <c r="AA20" s="53"/>
      <c r="AB20" s="21" t="s">
        <v>2</v>
      </c>
      <c r="AC20" s="120"/>
      <c r="AH20" s="63">
        <v>1</v>
      </c>
      <c r="AN20" s="121"/>
      <c r="AO20" s="10" t="s">
        <v>3</v>
      </c>
      <c r="AP20" s="53"/>
      <c r="AQ20" s="50">
        <v>12</v>
      </c>
      <c r="AR20" s="49"/>
      <c r="AS20" s="49"/>
      <c r="AT20" s="49"/>
      <c r="AU20" s="49"/>
      <c r="AV20" s="54"/>
      <c r="AW20" s="44"/>
      <c r="AX20" s="46"/>
      <c r="AY20" s="47"/>
      <c r="AZ20" s="47"/>
      <c r="BA20" s="46"/>
      <c r="BB20" s="55"/>
      <c r="BC20" s="43"/>
      <c r="BD20" s="43"/>
      <c r="BE20" s="42"/>
      <c r="BF20" s="41"/>
      <c r="BG20" s="56"/>
      <c r="BH20" s="57"/>
      <c r="BI20" s="39"/>
      <c r="BJ20" s="38"/>
      <c r="BK20" s="58"/>
      <c r="BL20" s="36"/>
      <c r="BM20" s="36" t="str">
        <f>IF('[1]V1 V2'!X19="","",'[1]V1 V2'!X19)</f>
        <v/>
      </c>
    </row>
    <row r="21" spans="1:65" ht="16" thickBot="1" x14ac:dyDescent="0.4">
      <c r="A21">
        <v>1</v>
      </c>
      <c r="B21" s="59" t="s">
        <v>46</v>
      </c>
      <c r="C21" s="59"/>
      <c r="D21" s="35"/>
      <c r="E21" s="36">
        <f>VLOOKUP($B21,'[1]V1 V2'!$B$5:$BW$1894,74,0)</f>
        <v>0</v>
      </c>
      <c r="F21" s="37"/>
      <c r="G21" s="38"/>
      <c r="H21" s="39"/>
      <c r="I21" s="37"/>
      <c r="J21" s="40"/>
      <c r="K21" s="41"/>
      <c r="L21" s="42">
        <v>3.8</v>
      </c>
      <c r="M21" s="43"/>
      <c r="N21" s="44"/>
      <c r="O21" s="60"/>
      <c r="P21" s="46"/>
      <c r="Q21" s="61"/>
      <c r="R21" s="61" t="s">
        <v>29</v>
      </c>
      <c r="S21" s="46"/>
      <c r="T21" s="44" t="s">
        <v>30</v>
      </c>
      <c r="U21" s="62"/>
      <c r="V21" s="49"/>
      <c r="W21" s="49"/>
      <c r="X21" s="49">
        <v>34750.389000000003</v>
      </c>
      <c r="Y21" s="49">
        <v>53.56</v>
      </c>
      <c r="Z21" s="50"/>
      <c r="AA21" s="53" t="s">
        <v>46</v>
      </c>
      <c r="AB21" s="21" t="s">
        <v>2</v>
      </c>
      <c r="AC21" s="120"/>
      <c r="AH21" s="63">
        <v>1</v>
      </c>
      <c r="AN21" s="121"/>
      <c r="AO21" s="10" t="s">
        <v>3</v>
      </c>
      <c r="AP21" s="53" t="s">
        <v>47</v>
      </c>
      <c r="AQ21" s="50"/>
      <c r="AR21" s="49">
        <v>53.56</v>
      </c>
      <c r="AS21" s="49">
        <v>34750.389000000003</v>
      </c>
      <c r="AT21" s="49"/>
      <c r="AU21" s="49"/>
      <c r="AV21" s="54"/>
      <c r="AW21" s="44" t="s">
        <v>30</v>
      </c>
      <c r="AX21" s="46"/>
      <c r="AY21" s="61" t="s">
        <v>29</v>
      </c>
      <c r="AZ21" s="61"/>
      <c r="BA21" s="46"/>
      <c r="BB21" s="55"/>
      <c r="BC21" s="43"/>
      <c r="BD21" s="43"/>
      <c r="BE21" s="42">
        <v>3.8</v>
      </c>
      <c r="BF21" s="41"/>
      <c r="BG21" s="56"/>
      <c r="BH21" s="57"/>
      <c r="BI21" s="39"/>
      <c r="BJ21" s="38"/>
      <c r="BK21" s="58"/>
      <c r="BL21" s="36">
        <f>VLOOKUP($AP21,'[1]V1 V2'!$B$5:$BW$1894,74,0)</f>
        <v>0</v>
      </c>
      <c r="BM21" s="36" t="str">
        <f>IF('[1]V1 V2'!X20="","",'[1]V1 V2'!X20)</f>
        <v/>
      </c>
    </row>
    <row r="22" spans="1:65" ht="16" thickBot="1" x14ac:dyDescent="0.4">
      <c r="A22">
        <v>1</v>
      </c>
      <c r="B22" s="59"/>
      <c r="C22" s="59"/>
      <c r="D22" s="35"/>
      <c r="E22" s="36"/>
      <c r="F22" s="37"/>
      <c r="G22" s="38"/>
      <c r="H22" s="39"/>
      <c r="I22" s="37"/>
      <c r="J22" s="40"/>
      <c r="K22" s="41"/>
      <c r="L22" s="42"/>
      <c r="M22" s="43"/>
      <c r="N22" s="44"/>
      <c r="O22" s="60"/>
      <c r="P22" s="46"/>
      <c r="Q22" s="47"/>
      <c r="R22" s="47"/>
      <c r="S22" s="46"/>
      <c r="T22" s="44"/>
      <c r="U22" s="62" t="s">
        <v>48</v>
      </c>
      <c r="V22" s="49"/>
      <c r="W22" s="49"/>
      <c r="X22" s="49"/>
      <c r="Y22" s="49"/>
      <c r="Z22" s="50">
        <v>12</v>
      </c>
      <c r="AA22" s="53"/>
      <c r="AB22" s="21" t="s">
        <v>2</v>
      </c>
      <c r="AC22" s="120"/>
      <c r="AH22" s="63">
        <v>1</v>
      </c>
      <c r="AN22" s="121"/>
      <c r="AO22" s="10" t="s">
        <v>3</v>
      </c>
      <c r="AP22" s="56"/>
      <c r="AQ22" s="50">
        <v>12</v>
      </c>
      <c r="AR22" s="49"/>
      <c r="AS22" s="49"/>
      <c r="AT22" s="49"/>
      <c r="AU22" s="49"/>
      <c r="AV22" s="54" t="s">
        <v>48</v>
      </c>
      <c r="AW22" s="44"/>
      <c r="AX22" s="46"/>
      <c r="AY22" s="47"/>
      <c r="AZ22" s="47"/>
      <c r="BA22" s="46"/>
      <c r="BB22" s="55"/>
      <c r="BC22" s="43"/>
      <c r="BD22" s="43"/>
      <c r="BE22" s="42"/>
      <c r="BF22" s="41"/>
      <c r="BG22" s="56"/>
      <c r="BH22" s="57"/>
      <c r="BI22" s="39"/>
      <c r="BJ22" s="38"/>
      <c r="BK22" s="58"/>
      <c r="BL22" s="36"/>
      <c r="BM22" s="36" t="str">
        <f>IF('[1]V1 V2'!X21="","",'[1]V1 V2'!X21)</f>
        <v/>
      </c>
    </row>
    <row r="23" spans="1:65" ht="16" thickBot="1" x14ac:dyDescent="0.4">
      <c r="A23">
        <v>1</v>
      </c>
      <c r="B23" s="59" t="s">
        <v>49</v>
      </c>
      <c r="C23" s="59"/>
      <c r="D23" s="35"/>
      <c r="E23" s="36">
        <f>VLOOKUP($B23,'[1]V1 V2'!$B$5:$BW$1894,74,0)</f>
        <v>0</v>
      </c>
      <c r="F23" s="37"/>
      <c r="G23" s="38"/>
      <c r="H23" s="39"/>
      <c r="I23" s="37"/>
      <c r="J23" s="40"/>
      <c r="K23" s="41"/>
      <c r="L23" s="42">
        <v>3.8</v>
      </c>
      <c r="M23" s="43"/>
      <c r="N23" s="44"/>
      <c r="O23" s="60"/>
      <c r="P23" s="46"/>
      <c r="Q23" s="61"/>
      <c r="R23" s="61" t="s">
        <v>29</v>
      </c>
      <c r="S23" s="46"/>
      <c r="T23" s="44" t="s">
        <v>30</v>
      </c>
      <c r="U23" s="62"/>
      <c r="V23" s="49"/>
      <c r="W23" s="49"/>
      <c r="X23" s="49">
        <v>34738.389000000003</v>
      </c>
      <c r="Y23" s="49">
        <v>65.56</v>
      </c>
      <c r="Z23" s="50"/>
      <c r="AA23" s="53" t="s">
        <v>49</v>
      </c>
      <c r="AB23" s="21" t="s">
        <v>2</v>
      </c>
      <c r="AC23" s="120"/>
      <c r="AH23" s="63">
        <v>1</v>
      </c>
      <c r="AN23" s="121"/>
      <c r="AO23" s="10" t="s">
        <v>3</v>
      </c>
      <c r="AP23" s="53" t="s">
        <v>50</v>
      </c>
      <c r="AQ23" s="50"/>
      <c r="AR23" s="49">
        <v>65.56</v>
      </c>
      <c r="AS23" s="49">
        <v>34738.389000000003</v>
      </c>
      <c r="AT23" s="49"/>
      <c r="AU23" s="49"/>
      <c r="AV23" s="54"/>
      <c r="AW23" s="44" t="s">
        <v>30</v>
      </c>
      <c r="AX23" s="46"/>
      <c r="AY23" s="61" t="s">
        <v>29</v>
      </c>
      <c r="AZ23" s="61"/>
      <c r="BA23" s="46"/>
      <c r="BB23" s="55"/>
      <c r="BC23" s="43"/>
      <c r="BD23" s="43"/>
      <c r="BE23" s="42">
        <v>3.8</v>
      </c>
      <c r="BF23" s="41"/>
      <c r="BG23" s="56"/>
      <c r="BH23" s="57"/>
      <c r="BI23" s="39"/>
      <c r="BJ23" s="38"/>
      <c r="BK23" s="58"/>
      <c r="BL23" s="36">
        <f>VLOOKUP($AP23,'[1]V1 V2'!$B$5:$BW$1894,74,0)</f>
        <v>0</v>
      </c>
      <c r="BM23" s="36" t="str">
        <f>IF('[1]V1 V2'!X22="","",'[1]V1 V2'!X22)</f>
        <v/>
      </c>
    </row>
    <row r="24" spans="1:65" ht="16" thickBot="1" x14ac:dyDescent="0.4">
      <c r="A24">
        <v>1</v>
      </c>
      <c r="B24" s="59"/>
      <c r="C24" s="59"/>
      <c r="D24" s="35"/>
      <c r="E24" s="36"/>
      <c r="F24" s="37"/>
      <c r="G24" s="38"/>
      <c r="H24" s="39"/>
      <c r="I24" s="37"/>
      <c r="J24" s="40"/>
      <c r="K24" s="41"/>
      <c r="L24" s="42"/>
      <c r="M24" s="43"/>
      <c r="N24" s="44"/>
      <c r="O24" s="60"/>
      <c r="P24" s="46"/>
      <c r="Q24" s="47"/>
      <c r="R24" s="47"/>
      <c r="S24" s="46"/>
      <c r="T24" s="44"/>
      <c r="U24" s="62" t="s">
        <v>48</v>
      </c>
      <c r="V24" s="49"/>
      <c r="W24" s="49"/>
      <c r="X24" s="49"/>
      <c r="Y24" s="49"/>
      <c r="Z24" s="50">
        <v>12</v>
      </c>
      <c r="AA24" s="53"/>
      <c r="AB24" s="21" t="s">
        <v>2</v>
      </c>
      <c r="AC24" s="120"/>
      <c r="AH24" s="63">
        <v>1</v>
      </c>
      <c r="AN24" s="121"/>
      <c r="AO24" s="10" t="s">
        <v>3</v>
      </c>
      <c r="AP24" s="53"/>
      <c r="AQ24" s="50">
        <v>12</v>
      </c>
      <c r="AR24" s="49"/>
      <c r="AS24" s="49"/>
      <c r="AT24" s="49"/>
      <c r="AU24" s="49"/>
      <c r="AV24" s="54" t="s">
        <v>48</v>
      </c>
      <c r="AW24" s="44"/>
      <c r="AX24" s="46"/>
      <c r="AY24" s="47"/>
      <c r="AZ24" s="47"/>
      <c r="BA24" s="46"/>
      <c r="BB24" s="55"/>
      <c r="BC24" s="43"/>
      <c r="BD24" s="43"/>
      <c r="BE24" s="42"/>
      <c r="BF24" s="41"/>
      <c r="BG24" s="56"/>
      <c r="BH24" s="57"/>
      <c r="BI24" s="39"/>
      <c r="BJ24" s="38"/>
      <c r="BK24" s="58"/>
      <c r="BL24" s="36"/>
      <c r="BM24" s="36" t="str">
        <f>IF('[1]V1 V2'!X23="","",'[1]V1 V2'!X23)</f>
        <v/>
      </c>
    </row>
    <row r="25" spans="1:65" ht="16" thickBot="1" x14ac:dyDescent="0.4">
      <c r="A25">
        <v>1</v>
      </c>
      <c r="B25" s="59" t="s">
        <v>51</v>
      </c>
      <c r="C25" s="59"/>
      <c r="D25" s="35"/>
      <c r="E25" s="36">
        <f>VLOOKUP($B25,'[1]V1 V2'!$B$5:$BW$1894,74,0)</f>
        <v>0</v>
      </c>
      <c r="F25" s="37"/>
      <c r="G25" s="38"/>
      <c r="H25" s="39"/>
      <c r="I25" s="37"/>
      <c r="J25" s="40"/>
      <c r="K25" s="41"/>
      <c r="L25" s="42">
        <v>3.8</v>
      </c>
      <c r="M25" s="43"/>
      <c r="N25" s="44"/>
      <c r="O25" s="60"/>
      <c r="P25" s="46"/>
      <c r="Q25" s="61"/>
      <c r="R25" s="61" t="s">
        <v>29</v>
      </c>
      <c r="S25" s="46"/>
      <c r="T25" s="44" t="s">
        <v>30</v>
      </c>
      <c r="U25" s="62"/>
      <c r="V25" s="49"/>
      <c r="W25" s="49"/>
      <c r="X25" s="49">
        <v>34726.389000000003</v>
      </c>
      <c r="Y25" s="49">
        <v>77.56</v>
      </c>
      <c r="Z25" s="50"/>
      <c r="AA25" s="53" t="s">
        <v>51</v>
      </c>
      <c r="AB25" s="21" t="s">
        <v>2</v>
      </c>
      <c r="AC25" s="120"/>
      <c r="AH25" s="63">
        <v>1</v>
      </c>
      <c r="AN25" s="121"/>
      <c r="AO25" s="10" t="s">
        <v>3</v>
      </c>
      <c r="AP25" s="53" t="s">
        <v>52</v>
      </c>
      <c r="AQ25" s="50"/>
      <c r="AR25" s="49">
        <v>77.56</v>
      </c>
      <c r="AS25" s="49">
        <v>34726.389000000003</v>
      </c>
      <c r="AT25" s="49"/>
      <c r="AU25" s="49"/>
      <c r="AV25" s="54"/>
      <c r="AW25" s="44" t="s">
        <v>30</v>
      </c>
      <c r="AX25" s="46"/>
      <c r="AY25" s="61" t="s">
        <v>29</v>
      </c>
      <c r="AZ25" s="61"/>
      <c r="BA25" s="46"/>
      <c r="BB25" s="55"/>
      <c r="BC25" s="43"/>
      <c r="BD25" s="43"/>
      <c r="BE25" s="42">
        <v>3.8</v>
      </c>
      <c r="BF25" s="41"/>
      <c r="BG25" s="56"/>
      <c r="BH25" s="57"/>
      <c r="BI25" s="39"/>
      <c r="BJ25" s="38"/>
      <c r="BK25" s="58"/>
      <c r="BL25" s="36">
        <f>VLOOKUP($AP25,'[1]V1 V2'!$B$5:$BW$1894,74,0)</f>
        <v>0</v>
      </c>
      <c r="BM25" s="36" t="str">
        <f>IF('[1]V1 V2'!X24="","",'[1]V1 V2'!X24)</f>
        <v/>
      </c>
    </row>
    <row r="26" spans="1:65" ht="16" thickBot="1" x14ac:dyDescent="0.4">
      <c r="A26">
        <v>1</v>
      </c>
      <c r="B26" s="59"/>
      <c r="C26" s="59"/>
      <c r="D26" s="35"/>
      <c r="E26" s="36"/>
      <c r="F26" s="37"/>
      <c r="G26" s="38"/>
      <c r="H26" s="39"/>
      <c r="I26" s="37"/>
      <c r="J26" s="40"/>
      <c r="K26" s="41"/>
      <c r="L26" s="42"/>
      <c r="M26" s="43"/>
      <c r="N26" s="44"/>
      <c r="O26" s="60"/>
      <c r="P26" s="46"/>
      <c r="Q26" s="47"/>
      <c r="R26" s="47"/>
      <c r="S26" s="46"/>
      <c r="T26" s="44"/>
      <c r="U26" s="62">
        <v>-200</v>
      </c>
      <c r="V26" s="49"/>
      <c r="W26" s="49"/>
      <c r="X26" s="49"/>
      <c r="Y26" s="49"/>
      <c r="Z26" s="50">
        <v>12</v>
      </c>
      <c r="AA26" s="53"/>
      <c r="AB26" s="21" t="s">
        <v>2</v>
      </c>
      <c r="AC26" s="120"/>
      <c r="AH26" s="63">
        <v>1</v>
      </c>
      <c r="AN26" s="121"/>
      <c r="AO26" s="10" t="s">
        <v>3</v>
      </c>
      <c r="AP26" s="53"/>
      <c r="AQ26" s="50">
        <v>12</v>
      </c>
      <c r="AR26" s="49"/>
      <c r="AS26" s="49"/>
      <c r="AT26" s="49"/>
      <c r="AU26" s="49"/>
      <c r="AV26" s="54">
        <v>-200</v>
      </c>
      <c r="AW26" s="44"/>
      <c r="AX26" s="46"/>
      <c r="AY26" s="47"/>
      <c r="AZ26" s="47"/>
      <c r="BA26" s="46"/>
      <c r="BB26" s="55"/>
      <c r="BC26" s="43"/>
      <c r="BD26" s="43"/>
      <c r="BE26" s="42"/>
      <c r="BF26" s="41"/>
      <c r="BG26" s="56"/>
      <c r="BH26" s="57"/>
      <c r="BI26" s="39"/>
      <c r="BJ26" s="38"/>
      <c r="BK26" s="58"/>
      <c r="BL26" s="36"/>
      <c r="BM26" s="36" t="str">
        <f>IF('[1]V1 V2'!X25="","",'[1]V1 V2'!X25)</f>
        <v/>
      </c>
    </row>
    <row r="27" spans="1:65" ht="16" thickBot="1" x14ac:dyDescent="0.4">
      <c r="A27">
        <v>1</v>
      </c>
      <c r="B27" s="59" t="s">
        <v>53</v>
      </c>
      <c r="C27" s="59"/>
      <c r="D27" s="35"/>
      <c r="E27" s="36">
        <f>VLOOKUP($B27,'[1]V1 V2'!$B$5:$BW$1894,74,0)</f>
        <v>0</v>
      </c>
      <c r="F27" s="37"/>
      <c r="G27" s="38"/>
      <c r="H27" s="39"/>
      <c r="I27" s="37"/>
      <c r="J27" s="40"/>
      <c r="K27" s="41"/>
      <c r="L27" s="42">
        <v>3.8</v>
      </c>
      <c r="M27" s="43"/>
      <c r="N27" s="44"/>
      <c r="O27" s="60"/>
      <c r="P27" s="46"/>
      <c r="Q27" s="61"/>
      <c r="R27" s="61" t="s">
        <v>29</v>
      </c>
      <c r="S27" s="46"/>
      <c r="T27" s="44" t="s">
        <v>30</v>
      </c>
      <c r="U27" s="62"/>
      <c r="V27" s="49"/>
      <c r="W27" s="49"/>
      <c r="X27" s="49">
        <v>34714.389000000003</v>
      </c>
      <c r="Y27" s="49">
        <v>89.56</v>
      </c>
      <c r="Z27" s="50"/>
      <c r="AA27" s="53" t="s">
        <v>53</v>
      </c>
      <c r="AB27" s="21" t="s">
        <v>2</v>
      </c>
      <c r="AC27" s="120"/>
      <c r="AH27" s="63">
        <v>1</v>
      </c>
      <c r="AN27" s="121"/>
      <c r="AO27" s="10" t="s">
        <v>3</v>
      </c>
      <c r="AP27" s="53" t="s">
        <v>54</v>
      </c>
      <c r="AQ27" s="50"/>
      <c r="AR27" s="49">
        <v>89.56</v>
      </c>
      <c r="AS27" s="49">
        <v>34714.389000000003</v>
      </c>
      <c r="AT27" s="49"/>
      <c r="AU27" s="49"/>
      <c r="AV27" s="54"/>
      <c r="AW27" s="44" t="s">
        <v>30</v>
      </c>
      <c r="AX27" s="46"/>
      <c r="AY27" s="61" t="s">
        <v>29</v>
      </c>
      <c r="AZ27" s="61"/>
      <c r="BA27" s="46"/>
      <c r="BB27" s="55"/>
      <c r="BC27" s="43"/>
      <c r="BD27" s="43"/>
      <c r="BE27" s="42">
        <v>3.8</v>
      </c>
      <c r="BF27" s="41"/>
      <c r="BG27" s="56"/>
      <c r="BH27" s="57"/>
      <c r="BI27" s="39"/>
      <c r="BJ27" s="38"/>
      <c r="BK27" s="58"/>
      <c r="BL27" s="36">
        <f>VLOOKUP($AP27,'[1]V1 V2'!$B$5:$BW$1894,74,0)</f>
        <v>0</v>
      </c>
      <c r="BM27" s="36" t="str">
        <f>IF('[1]V1 V2'!X26="","",'[1]V1 V2'!X26)</f>
        <v/>
      </c>
    </row>
    <row r="28" spans="1:65" ht="16" thickBot="1" x14ac:dyDescent="0.4">
      <c r="A28">
        <v>1</v>
      </c>
      <c r="B28" s="59"/>
      <c r="C28" s="59"/>
      <c r="D28" s="35"/>
      <c r="E28" s="36"/>
      <c r="F28" s="37"/>
      <c r="G28" s="38"/>
      <c r="H28" s="39"/>
      <c r="I28" s="37"/>
      <c r="J28" s="40"/>
      <c r="K28" s="41"/>
      <c r="L28" s="42"/>
      <c r="M28" s="43"/>
      <c r="N28" s="44"/>
      <c r="O28" s="60"/>
      <c r="P28" s="46"/>
      <c r="Q28" s="47"/>
      <c r="R28" s="47"/>
      <c r="S28" s="46"/>
      <c r="T28" s="44"/>
      <c r="U28" s="62">
        <v>-200</v>
      </c>
      <c r="V28" s="49"/>
      <c r="W28" s="49"/>
      <c r="X28" s="49"/>
      <c r="Y28" s="49"/>
      <c r="Z28" s="50">
        <v>12</v>
      </c>
      <c r="AA28" s="53"/>
      <c r="AB28" s="21" t="s">
        <v>2</v>
      </c>
      <c r="AC28" s="120"/>
      <c r="AH28" s="63">
        <v>1</v>
      </c>
      <c r="AN28" s="121"/>
      <c r="AO28" s="10" t="s">
        <v>3</v>
      </c>
      <c r="AP28" s="53"/>
      <c r="AQ28" s="50">
        <v>12</v>
      </c>
      <c r="AR28" s="49"/>
      <c r="AS28" s="49"/>
      <c r="AT28" s="49"/>
      <c r="AU28" s="49"/>
      <c r="AV28" s="54">
        <v>-200</v>
      </c>
      <c r="AW28" s="44"/>
      <c r="AX28" s="46"/>
      <c r="AY28" s="47"/>
      <c r="AZ28" s="47"/>
      <c r="BA28" s="46"/>
      <c r="BB28" s="55"/>
      <c r="BC28" s="43"/>
      <c r="BD28" s="43"/>
      <c r="BE28" s="42"/>
      <c r="BF28" s="41"/>
      <c r="BG28" s="56"/>
      <c r="BH28" s="57"/>
      <c r="BI28" s="39"/>
      <c r="BJ28" s="38"/>
      <c r="BK28" s="58"/>
      <c r="BL28" s="36"/>
      <c r="BM28" s="36" t="str">
        <f>IF('[1]V1 V2'!X27="","",'[1]V1 V2'!X27)</f>
        <v/>
      </c>
    </row>
    <row r="29" spans="1:65" ht="16" thickBot="1" x14ac:dyDescent="0.4">
      <c r="A29">
        <v>1</v>
      </c>
      <c r="B29" s="59" t="s">
        <v>55</v>
      </c>
      <c r="C29" s="59"/>
      <c r="D29" s="35"/>
      <c r="E29" s="36">
        <f>VLOOKUP($B29,'[1]V1 V2'!$B$5:$BW$1894,74,0)</f>
        <v>0</v>
      </c>
      <c r="F29" s="37"/>
      <c r="G29" s="38"/>
      <c r="H29" s="39"/>
      <c r="I29" s="37"/>
      <c r="J29" s="40"/>
      <c r="K29" s="41"/>
      <c r="L29" s="42">
        <v>3.8</v>
      </c>
      <c r="M29" s="43"/>
      <c r="N29" s="44"/>
      <c r="O29" s="60"/>
      <c r="P29" s="46"/>
      <c r="Q29" s="61"/>
      <c r="R29" s="61" t="s">
        <v>29</v>
      </c>
      <c r="S29" s="46"/>
      <c r="T29" s="44" t="s">
        <v>30</v>
      </c>
      <c r="U29" s="62"/>
      <c r="V29" s="49"/>
      <c r="W29" s="49"/>
      <c r="X29" s="49">
        <v>34702.389000000003</v>
      </c>
      <c r="Y29" s="49">
        <v>101.56</v>
      </c>
      <c r="Z29" s="50"/>
      <c r="AA29" s="53" t="s">
        <v>55</v>
      </c>
      <c r="AB29" s="21" t="s">
        <v>2</v>
      </c>
      <c r="AC29" s="120"/>
      <c r="AH29" s="63">
        <v>1</v>
      </c>
      <c r="AN29" s="121"/>
      <c r="AO29" s="10" t="s">
        <v>3</v>
      </c>
      <c r="AP29" s="53" t="s">
        <v>56</v>
      </c>
      <c r="AQ29" s="50"/>
      <c r="AR29" s="49">
        <v>101.56</v>
      </c>
      <c r="AS29" s="49">
        <v>34702.389000000003</v>
      </c>
      <c r="AT29" s="49"/>
      <c r="AU29" s="49"/>
      <c r="AV29" s="54"/>
      <c r="AW29" s="44" t="s">
        <v>30</v>
      </c>
      <c r="AX29" s="46"/>
      <c r="AY29" s="61" t="s">
        <v>29</v>
      </c>
      <c r="AZ29" s="61"/>
      <c r="BA29" s="46"/>
      <c r="BB29" s="55"/>
      <c r="BC29" s="43"/>
      <c r="BD29" s="43"/>
      <c r="BE29" s="42">
        <v>3.8</v>
      </c>
      <c r="BF29" s="41"/>
      <c r="BG29" s="56"/>
      <c r="BH29" s="57"/>
      <c r="BI29" s="39"/>
      <c r="BJ29" s="38"/>
      <c r="BK29" s="58"/>
      <c r="BL29" s="36">
        <f>VLOOKUP($AP29,'[1]V1 V2'!$B$5:$BW$1894,74,0)</f>
        <v>0</v>
      </c>
      <c r="BM29" s="36" t="str">
        <f>IF('[1]V1 V2'!X28="","",'[1]V1 V2'!X28)</f>
        <v/>
      </c>
    </row>
    <row r="30" spans="1:65" ht="16" thickBot="1" x14ac:dyDescent="0.4">
      <c r="A30">
        <v>1</v>
      </c>
      <c r="B30" s="59"/>
      <c r="C30" s="59"/>
      <c r="D30" s="35"/>
      <c r="E30" s="36"/>
      <c r="F30" s="37"/>
      <c r="G30" s="38"/>
      <c r="H30" s="39"/>
      <c r="I30" s="37"/>
      <c r="J30" s="40"/>
      <c r="K30" s="41"/>
      <c r="L30" s="42"/>
      <c r="M30" s="43"/>
      <c r="N30" s="44"/>
      <c r="O30" s="60"/>
      <c r="P30" s="46"/>
      <c r="Q30" s="47"/>
      <c r="R30" s="47"/>
      <c r="S30" s="46"/>
      <c r="T30" s="44"/>
      <c r="U30" s="62" t="s">
        <v>48</v>
      </c>
      <c r="V30" s="49"/>
      <c r="W30" s="49"/>
      <c r="X30" s="49"/>
      <c r="Y30" s="49"/>
      <c r="Z30" s="50">
        <v>12</v>
      </c>
      <c r="AA30" s="53"/>
      <c r="AB30" s="21" t="s">
        <v>2</v>
      </c>
      <c r="AC30" s="120"/>
      <c r="AH30" s="63">
        <v>1</v>
      </c>
      <c r="AN30" s="121"/>
      <c r="AO30" s="10" t="s">
        <v>3</v>
      </c>
      <c r="AP30" s="53"/>
      <c r="AQ30" s="50">
        <v>12</v>
      </c>
      <c r="AR30" s="49"/>
      <c r="AS30" s="49"/>
      <c r="AT30" s="49"/>
      <c r="AU30" s="49"/>
      <c r="AV30" s="54" t="s">
        <v>48</v>
      </c>
      <c r="AW30" s="44"/>
      <c r="AX30" s="46"/>
      <c r="AY30" s="47"/>
      <c r="AZ30" s="47"/>
      <c r="BA30" s="46"/>
      <c r="BB30" s="55"/>
      <c r="BC30" s="43"/>
      <c r="BD30" s="43"/>
      <c r="BE30" s="42"/>
      <c r="BF30" s="41"/>
      <c r="BG30" s="56"/>
      <c r="BH30" s="57"/>
      <c r="BI30" s="39"/>
      <c r="BJ30" s="38"/>
      <c r="BK30" s="58"/>
      <c r="BL30" s="36"/>
      <c r="BM30" s="36" t="str">
        <f>IF('[1]V1 V2'!X29="","",'[1]V1 V2'!X29)</f>
        <v/>
      </c>
    </row>
    <row r="31" spans="1:65" ht="16" thickBot="1" x14ac:dyDescent="0.4">
      <c r="A31">
        <v>1</v>
      </c>
      <c r="B31" s="59" t="s">
        <v>57</v>
      </c>
      <c r="C31" s="59"/>
      <c r="D31" s="35"/>
      <c r="E31" s="36">
        <f>VLOOKUP($B31,'[1]V1 V2'!$B$5:$BW$1894,74,0)</f>
        <v>0</v>
      </c>
      <c r="F31" s="122"/>
      <c r="G31" s="123"/>
      <c r="H31" s="124"/>
      <c r="I31" s="122"/>
      <c r="J31" s="125"/>
      <c r="K31" s="126"/>
      <c r="L31" s="42">
        <v>3.8</v>
      </c>
      <c r="M31" s="127"/>
      <c r="N31" s="128"/>
      <c r="O31" s="129"/>
      <c r="P31" s="130"/>
      <c r="Q31" s="131"/>
      <c r="R31" s="61" t="s">
        <v>29</v>
      </c>
      <c r="S31" s="130"/>
      <c r="T31" s="44" t="s">
        <v>30</v>
      </c>
      <c r="U31" s="132"/>
      <c r="V31" s="49"/>
      <c r="W31" s="49"/>
      <c r="X31" s="49">
        <v>34690.389000000003</v>
      </c>
      <c r="Y31" s="49">
        <v>113.56</v>
      </c>
      <c r="Z31" s="133"/>
      <c r="AA31" s="53" t="s">
        <v>57</v>
      </c>
      <c r="AB31" s="21" t="s">
        <v>2</v>
      </c>
      <c r="AC31" s="120"/>
      <c r="AH31" s="63">
        <v>1</v>
      </c>
      <c r="AN31" s="121"/>
      <c r="AO31" s="10" t="s">
        <v>3</v>
      </c>
      <c r="AP31" s="53" t="s">
        <v>58</v>
      </c>
      <c r="AQ31" s="133"/>
      <c r="AR31" s="49">
        <v>113.56</v>
      </c>
      <c r="AS31" s="49">
        <v>34690.389000000003</v>
      </c>
      <c r="AT31" s="49"/>
      <c r="AU31" s="49"/>
      <c r="AV31" s="35"/>
      <c r="AW31" s="44" t="s">
        <v>30</v>
      </c>
      <c r="AX31" s="130"/>
      <c r="AY31" s="61" t="s">
        <v>29</v>
      </c>
      <c r="AZ31" s="131"/>
      <c r="BA31" s="130"/>
      <c r="BB31" s="134"/>
      <c r="BC31" s="127"/>
      <c r="BD31" s="127"/>
      <c r="BE31" s="42">
        <v>3.8</v>
      </c>
      <c r="BF31" s="126"/>
      <c r="BG31" s="135"/>
      <c r="BH31" s="136"/>
      <c r="BI31" s="124"/>
      <c r="BJ31" s="123"/>
      <c r="BK31" s="137"/>
      <c r="BL31" s="36">
        <f>VLOOKUP($AP31,'[1]V1 V2'!$B$5:$BW$1894,74,0)</f>
        <v>0</v>
      </c>
      <c r="BM31" s="36" t="str">
        <f>IF('[1]V1 V2'!X30="","",'[1]V1 V2'!X30)</f>
        <v/>
      </c>
    </row>
    <row r="32" spans="1:65" ht="16" thickBot="1" x14ac:dyDescent="0.4">
      <c r="A32">
        <v>1</v>
      </c>
      <c r="B32" s="59"/>
      <c r="C32" s="59"/>
      <c r="D32" s="35"/>
      <c r="E32" s="36"/>
      <c r="F32" s="138"/>
      <c r="G32" s="139"/>
      <c r="H32" s="140"/>
      <c r="I32" s="37"/>
      <c r="J32" s="40"/>
      <c r="K32" s="41"/>
      <c r="L32" s="42"/>
      <c r="M32" s="43"/>
      <c r="N32" s="44"/>
      <c r="O32" s="60"/>
      <c r="P32" s="46"/>
      <c r="Q32" s="47"/>
      <c r="R32" s="47"/>
      <c r="S32" s="46"/>
      <c r="T32" s="44"/>
      <c r="U32" s="62" t="s">
        <v>48</v>
      </c>
      <c r="V32" s="49"/>
      <c r="W32" s="49"/>
      <c r="X32" s="49"/>
      <c r="Y32" s="49"/>
      <c r="Z32" s="50">
        <v>12</v>
      </c>
      <c r="AA32" s="53"/>
      <c r="AB32" s="21" t="s">
        <v>2</v>
      </c>
      <c r="AC32" s="120"/>
      <c r="AH32" s="63">
        <v>1</v>
      </c>
      <c r="AN32" s="121"/>
      <c r="AO32" s="10" t="s">
        <v>3</v>
      </c>
      <c r="AP32" s="53"/>
      <c r="AQ32" s="50">
        <v>12</v>
      </c>
      <c r="AR32" s="49"/>
      <c r="AS32" s="49"/>
      <c r="AT32" s="49"/>
      <c r="AU32" s="49"/>
      <c r="AV32" s="54" t="s">
        <v>48</v>
      </c>
      <c r="AW32" s="44"/>
      <c r="AX32" s="46"/>
      <c r="AY32" s="47"/>
      <c r="AZ32" s="47"/>
      <c r="BA32" s="46"/>
      <c r="BB32" s="55"/>
      <c r="BC32" s="43"/>
      <c r="BD32" s="43"/>
      <c r="BE32" s="42"/>
      <c r="BF32" s="41"/>
      <c r="BG32" s="56"/>
      <c r="BH32" s="57"/>
      <c r="BI32" s="140"/>
      <c r="BJ32" s="139"/>
      <c r="BK32" s="141"/>
      <c r="BL32" s="36"/>
      <c r="BM32" s="36" t="str">
        <f>IF('[1]V1 V2'!X31="","",'[1]V1 V2'!X31)</f>
        <v/>
      </c>
    </row>
    <row r="33" spans="1:65" ht="16" thickBot="1" x14ac:dyDescent="0.4">
      <c r="A33">
        <v>1</v>
      </c>
      <c r="B33" s="59" t="s">
        <v>59</v>
      </c>
      <c r="C33" s="59"/>
      <c r="D33" s="35"/>
      <c r="E33" s="36">
        <f>VLOOKUP($B33,'[1]V1 V2'!$B$5:$BW$1894,74,0)</f>
        <v>0</v>
      </c>
      <c r="F33" s="138"/>
      <c r="G33" s="139"/>
      <c r="H33" s="140"/>
      <c r="I33" s="37"/>
      <c r="J33" s="40"/>
      <c r="K33" s="41"/>
      <c r="L33" s="42">
        <v>3.8</v>
      </c>
      <c r="M33" s="43"/>
      <c r="N33" s="44"/>
      <c r="O33" s="60"/>
      <c r="P33" s="46"/>
      <c r="Q33" s="61"/>
      <c r="R33" s="61" t="s">
        <v>29</v>
      </c>
      <c r="S33" s="46"/>
      <c r="T33" s="44" t="s">
        <v>30</v>
      </c>
      <c r="U33" s="62"/>
      <c r="V33" s="49"/>
      <c r="W33" s="49"/>
      <c r="X33" s="49">
        <v>34678.389000000003</v>
      </c>
      <c r="Y33" s="49">
        <v>125.56</v>
      </c>
      <c r="Z33" s="50"/>
      <c r="AA33" s="53" t="s">
        <v>59</v>
      </c>
      <c r="AB33" s="21" t="s">
        <v>2</v>
      </c>
      <c r="AC33" s="120"/>
      <c r="AH33" s="63">
        <v>1</v>
      </c>
      <c r="AN33" s="121"/>
      <c r="AO33" s="10" t="s">
        <v>3</v>
      </c>
      <c r="AP33" s="53" t="s">
        <v>60</v>
      </c>
      <c r="AQ33" s="50"/>
      <c r="AR33" s="49">
        <v>125.56</v>
      </c>
      <c r="AS33" s="49">
        <v>34678.389000000003</v>
      </c>
      <c r="AT33" s="49"/>
      <c r="AU33" s="49"/>
      <c r="AV33" s="54"/>
      <c r="AW33" s="44" t="s">
        <v>30</v>
      </c>
      <c r="AX33" s="46"/>
      <c r="AY33" s="61" t="s">
        <v>29</v>
      </c>
      <c r="AZ33" s="61"/>
      <c r="BA33" s="46"/>
      <c r="BB33" s="55"/>
      <c r="BC33" s="43"/>
      <c r="BD33" s="43"/>
      <c r="BE33" s="42">
        <v>3.8</v>
      </c>
      <c r="BF33" s="41"/>
      <c r="BG33" s="56"/>
      <c r="BH33" s="57"/>
      <c r="BI33" s="140"/>
      <c r="BJ33" s="139"/>
      <c r="BK33" s="141"/>
      <c r="BL33" s="36">
        <f>VLOOKUP($AP33,'[1]V1 V2'!$B$5:$BW$1894,74,0)</f>
        <v>0</v>
      </c>
      <c r="BM33" s="36" t="str">
        <f>IF('[1]V1 V2'!X32="","",'[1]V1 V2'!X32)</f>
        <v/>
      </c>
    </row>
    <row r="34" spans="1:65" ht="16" thickBot="1" x14ac:dyDescent="0.4">
      <c r="A34">
        <v>1</v>
      </c>
      <c r="B34" s="59"/>
      <c r="C34" s="59"/>
      <c r="D34" s="35"/>
      <c r="E34" s="36"/>
      <c r="F34" s="138"/>
      <c r="G34" s="139"/>
      <c r="H34" s="140"/>
      <c r="I34" s="37"/>
      <c r="J34" s="40"/>
      <c r="K34" s="41"/>
      <c r="L34" s="42"/>
      <c r="M34" s="43"/>
      <c r="N34" s="44"/>
      <c r="O34" s="60"/>
      <c r="P34" s="46"/>
      <c r="Q34" s="47"/>
      <c r="R34" s="47"/>
      <c r="S34" s="46"/>
      <c r="T34" s="44"/>
      <c r="U34" s="62"/>
      <c r="V34" s="49"/>
      <c r="W34" s="49"/>
      <c r="X34" s="49"/>
      <c r="Y34" s="49"/>
      <c r="Z34" s="50">
        <v>12</v>
      </c>
      <c r="AA34" s="53"/>
      <c r="AB34" s="21" t="s">
        <v>2</v>
      </c>
      <c r="AC34" s="120"/>
      <c r="AH34" s="63">
        <v>1</v>
      </c>
      <c r="AN34" s="121"/>
      <c r="AO34" s="10" t="s">
        <v>3</v>
      </c>
      <c r="AP34" s="53"/>
      <c r="AQ34" s="50">
        <v>12</v>
      </c>
      <c r="AR34" s="49"/>
      <c r="AS34" s="49"/>
      <c r="AT34" s="49"/>
      <c r="AU34" s="49"/>
      <c r="AV34" s="54"/>
      <c r="AW34" s="44"/>
      <c r="AX34" s="46"/>
      <c r="AY34" s="47"/>
      <c r="AZ34" s="47"/>
      <c r="BA34" s="46"/>
      <c r="BB34" s="55"/>
      <c r="BC34" s="43"/>
      <c r="BD34" s="43"/>
      <c r="BE34" s="42"/>
      <c r="BF34" s="41"/>
      <c r="BG34" s="56"/>
      <c r="BH34" s="57"/>
      <c r="BI34" s="140"/>
      <c r="BJ34" s="139"/>
      <c r="BK34" s="141"/>
      <c r="BL34" s="36"/>
      <c r="BM34" s="36" t="str">
        <f>IF('[1]V1 V2'!X33="","",'[1]V1 V2'!X33)</f>
        <v/>
      </c>
    </row>
    <row r="35" spans="1:65" ht="16" thickBot="1" x14ac:dyDescent="0.4">
      <c r="A35">
        <v>1</v>
      </c>
      <c r="B35" s="59" t="s">
        <v>61</v>
      </c>
      <c r="C35" s="59"/>
      <c r="D35" s="35"/>
      <c r="E35" s="36">
        <f>VLOOKUP($B35,'[1]V1 V2'!$B$5:$BW$1894,74,0)</f>
        <v>0</v>
      </c>
      <c r="F35" s="138"/>
      <c r="G35" s="139"/>
      <c r="H35" s="140"/>
      <c r="I35" s="37"/>
      <c r="J35" s="40"/>
      <c r="K35" s="41"/>
      <c r="L35" s="42">
        <v>3.8</v>
      </c>
      <c r="M35" s="43"/>
      <c r="N35" s="44"/>
      <c r="O35" s="60"/>
      <c r="P35" s="46"/>
      <c r="Q35" s="61"/>
      <c r="R35" s="61" t="s">
        <v>29</v>
      </c>
      <c r="S35" s="46"/>
      <c r="T35" s="44" t="s">
        <v>30</v>
      </c>
      <c r="U35" s="62"/>
      <c r="V35" s="49"/>
      <c r="W35" s="49"/>
      <c r="X35" s="49">
        <v>34666.389000000003</v>
      </c>
      <c r="Y35" s="49">
        <v>137.56</v>
      </c>
      <c r="Z35" s="133"/>
      <c r="AA35" s="53" t="s">
        <v>61</v>
      </c>
      <c r="AB35" s="21" t="s">
        <v>2</v>
      </c>
      <c r="AC35" s="120"/>
      <c r="AH35" s="63">
        <v>1</v>
      </c>
      <c r="AN35" s="121"/>
      <c r="AO35" s="10" t="s">
        <v>3</v>
      </c>
      <c r="AP35" s="53" t="s">
        <v>62</v>
      </c>
      <c r="AQ35" s="133"/>
      <c r="AR35" s="49">
        <v>137.56</v>
      </c>
      <c r="AS35" s="49">
        <v>34666.389000000003</v>
      </c>
      <c r="AT35" s="49"/>
      <c r="AU35" s="49"/>
      <c r="AV35" s="54"/>
      <c r="AW35" s="44" t="s">
        <v>30</v>
      </c>
      <c r="AX35" s="46"/>
      <c r="AY35" s="61" t="s">
        <v>29</v>
      </c>
      <c r="AZ35" s="61"/>
      <c r="BA35" s="46"/>
      <c r="BB35" s="55"/>
      <c r="BC35" s="43"/>
      <c r="BD35" s="43"/>
      <c r="BE35" s="42">
        <v>3.8</v>
      </c>
      <c r="BF35" s="41"/>
      <c r="BG35" s="56"/>
      <c r="BH35" s="57"/>
      <c r="BI35" s="140"/>
      <c r="BJ35" s="139"/>
      <c r="BK35" s="141"/>
      <c r="BL35" s="36">
        <f>VLOOKUP($AP35,'[1]V1 V2'!$B$5:$BW$1894,74,0)</f>
        <v>0</v>
      </c>
      <c r="BM35" s="36" t="str">
        <f>IF('[1]V1 V2'!X34="","",'[1]V1 V2'!X34)</f>
        <v/>
      </c>
    </row>
    <row r="36" spans="1:65" ht="16" thickBot="1" x14ac:dyDescent="0.4">
      <c r="A36">
        <v>1</v>
      </c>
      <c r="B36" s="59"/>
      <c r="C36" s="59"/>
      <c r="D36" s="35"/>
      <c r="E36" s="36"/>
      <c r="F36" s="138"/>
      <c r="G36" s="139"/>
      <c r="H36" s="140"/>
      <c r="I36" s="37"/>
      <c r="J36" s="40"/>
      <c r="K36" s="41"/>
      <c r="L36" s="42"/>
      <c r="M36" s="43"/>
      <c r="N36" s="44"/>
      <c r="O36" s="60"/>
      <c r="P36" s="46"/>
      <c r="Q36" s="47"/>
      <c r="R36" s="47"/>
      <c r="S36" s="46"/>
      <c r="T36" s="44"/>
      <c r="U36" s="62"/>
      <c r="V36" s="49"/>
      <c r="W36" s="49"/>
      <c r="X36" s="49"/>
      <c r="Y36" s="49"/>
      <c r="Z36" s="50">
        <v>12</v>
      </c>
      <c r="AA36" s="53"/>
      <c r="AB36" s="21" t="s">
        <v>2</v>
      </c>
      <c r="AC36" s="120"/>
      <c r="AH36" s="63">
        <v>1</v>
      </c>
      <c r="AN36" s="121"/>
      <c r="AO36" s="10" t="s">
        <v>3</v>
      </c>
      <c r="AP36" s="53"/>
      <c r="AQ36" s="50">
        <v>12</v>
      </c>
      <c r="AR36" s="49"/>
      <c r="AS36" s="49"/>
      <c r="AT36" s="49"/>
      <c r="AU36" s="49"/>
      <c r="AV36" s="54"/>
      <c r="AW36" s="44"/>
      <c r="AX36" s="46"/>
      <c r="AY36" s="47"/>
      <c r="AZ36" s="47"/>
      <c r="BA36" s="46"/>
      <c r="BB36" s="55"/>
      <c r="BC36" s="43"/>
      <c r="BD36" s="43"/>
      <c r="BE36" s="42"/>
      <c r="BF36" s="41"/>
      <c r="BG36" s="56"/>
      <c r="BH36" s="57"/>
      <c r="BI36" s="140"/>
      <c r="BJ36" s="139"/>
      <c r="BK36" s="141"/>
      <c r="BL36" s="36"/>
      <c r="BM36" s="36" t="str">
        <f>IF('[1]V1 V2'!X35="","",'[1]V1 V2'!X35)</f>
        <v/>
      </c>
    </row>
    <row r="37" spans="1:65" ht="16" thickBot="1" x14ac:dyDescent="0.4">
      <c r="A37">
        <v>1</v>
      </c>
      <c r="B37" s="59" t="s">
        <v>63</v>
      </c>
      <c r="C37" s="59"/>
      <c r="D37" s="35"/>
      <c r="E37" s="36">
        <f>VLOOKUP($B37,'[1]V1 V2'!$B$5:$BW$1894,74,0)</f>
        <v>0</v>
      </c>
      <c r="F37" s="138"/>
      <c r="G37" s="139"/>
      <c r="H37" s="140"/>
      <c r="I37" s="37"/>
      <c r="J37" s="40"/>
      <c r="K37" s="41"/>
      <c r="L37" s="42">
        <v>3.8</v>
      </c>
      <c r="M37" s="43"/>
      <c r="N37" s="44"/>
      <c r="O37" s="60"/>
      <c r="P37" s="46"/>
      <c r="Q37" s="61"/>
      <c r="R37" s="61" t="s">
        <v>29</v>
      </c>
      <c r="S37" s="46"/>
      <c r="T37" s="44" t="s">
        <v>30</v>
      </c>
      <c r="U37" s="62"/>
      <c r="V37" s="49"/>
      <c r="W37" s="49"/>
      <c r="X37" s="49">
        <v>34654.389000000003</v>
      </c>
      <c r="Y37" s="49">
        <v>149.56</v>
      </c>
      <c r="Z37" s="50"/>
      <c r="AA37" s="53" t="s">
        <v>63</v>
      </c>
      <c r="AB37" s="21" t="s">
        <v>2</v>
      </c>
      <c r="AC37" s="120"/>
      <c r="AH37" s="63">
        <v>1</v>
      </c>
      <c r="AN37" s="121"/>
      <c r="AO37" s="10" t="s">
        <v>3</v>
      </c>
      <c r="AP37" s="53" t="s">
        <v>64</v>
      </c>
      <c r="AQ37" s="50"/>
      <c r="AR37" s="49">
        <v>149.56</v>
      </c>
      <c r="AS37" s="49">
        <v>34654.389000000003</v>
      </c>
      <c r="AT37" s="49"/>
      <c r="AU37" s="49"/>
      <c r="AV37" s="54"/>
      <c r="AW37" s="44" t="s">
        <v>30</v>
      </c>
      <c r="AX37" s="46"/>
      <c r="AY37" s="61" t="s">
        <v>29</v>
      </c>
      <c r="AZ37" s="61"/>
      <c r="BA37" s="46"/>
      <c r="BB37" s="55"/>
      <c r="BC37" s="43"/>
      <c r="BD37" s="43"/>
      <c r="BE37" s="42">
        <v>3.8</v>
      </c>
      <c r="BF37" s="41"/>
      <c r="BG37" s="56"/>
      <c r="BH37" s="57"/>
      <c r="BI37" s="140"/>
      <c r="BJ37" s="139"/>
      <c r="BK37" s="141"/>
      <c r="BL37" s="36">
        <f>VLOOKUP($AP37,'[1]V1 V2'!$B$5:$BW$1894,74,0)</f>
        <v>0</v>
      </c>
      <c r="BM37" s="36" t="str">
        <f>IF('[1]V1 V2'!X36="","",'[1]V1 V2'!X36)</f>
        <v/>
      </c>
    </row>
    <row r="38" spans="1:65" ht="16" thickBot="1" x14ac:dyDescent="0.4">
      <c r="A38">
        <v>1</v>
      </c>
      <c r="B38" s="59"/>
      <c r="C38" s="59"/>
      <c r="D38" s="35"/>
      <c r="E38" s="36"/>
      <c r="F38" s="138"/>
      <c r="G38" s="139"/>
      <c r="H38" s="140"/>
      <c r="I38" s="37"/>
      <c r="J38" s="40"/>
      <c r="K38" s="41"/>
      <c r="L38" s="42"/>
      <c r="M38" s="43"/>
      <c r="N38" s="44"/>
      <c r="O38" s="60"/>
      <c r="P38" s="46"/>
      <c r="Q38" s="47"/>
      <c r="R38" s="47"/>
      <c r="S38" s="46"/>
      <c r="T38" s="44"/>
      <c r="U38" s="62"/>
      <c r="V38" s="49"/>
      <c r="W38" s="49"/>
      <c r="X38" s="49"/>
      <c r="Y38" s="49"/>
      <c r="Z38" s="50">
        <v>7.2</v>
      </c>
      <c r="AA38" s="53"/>
      <c r="AB38" s="21" t="s">
        <v>2</v>
      </c>
      <c r="AC38" s="120"/>
      <c r="AH38" s="63">
        <v>1</v>
      </c>
      <c r="AN38" s="121"/>
      <c r="AO38" s="10" t="s">
        <v>3</v>
      </c>
      <c r="AP38" s="53"/>
      <c r="AQ38" s="50">
        <v>9.8000000000000007</v>
      </c>
      <c r="AR38" s="49"/>
      <c r="AS38" s="49"/>
      <c r="AT38" s="49"/>
      <c r="AU38" s="49"/>
      <c r="AV38" s="54"/>
      <c r="AW38" s="44"/>
      <c r="AX38" s="46"/>
      <c r="AY38" s="47"/>
      <c r="AZ38" s="47"/>
      <c r="BA38" s="46"/>
      <c r="BB38" s="55"/>
      <c r="BC38" s="43"/>
      <c r="BD38" s="43"/>
      <c r="BE38" s="42"/>
      <c r="BF38" s="41"/>
      <c r="BG38" s="56"/>
      <c r="BH38" s="57"/>
      <c r="BI38" s="140"/>
      <c r="BJ38" s="139"/>
      <c r="BK38" s="141"/>
      <c r="BL38" s="36"/>
      <c r="BM38" s="36" t="str">
        <f>IF('[1]V1 V2'!X37="","",'[1]V1 V2'!X37)</f>
        <v/>
      </c>
    </row>
    <row r="39" spans="1:65" ht="16" thickBot="1" x14ac:dyDescent="0.4">
      <c r="A39">
        <v>1</v>
      </c>
      <c r="B39" s="59" t="s">
        <v>65</v>
      </c>
      <c r="C39" s="59"/>
      <c r="D39" s="35"/>
      <c r="E39" s="36">
        <f>VLOOKUP($B39,'[1]V1 V2'!$B$5:$BW$1894,74,0)</f>
        <v>0</v>
      </c>
      <c r="F39" s="138"/>
      <c r="G39" s="139"/>
      <c r="H39" s="140"/>
      <c r="I39" s="37"/>
      <c r="J39" s="40"/>
      <c r="K39" s="41"/>
      <c r="L39" s="42">
        <v>3.8</v>
      </c>
      <c r="M39" s="43"/>
      <c r="N39" s="44"/>
      <c r="O39" s="60"/>
      <c r="P39" s="46"/>
      <c r="Q39" s="61"/>
      <c r="R39" s="61" t="s">
        <v>29</v>
      </c>
      <c r="S39" s="46"/>
      <c r="T39" s="44" t="s">
        <v>30</v>
      </c>
      <c r="U39" s="62"/>
      <c r="V39" s="49"/>
      <c r="W39" s="49"/>
      <c r="X39" s="49">
        <v>34647.188999999998</v>
      </c>
      <c r="Y39" s="49">
        <v>156.76</v>
      </c>
      <c r="Z39" s="133"/>
      <c r="AA39" s="53" t="s">
        <v>65</v>
      </c>
      <c r="AB39" s="21" t="s">
        <v>2</v>
      </c>
      <c r="AC39" s="120"/>
      <c r="AH39" s="63">
        <v>1</v>
      </c>
      <c r="AN39" s="121"/>
      <c r="AO39" s="10" t="s">
        <v>3</v>
      </c>
      <c r="AP39" s="53" t="s">
        <v>66</v>
      </c>
      <c r="AQ39" s="133"/>
      <c r="AR39" s="49">
        <v>159.36000000000001</v>
      </c>
      <c r="AS39" s="49">
        <v>34644.589</v>
      </c>
      <c r="AT39" s="49"/>
      <c r="AU39" s="49"/>
      <c r="AV39" s="54"/>
      <c r="AW39" s="44" t="s">
        <v>30</v>
      </c>
      <c r="AX39" s="46"/>
      <c r="AY39" s="61" t="s">
        <v>29</v>
      </c>
      <c r="AZ39" s="61"/>
      <c r="BA39" s="46"/>
      <c r="BB39" s="55"/>
      <c r="BC39" s="43"/>
      <c r="BD39" s="43"/>
      <c r="BE39" s="42">
        <v>3.8</v>
      </c>
      <c r="BF39" s="41"/>
      <c r="BG39" s="56"/>
      <c r="BH39" s="57"/>
      <c r="BI39" s="140"/>
      <c r="BJ39" s="139"/>
      <c r="BK39" s="141"/>
      <c r="BL39" s="36">
        <f>VLOOKUP($AP39,'[1]V1 V2'!$B$5:$BW$1894,74,0)</f>
        <v>0</v>
      </c>
      <c r="BM39" s="36" t="str">
        <f>IF('[1]V1 V2'!X38="","",'[1]V1 V2'!X38)</f>
        <v/>
      </c>
    </row>
    <row r="40" spans="1:65" ht="16" thickBot="1" x14ac:dyDescent="0.4">
      <c r="A40">
        <v>1</v>
      </c>
      <c r="B40" s="59"/>
      <c r="C40" s="59"/>
      <c r="D40" s="35"/>
      <c r="E40" s="36"/>
      <c r="F40" s="138"/>
      <c r="G40" s="139"/>
      <c r="H40" s="140"/>
      <c r="I40" s="37"/>
      <c r="J40" s="40"/>
      <c r="K40" s="41"/>
      <c r="L40" s="42"/>
      <c r="M40" s="43"/>
      <c r="N40" s="44"/>
      <c r="O40" s="60"/>
      <c r="P40" s="46"/>
      <c r="Q40" s="47"/>
      <c r="R40" s="47"/>
      <c r="S40" s="46"/>
      <c r="T40" s="44"/>
      <c r="U40" s="62"/>
      <c r="V40" s="49"/>
      <c r="W40" s="49"/>
      <c r="X40" s="49"/>
      <c r="Y40" s="49"/>
      <c r="Z40" s="50">
        <v>1.6</v>
      </c>
      <c r="AA40" s="53"/>
      <c r="AB40" s="21" t="s">
        <v>2</v>
      </c>
      <c r="AC40" s="120"/>
      <c r="AH40" s="63">
        <v>1</v>
      </c>
      <c r="AN40" s="121"/>
      <c r="AO40" s="10" t="s">
        <v>3</v>
      </c>
      <c r="AP40" s="53"/>
      <c r="AQ40" s="50">
        <v>5.9</v>
      </c>
      <c r="AR40" s="49"/>
      <c r="AS40" s="49"/>
      <c r="AT40" s="49"/>
      <c r="AU40" s="49"/>
      <c r="AV40" s="54"/>
      <c r="AW40" s="44"/>
      <c r="AX40" s="46"/>
      <c r="AY40" s="47"/>
      <c r="AZ40" s="47"/>
      <c r="BA40" s="46"/>
      <c r="BB40" s="55"/>
      <c r="BC40" s="43"/>
      <c r="BD40" s="43"/>
      <c r="BE40" s="42"/>
      <c r="BF40" s="41"/>
      <c r="BG40" s="56"/>
      <c r="BH40" s="57"/>
      <c r="BI40" s="140"/>
      <c r="BJ40" s="139"/>
      <c r="BK40" s="141"/>
      <c r="BL40" s="36"/>
      <c r="BM40" s="36" t="str">
        <f>IF('[1]V1 V2'!X39="","",'[1]V1 V2'!X39)</f>
        <v/>
      </c>
    </row>
    <row r="41" spans="1:65" ht="16" thickBot="1" x14ac:dyDescent="0.4">
      <c r="A41">
        <v>1</v>
      </c>
      <c r="B41" s="59" t="s">
        <v>67</v>
      </c>
      <c r="C41" s="59"/>
      <c r="D41" s="35"/>
      <c r="E41" s="36">
        <f>VLOOKUP($B41,'[1]V1 V2'!$B$5:$BW$1894,74,0)</f>
        <v>0</v>
      </c>
      <c r="F41" s="138"/>
      <c r="G41" s="139"/>
      <c r="H41" s="140"/>
      <c r="I41" s="37"/>
      <c r="J41" s="40"/>
      <c r="K41" s="41"/>
      <c r="L41" s="42">
        <v>3.8</v>
      </c>
      <c r="M41" s="43"/>
      <c r="N41" s="44"/>
      <c r="O41" s="60"/>
      <c r="P41" s="46"/>
      <c r="Q41" s="61"/>
      <c r="R41" s="61" t="s">
        <v>29</v>
      </c>
      <c r="S41" s="46"/>
      <c r="T41" s="44" t="s">
        <v>30</v>
      </c>
      <c r="U41" s="62"/>
      <c r="V41" s="49"/>
      <c r="W41" s="49"/>
      <c r="X41" s="49">
        <v>34645.589</v>
      </c>
      <c r="Y41" s="49">
        <v>158.35999999999999</v>
      </c>
      <c r="Z41" s="50"/>
      <c r="AA41" s="53" t="s">
        <v>67</v>
      </c>
      <c r="AB41" s="21" t="s">
        <v>2</v>
      </c>
      <c r="AC41" s="120"/>
      <c r="AH41" s="63">
        <v>1</v>
      </c>
      <c r="AN41" s="121"/>
      <c r="AO41" s="10" t="s">
        <v>3</v>
      </c>
      <c r="AP41" s="53" t="s">
        <v>68</v>
      </c>
      <c r="AQ41" s="50"/>
      <c r="AR41" s="49">
        <v>165.26000000000002</v>
      </c>
      <c r="AS41" s="49">
        <v>34638.688999999998</v>
      </c>
      <c r="AT41" s="49"/>
      <c r="AU41" s="49"/>
      <c r="AV41" s="54"/>
      <c r="AW41" s="44" t="s">
        <v>30</v>
      </c>
      <c r="AX41" s="46"/>
      <c r="AY41" s="61" t="s">
        <v>29</v>
      </c>
      <c r="AZ41" s="61"/>
      <c r="BA41" s="46"/>
      <c r="BB41" s="55"/>
      <c r="BC41" s="43"/>
      <c r="BD41" s="43"/>
      <c r="BE41" s="42">
        <v>3.8</v>
      </c>
      <c r="BF41" s="41"/>
      <c r="BG41" s="56"/>
      <c r="BH41" s="57"/>
      <c r="BI41" s="140"/>
      <c r="BJ41" s="139"/>
      <c r="BK41" s="141"/>
      <c r="BL41" s="36">
        <f>VLOOKUP($AP41,'[1]V1 V2'!$B$5:$BW$1894,74,0)</f>
        <v>0</v>
      </c>
      <c r="BM41" s="36" t="str">
        <f>IF('[1]V1 V2'!X40="","",'[1]V1 V2'!X40)</f>
        <v/>
      </c>
    </row>
    <row r="42" spans="1:65" ht="16" thickBot="1" x14ac:dyDescent="0.4">
      <c r="A42">
        <v>1</v>
      </c>
      <c r="B42" s="59"/>
      <c r="C42" s="59"/>
      <c r="D42" s="35"/>
      <c r="E42" s="36"/>
      <c r="F42" s="138"/>
      <c r="G42" s="139"/>
      <c r="H42" s="140"/>
      <c r="I42" s="37"/>
      <c r="J42" s="40"/>
      <c r="K42" s="41"/>
      <c r="L42" s="42"/>
      <c r="M42" s="43"/>
      <c r="N42" s="44"/>
      <c r="O42" s="60"/>
      <c r="P42" s="46"/>
      <c r="Q42" s="47"/>
      <c r="R42" s="47"/>
      <c r="S42" s="46"/>
      <c r="T42" s="44"/>
      <c r="U42" s="62"/>
      <c r="V42" s="49"/>
      <c r="W42" s="49"/>
      <c r="X42" s="49"/>
      <c r="Y42" s="49"/>
      <c r="Z42" s="50">
        <v>3</v>
      </c>
      <c r="AA42" s="53"/>
      <c r="AB42" s="21" t="s">
        <v>2</v>
      </c>
      <c r="AC42" s="120"/>
      <c r="AH42" s="63">
        <v>1</v>
      </c>
      <c r="AN42" s="121"/>
      <c r="AO42" s="10" t="s">
        <v>3</v>
      </c>
      <c r="AP42" s="53"/>
      <c r="AQ42" s="50">
        <v>3</v>
      </c>
      <c r="AR42" s="49"/>
      <c r="AS42" s="49"/>
      <c r="AT42" s="49"/>
      <c r="AU42" s="49"/>
      <c r="AV42" s="54"/>
      <c r="AW42" s="44" t="s">
        <v>69</v>
      </c>
      <c r="AX42" s="46"/>
      <c r="AY42" s="47"/>
      <c r="AZ42" s="47"/>
      <c r="BA42" s="46"/>
      <c r="BB42" s="55"/>
      <c r="BC42" s="43"/>
      <c r="BD42" s="43"/>
      <c r="BE42" s="42"/>
      <c r="BF42" s="41"/>
      <c r="BG42" s="56"/>
      <c r="BH42" s="57"/>
      <c r="BI42" s="140"/>
      <c r="BJ42" s="139"/>
      <c r="BK42" s="141"/>
      <c r="BL42" s="36"/>
      <c r="BM42" s="36" t="str">
        <f>IF('[1]V1 V2'!X41="","",'[1]V1 V2'!X41)</f>
        <v/>
      </c>
    </row>
    <row r="43" spans="1:65" ht="16" thickBot="1" x14ac:dyDescent="0.4">
      <c r="A43">
        <v>1</v>
      </c>
      <c r="B43" s="59" t="s">
        <v>70</v>
      </c>
      <c r="C43" s="59"/>
      <c r="D43" s="35"/>
      <c r="E43" s="36">
        <f>VLOOKUP($B43,'[1]V1 V2'!$B$5:$BW$1894,74,0)</f>
        <v>0</v>
      </c>
      <c r="F43" s="138"/>
      <c r="G43" s="139"/>
      <c r="H43" s="140"/>
      <c r="I43" s="37"/>
      <c r="J43" s="40"/>
      <c r="K43" s="41"/>
      <c r="L43" s="42">
        <v>3.8</v>
      </c>
      <c r="M43" s="43"/>
      <c r="N43" s="44"/>
      <c r="O43" s="60"/>
      <c r="P43" s="46"/>
      <c r="Q43" s="61"/>
      <c r="R43" s="61" t="s">
        <v>29</v>
      </c>
      <c r="S43" s="46"/>
      <c r="T43" s="44" t="s">
        <v>30</v>
      </c>
      <c r="U43" s="62"/>
      <c r="V43" s="49"/>
      <c r="W43" s="49"/>
      <c r="X43" s="49">
        <v>34642.589</v>
      </c>
      <c r="Y43" s="49">
        <v>161.35999999999999</v>
      </c>
      <c r="Z43" s="133"/>
      <c r="AA43" s="53" t="s">
        <v>70</v>
      </c>
      <c r="AB43" s="21" t="s">
        <v>2</v>
      </c>
      <c r="AC43" s="120"/>
      <c r="AH43" s="63">
        <v>1</v>
      </c>
      <c r="AN43" s="121"/>
      <c r="AO43" s="10" t="s">
        <v>3</v>
      </c>
      <c r="AP43" s="53" t="s">
        <v>71</v>
      </c>
      <c r="AQ43" s="133"/>
      <c r="AR43" s="49">
        <v>168.26000000000002</v>
      </c>
      <c r="AS43" s="49">
        <v>34635.688999999998</v>
      </c>
      <c r="AT43" s="49"/>
      <c r="AU43" s="49"/>
      <c r="AV43" s="54"/>
      <c r="AW43" s="44" t="s">
        <v>30</v>
      </c>
      <c r="AX43" s="46"/>
      <c r="AY43" s="61" t="s">
        <v>29</v>
      </c>
      <c r="AZ43" s="61"/>
      <c r="BA43" s="46"/>
      <c r="BB43" s="55"/>
      <c r="BC43" s="43"/>
      <c r="BD43" s="43"/>
      <c r="BE43" s="42">
        <v>3.8</v>
      </c>
      <c r="BF43" s="41"/>
      <c r="BG43" s="56"/>
      <c r="BH43" s="57"/>
      <c r="BI43" s="140"/>
      <c r="BJ43" s="139"/>
      <c r="BK43" s="141"/>
      <c r="BL43" s="36">
        <f>VLOOKUP($AP43,'[1]V1 V2'!$B$5:$BW$1894,74,0)</f>
        <v>0</v>
      </c>
      <c r="BM43" s="36" t="str">
        <f>IF('[1]V1 V2'!X42="","",'[1]V1 V2'!X42)</f>
        <v/>
      </c>
    </row>
    <row r="44" spans="1:65" ht="16" thickBot="1" x14ac:dyDescent="0.4">
      <c r="A44">
        <v>1</v>
      </c>
      <c r="B44" s="59"/>
      <c r="C44" s="59"/>
      <c r="D44" s="35"/>
      <c r="E44" s="36"/>
      <c r="F44" s="138"/>
      <c r="G44" s="139"/>
      <c r="H44" s="140"/>
      <c r="I44" s="37"/>
      <c r="J44" s="40"/>
      <c r="K44" s="41"/>
      <c r="L44" s="42"/>
      <c r="M44" s="43"/>
      <c r="N44" s="44"/>
      <c r="O44" s="60"/>
      <c r="P44" s="46"/>
      <c r="Q44" s="47"/>
      <c r="R44" s="47"/>
      <c r="S44" s="46"/>
      <c r="T44" s="44"/>
      <c r="U44" s="62"/>
      <c r="V44" s="49"/>
      <c r="W44" s="49"/>
      <c r="X44" s="49"/>
      <c r="Y44" s="49"/>
      <c r="Z44" s="50">
        <v>3</v>
      </c>
      <c r="AA44" s="53"/>
      <c r="AB44" s="21" t="s">
        <v>2</v>
      </c>
      <c r="AC44" s="120"/>
      <c r="AH44" s="63">
        <v>1</v>
      </c>
      <c r="AN44" s="121"/>
      <c r="AO44" s="10" t="s">
        <v>3</v>
      </c>
      <c r="AP44" s="53"/>
      <c r="AQ44" s="50">
        <v>3</v>
      </c>
      <c r="AR44" s="49"/>
      <c r="AS44" s="49"/>
      <c r="AT44" s="49"/>
      <c r="AU44" s="49"/>
      <c r="AV44" s="54"/>
      <c r="AW44" s="44" t="s">
        <v>72</v>
      </c>
      <c r="AX44" s="46"/>
      <c r="AY44" s="47"/>
      <c r="AZ44" s="47"/>
      <c r="BA44" s="46"/>
      <c r="BB44" s="55"/>
      <c r="BC44" s="43"/>
      <c r="BD44" s="43"/>
      <c r="BE44" s="42"/>
      <c r="BF44" s="41"/>
      <c r="BG44" s="56"/>
      <c r="BH44" s="57"/>
      <c r="BI44" s="140"/>
      <c r="BJ44" s="139"/>
      <c r="BK44" s="141"/>
      <c r="BL44" s="36"/>
      <c r="BM44" s="36" t="str">
        <f>IF('[1]V1 V2'!X43="","",'[1]V1 V2'!X43)</f>
        <v/>
      </c>
    </row>
    <row r="45" spans="1:65" ht="16" thickBot="1" x14ac:dyDescent="0.4">
      <c r="A45">
        <v>1</v>
      </c>
      <c r="B45" s="59" t="s">
        <v>73</v>
      </c>
      <c r="C45" s="59"/>
      <c r="D45" s="35"/>
      <c r="E45" s="36">
        <f>VLOOKUP($B45,'[1]V1 V2'!$B$5:$BW$1894,74,0)</f>
        <v>0</v>
      </c>
      <c r="F45" s="138"/>
      <c r="G45" s="139"/>
      <c r="H45" s="140"/>
      <c r="I45" s="37"/>
      <c r="J45" s="40"/>
      <c r="K45" s="41"/>
      <c r="L45" s="42">
        <v>3.8</v>
      </c>
      <c r="M45" s="43"/>
      <c r="N45" s="44"/>
      <c r="O45" s="60"/>
      <c r="P45" s="46"/>
      <c r="Q45" s="61"/>
      <c r="R45" s="61" t="s">
        <v>29</v>
      </c>
      <c r="S45" s="46"/>
      <c r="T45" s="44" t="s">
        <v>30</v>
      </c>
      <c r="U45" s="62"/>
      <c r="V45" s="49"/>
      <c r="W45" s="49"/>
      <c r="X45" s="49">
        <v>34639.589</v>
      </c>
      <c r="Y45" s="49">
        <v>164.35999999999999</v>
      </c>
      <c r="Z45" s="50"/>
      <c r="AA45" s="53" t="s">
        <v>73</v>
      </c>
      <c r="AB45" s="21" t="s">
        <v>2</v>
      </c>
      <c r="AC45" s="120"/>
      <c r="AH45" s="63">
        <v>1</v>
      </c>
      <c r="AN45" s="121"/>
      <c r="AO45" s="10" t="s">
        <v>3</v>
      </c>
      <c r="AP45" s="53" t="s">
        <v>74</v>
      </c>
      <c r="AQ45" s="50"/>
      <c r="AR45" s="49">
        <v>171.26000000000002</v>
      </c>
      <c r="AS45" s="49">
        <v>34632.688999999998</v>
      </c>
      <c r="AT45" s="49"/>
      <c r="AU45" s="49"/>
      <c r="AV45" s="54"/>
      <c r="AW45" s="44" t="s">
        <v>30</v>
      </c>
      <c r="AX45" s="46"/>
      <c r="AY45" s="61" t="s">
        <v>29</v>
      </c>
      <c r="AZ45" s="61"/>
      <c r="BA45" s="46"/>
      <c r="BB45" s="55"/>
      <c r="BC45" s="43"/>
      <c r="BD45" s="43"/>
      <c r="BE45" s="42">
        <v>3.8</v>
      </c>
      <c r="BF45" s="41"/>
      <c r="BG45" s="56"/>
      <c r="BH45" s="57"/>
      <c r="BI45" s="140"/>
      <c r="BJ45" s="139"/>
      <c r="BK45" s="141"/>
      <c r="BL45" s="36">
        <f>VLOOKUP($AP45,'[1]V1 V2'!$B$5:$BW$1894,74,0)</f>
        <v>0</v>
      </c>
      <c r="BM45" s="36" t="str">
        <f>IF('[1]V1 V2'!X44="","",'[1]V1 V2'!X44)</f>
        <v/>
      </c>
    </row>
    <row r="46" spans="1:65" ht="16" thickBot="1" x14ac:dyDescent="0.4">
      <c r="A46">
        <v>1</v>
      </c>
      <c r="B46" s="59"/>
      <c r="C46" s="59"/>
      <c r="D46" s="35"/>
      <c r="E46" s="36"/>
      <c r="F46" s="138"/>
      <c r="G46" s="139"/>
      <c r="H46" s="140"/>
      <c r="I46" s="37"/>
      <c r="J46" s="40"/>
      <c r="K46" s="41"/>
      <c r="L46" s="42"/>
      <c r="M46" s="43"/>
      <c r="N46" s="44"/>
      <c r="O46" s="60"/>
      <c r="P46" s="46"/>
      <c r="Q46" s="47"/>
      <c r="R46" s="47"/>
      <c r="S46" s="46"/>
      <c r="T46" s="44"/>
      <c r="U46" s="62"/>
      <c r="V46" s="49"/>
      <c r="W46" s="49"/>
      <c r="X46" s="49"/>
      <c r="Y46" s="49"/>
      <c r="Z46" s="50">
        <v>5.6</v>
      </c>
      <c r="AA46" s="53"/>
      <c r="AB46" s="21" t="s">
        <v>2</v>
      </c>
      <c r="AC46" s="120"/>
      <c r="AH46" s="63">
        <v>1</v>
      </c>
      <c r="AN46" s="121"/>
      <c r="AO46" s="10" t="s">
        <v>3</v>
      </c>
      <c r="AP46" s="53"/>
      <c r="AQ46" s="50">
        <v>1.6</v>
      </c>
      <c r="AR46" s="49"/>
      <c r="AS46" s="49"/>
      <c r="AT46" s="49"/>
      <c r="AU46" s="49"/>
      <c r="AV46" s="54"/>
      <c r="AW46" s="44" t="s">
        <v>75</v>
      </c>
      <c r="AX46" s="46"/>
      <c r="AY46" s="47"/>
      <c r="AZ46" s="47"/>
      <c r="BA46" s="46"/>
      <c r="BB46" s="55"/>
      <c r="BC46" s="43"/>
      <c r="BD46" s="43"/>
      <c r="BE46" s="42"/>
      <c r="BF46" s="41"/>
      <c r="BG46" s="56"/>
      <c r="BH46" s="57"/>
      <c r="BI46" s="140"/>
      <c r="BJ46" s="139"/>
      <c r="BK46" s="141"/>
      <c r="BL46" s="36"/>
      <c r="BM46" s="36" t="str">
        <f>IF('[1]V1 V2'!X45="","",'[1]V1 V2'!X45)</f>
        <v/>
      </c>
    </row>
    <row r="47" spans="1:65" ht="16" thickBot="1" x14ac:dyDescent="0.4">
      <c r="A47">
        <v>1</v>
      </c>
      <c r="B47" s="59" t="s">
        <v>76</v>
      </c>
      <c r="C47" s="59"/>
      <c r="D47" s="35"/>
      <c r="E47" s="36">
        <f>VLOOKUP($B47,'[1]V1 V2'!$B$5:$BW$1894,74,0)</f>
        <v>0</v>
      </c>
      <c r="F47" s="138"/>
      <c r="G47" s="139"/>
      <c r="H47" s="140"/>
      <c r="I47" s="37"/>
      <c r="J47" s="40"/>
      <c r="K47" s="41"/>
      <c r="L47" s="42">
        <v>3.8</v>
      </c>
      <c r="M47" s="43"/>
      <c r="N47" s="44"/>
      <c r="O47" s="60"/>
      <c r="P47" s="46"/>
      <c r="Q47" s="61"/>
      <c r="R47" s="61" t="s">
        <v>29</v>
      </c>
      <c r="S47" s="46"/>
      <c r="T47" s="44" t="s">
        <v>30</v>
      </c>
      <c r="U47" s="62"/>
      <c r="V47" s="49"/>
      <c r="W47" s="49"/>
      <c r="X47" s="49">
        <v>34633.989000000001</v>
      </c>
      <c r="Y47" s="49">
        <v>169.95999999999998</v>
      </c>
      <c r="Z47" s="133"/>
      <c r="AA47" s="53" t="s">
        <v>76</v>
      </c>
      <c r="AB47" s="21" t="s">
        <v>2</v>
      </c>
      <c r="AC47" s="120"/>
      <c r="AH47" s="63">
        <v>1</v>
      </c>
      <c r="AN47" s="121"/>
      <c r="AO47" s="10" t="s">
        <v>3</v>
      </c>
      <c r="AP47" s="53" t="s">
        <v>77</v>
      </c>
      <c r="AQ47" s="133"/>
      <c r="AR47" s="49">
        <v>172.86</v>
      </c>
      <c r="AS47" s="49">
        <v>34631.089</v>
      </c>
      <c r="AT47" s="49"/>
      <c r="AU47" s="49"/>
      <c r="AV47" s="54"/>
      <c r="AW47" s="44" t="s">
        <v>30</v>
      </c>
      <c r="AX47" s="46"/>
      <c r="AY47" s="61" t="s">
        <v>29</v>
      </c>
      <c r="AZ47" s="61"/>
      <c r="BA47" s="46"/>
      <c r="BB47" s="55"/>
      <c r="BC47" s="43"/>
      <c r="BD47" s="43"/>
      <c r="BE47" s="42">
        <v>3.8</v>
      </c>
      <c r="BF47" s="41"/>
      <c r="BG47" s="56"/>
      <c r="BH47" s="57"/>
      <c r="BI47" s="140"/>
      <c r="BJ47" s="139"/>
      <c r="BK47" s="141"/>
      <c r="BL47" s="36">
        <f>VLOOKUP($AP47,'[1]V1 V2'!$B$5:$BW$1894,74,0)</f>
        <v>0</v>
      </c>
      <c r="BM47" s="36" t="str">
        <f>IF('[1]V1 V2'!X46="","",'[1]V1 V2'!X46)</f>
        <v/>
      </c>
    </row>
    <row r="48" spans="1:65" ht="16" thickBot="1" x14ac:dyDescent="0.4">
      <c r="A48">
        <v>1</v>
      </c>
      <c r="B48" s="59"/>
      <c r="C48" s="59"/>
      <c r="D48" s="35"/>
      <c r="E48" s="36"/>
      <c r="F48" s="37"/>
      <c r="G48" s="38"/>
      <c r="H48" s="39"/>
      <c r="I48" s="37"/>
      <c r="J48" s="40"/>
      <c r="K48" s="41"/>
      <c r="L48" s="42"/>
      <c r="M48" s="43"/>
      <c r="N48" s="44"/>
      <c r="O48" s="60"/>
      <c r="P48" s="46"/>
      <c r="Q48" s="61"/>
      <c r="R48" s="47"/>
      <c r="S48" s="46"/>
      <c r="T48" s="44"/>
      <c r="U48" s="62"/>
      <c r="V48" s="49"/>
      <c r="W48" s="49"/>
      <c r="X48" s="49"/>
      <c r="Y48" s="49"/>
      <c r="Z48" s="50">
        <v>9.3000000000000007</v>
      </c>
      <c r="AA48" s="53"/>
      <c r="AB48" s="21" t="s">
        <v>2</v>
      </c>
      <c r="AC48" s="120"/>
      <c r="AH48" s="63">
        <v>1</v>
      </c>
      <c r="AN48" s="121"/>
      <c r="AO48" s="10" t="s">
        <v>3</v>
      </c>
      <c r="AP48" s="53"/>
      <c r="AQ48" s="50">
        <v>7.2</v>
      </c>
      <c r="AR48" s="49"/>
      <c r="AS48" s="49"/>
      <c r="AT48" s="49"/>
      <c r="AU48" s="49"/>
      <c r="AV48" s="54"/>
      <c r="AW48" s="44"/>
      <c r="AX48" s="46"/>
      <c r="AY48" s="47"/>
      <c r="AZ48" s="61"/>
      <c r="BA48" s="46"/>
      <c r="BB48" s="55"/>
      <c r="BC48" s="43"/>
      <c r="BD48" s="43"/>
      <c r="BE48" s="42"/>
      <c r="BF48" s="41"/>
      <c r="BG48" s="56"/>
      <c r="BH48" s="57"/>
      <c r="BI48" s="39"/>
      <c r="BJ48" s="38"/>
      <c r="BK48" s="58"/>
      <c r="BL48" s="36"/>
      <c r="BM48" s="36" t="str">
        <f>IF('[1]V1 V2'!X47="","",'[1]V1 V2'!X47)</f>
        <v/>
      </c>
    </row>
    <row r="49" spans="1:65" ht="16" thickBot="1" x14ac:dyDescent="0.4">
      <c r="A49">
        <v>1</v>
      </c>
      <c r="B49" s="59" t="s">
        <v>78</v>
      </c>
      <c r="C49" s="59"/>
      <c r="D49" s="35"/>
      <c r="E49" s="36">
        <f>VLOOKUP($B49,'[1]V1 V2'!$B$5:$BW$1894,74,0)</f>
        <v>0</v>
      </c>
      <c r="F49" s="37"/>
      <c r="G49" s="38"/>
      <c r="H49" s="39"/>
      <c r="I49" s="37"/>
      <c r="J49" s="40"/>
      <c r="K49" s="41"/>
      <c r="L49" s="42">
        <v>3.8</v>
      </c>
      <c r="M49" s="43"/>
      <c r="N49" s="44"/>
      <c r="O49" s="60"/>
      <c r="P49" s="46"/>
      <c r="Q49" s="47"/>
      <c r="R49" s="61" t="s">
        <v>29</v>
      </c>
      <c r="S49" s="46"/>
      <c r="T49" s="44" t="s">
        <v>30</v>
      </c>
      <c r="U49" s="62"/>
      <c r="V49" s="49"/>
      <c r="W49" s="49"/>
      <c r="X49" s="49">
        <v>34624.688999999998</v>
      </c>
      <c r="Y49" s="49">
        <v>179.26</v>
      </c>
      <c r="Z49" s="50"/>
      <c r="AA49" s="53" t="s">
        <v>78</v>
      </c>
      <c r="AB49" s="21" t="s">
        <v>2</v>
      </c>
      <c r="AC49" s="120"/>
      <c r="AH49" s="63">
        <v>1</v>
      </c>
      <c r="AN49" s="121"/>
      <c r="AO49" s="10" t="s">
        <v>3</v>
      </c>
      <c r="AP49" s="53" t="s">
        <v>79</v>
      </c>
      <c r="AQ49" s="50"/>
      <c r="AR49" s="49">
        <v>180.06</v>
      </c>
      <c r="AS49" s="49">
        <v>34623.889000000003</v>
      </c>
      <c r="AT49" s="49"/>
      <c r="AU49" s="49"/>
      <c r="AV49" s="54"/>
      <c r="AW49" s="44" t="s">
        <v>30</v>
      </c>
      <c r="AX49" s="46"/>
      <c r="AY49" s="61" t="s">
        <v>29</v>
      </c>
      <c r="AZ49" s="47"/>
      <c r="BA49" s="46"/>
      <c r="BB49" s="55"/>
      <c r="BC49" s="43"/>
      <c r="BD49" s="43"/>
      <c r="BE49" s="42">
        <v>3.8</v>
      </c>
      <c r="BF49" s="41"/>
      <c r="BG49" s="56"/>
      <c r="BH49" s="57"/>
      <c r="BI49" s="39"/>
      <c r="BJ49" s="38"/>
      <c r="BK49" s="58"/>
      <c r="BL49" s="36">
        <f>VLOOKUP($AP49,'[1]V1 V2'!$B$5:$BW$1894,74,0)</f>
        <v>0</v>
      </c>
      <c r="BM49" s="36" t="str">
        <f>IF('[1]V1 V2'!X48="","",'[1]V1 V2'!X48)</f>
        <v/>
      </c>
    </row>
    <row r="50" spans="1:65" ht="16" thickBot="1" x14ac:dyDescent="0.4">
      <c r="A50">
        <v>1</v>
      </c>
      <c r="B50" s="59"/>
      <c r="C50" s="59"/>
      <c r="D50" s="35"/>
      <c r="E50" s="36"/>
      <c r="F50" s="37"/>
      <c r="G50" s="38"/>
      <c r="H50" s="39"/>
      <c r="I50" s="37"/>
      <c r="J50" s="40"/>
      <c r="K50" s="41"/>
      <c r="L50" s="42"/>
      <c r="M50" s="43"/>
      <c r="N50" s="44"/>
      <c r="O50" s="60"/>
      <c r="P50" s="46"/>
      <c r="Q50" s="61"/>
      <c r="R50" s="47"/>
      <c r="S50" s="46"/>
      <c r="T50" s="44"/>
      <c r="U50" s="62"/>
      <c r="V50" s="49"/>
      <c r="W50" s="49"/>
      <c r="X50" s="49"/>
      <c r="Y50" s="49"/>
      <c r="Z50" s="50">
        <v>8</v>
      </c>
      <c r="AA50" s="53"/>
      <c r="AB50" s="21" t="s">
        <v>2</v>
      </c>
      <c r="AC50" s="120"/>
      <c r="AH50" s="63">
        <v>1</v>
      </c>
      <c r="AN50" s="121"/>
      <c r="AO50" s="10" t="s">
        <v>3</v>
      </c>
      <c r="AP50" s="53"/>
      <c r="AQ50" s="50">
        <v>8</v>
      </c>
      <c r="AR50" s="49"/>
      <c r="AS50" s="49"/>
      <c r="AT50" s="49"/>
      <c r="AU50" s="49"/>
      <c r="AV50" s="54"/>
      <c r="AW50" s="44"/>
      <c r="AX50" s="46"/>
      <c r="AY50" s="47"/>
      <c r="AZ50" s="61"/>
      <c r="BA50" s="46"/>
      <c r="BB50" s="55"/>
      <c r="BC50" s="43"/>
      <c r="BD50" s="43"/>
      <c r="BE50" s="42"/>
      <c r="BF50" s="41"/>
      <c r="BG50" s="56"/>
      <c r="BH50" s="57"/>
      <c r="BI50" s="39"/>
      <c r="BJ50" s="38"/>
      <c r="BK50" s="58"/>
      <c r="BL50" s="36"/>
      <c r="BM50" s="36" t="str">
        <f>IF('[1]V1 V2'!X49="","",'[1]V1 V2'!X49)</f>
        <v/>
      </c>
    </row>
    <row r="51" spans="1:65" ht="16" thickBot="1" x14ac:dyDescent="0.4">
      <c r="A51">
        <v>1</v>
      </c>
      <c r="B51" s="59" t="s">
        <v>80</v>
      </c>
      <c r="C51" s="59"/>
      <c r="D51" s="35"/>
      <c r="E51" s="36">
        <f>VLOOKUP($B51,'[1]V1 V2'!$B$5:$BW$1894,74,0)</f>
        <v>0</v>
      </c>
      <c r="F51" s="37"/>
      <c r="G51" s="38"/>
      <c r="H51" s="39"/>
      <c r="I51" s="37"/>
      <c r="J51" s="40"/>
      <c r="K51" s="41"/>
      <c r="L51" s="42"/>
      <c r="M51" s="43"/>
      <c r="N51" s="44"/>
      <c r="O51" s="60"/>
      <c r="P51" s="46"/>
      <c r="Q51" s="47"/>
      <c r="R51" s="61" t="s">
        <v>29</v>
      </c>
      <c r="S51" s="46"/>
      <c r="T51" s="44" t="s">
        <v>30</v>
      </c>
      <c r="U51" s="62"/>
      <c r="V51" s="49"/>
      <c r="W51" s="49"/>
      <c r="X51" s="49">
        <v>34616.688999999998</v>
      </c>
      <c r="Y51" s="49">
        <v>187.26</v>
      </c>
      <c r="Z51" s="50"/>
      <c r="AA51" s="53" t="s">
        <v>80</v>
      </c>
      <c r="AB51" s="21" t="s">
        <v>2</v>
      </c>
      <c r="AC51" s="120"/>
      <c r="AH51" s="63">
        <v>1</v>
      </c>
      <c r="AN51" s="121"/>
      <c r="AO51" s="10" t="s">
        <v>3</v>
      </c>
      <c r="AP51" s="53" t="s">
        <v>81</v>
      </c>
      <c r="AQ51" s="50"/>
      <c r="AR51" s="49">
        <v>188.06</v>
      </c>
      <c r="AS51" s="49">
        <v>34615.889000000003</v>
      </c>
      <c r="AT51" s="49"/>
      <c r="AU51" s="49"/>
      <c r="AV51" s="54"/>
      <c r="AW51" s="44" t="s">
        <v>30</v>
      </c>
      <c r="AX51" s="46"/>
      <c r="AY51" s="61" t="s">
        <v>29</v>
      </c>
      <c r="AZ51" s="47"/>
      <c r="BA51" s="46"/>
      <c r="BB51" s="55"/>
      <c r="BC51" s="43"/>
      <c r="BD51" s="43"/>
      <c r="BE51" s="142">
        <v>3.8</v>
      </c>
      <c r="BF51" s="41"/>
      <c r="BG51" s="56"/>
      <c r="BH51" s="57"/>
      <c r="BI51" s="39"/>
      <c r="BJ51" s="38"/>
      <c r="BK51" s="58"/>
      <c r="BL51" s="36">
        <f>VLOOKUP($AP51,'[1]V1 V2'!$B$5:$BW$1894,74,0)</f>
        <v>0</v>
      </c>
      <c r="BM51" s="36" t="str">
        <f>IF('[1]V1 V2'!X50="","",'[1]V1 V2'!X50)</f>
        <v/>
      </c>
    </row>
    <row r="52" spans="1:65" ht="16" thickBot="1" x14ac:dyDescent="0.4">
      <c r="A52">
        <v>1</v>
      </c>
      <c r="B52" s="59"/>
      <c r="C52" s="59"/>
      <c r="D52" s="35"/>
      <c r="E52" s="36"/>
      <c r="F52" s="37"/>
      <c r="G52" s="38"/>
      <c r="H52" s="39"/>
      <c r="I52" s="37"/>
      <c r="J52" s="40"/>
      <c r="K52" s="41"/>
      <c r="L52" s="42"/>
      <c r="M52" s="43"/>
      <c r="N52" s="44"/>
      <c r="O52" s="60"/>
      <c r="P52" s="46"/>
      <c r="Q52" s="47"/>
      <c r="R52" s="47"/>
      <c r="S52" s="46"/>
      <c r="T52" s="44"/>
      <c r="U52" s="62"/>
      <c r="V52" s="49"/>
      <c r="W52" s="49"/>
      <c r="X52" s="49"/>
      <c r="Y52" s="49"/>
      <c r="Z52" s="50">
        <v>9.8000000000000007</v>
      </c>
      <c r="AA52" s="53"/>
      <c r="AB52" s="21" t="s">
        <v>2</v>
      </c>
      <c r="AC52" s="120"/>
      <c r="AH52" s="63">
        <v>1</v>
      </c>
      <c r="AN52" s="121"/>
      <c r="AO52" s="10" t="s">
        <v>3</v>
      </c>
      <c r="AP52" s="53"/>
      <c r="AQ52" s="50">
        <v>9.8000000000000007</v>
      </c>
      <c r="AR52" s="49"/>
      <c r="AS52" s="49"/>
      <c r="AT52" s="49"/>
      <c r="AU52" s="49"/>
      <c r="AV52" s="54"/>
      <c r="AW52" s="44"/>
      <c r="AX52" s="46"/>
      <c r="AY52" s="47"/>
      <c r="AZ52" s="47"/>
      <c r="BA52" s="46"/>
      <c r="BB52" s="55"/>
      <c r="BC52" s="43"/>
      <c r="BD52" s="43"/>
      <c r="BE52" s="42"/>
      <c r="BF52" s="41"/>
      <c r="BG52" s="56"/>
      <c r="BH52" s="57"/>
      <c r="BI52" s="39"/>
      <c r="BJ52" s="38"/>
      <c r="BK52" s="58"/>
      <c r="BL52" s="36"/>
      <c r="BM52" s="36" t="str">
        <f>IF('[1]V1 V2'!X51="","",'[1]V1 V2'!X51)</f>
        <v/>
      </c>
    </row>
    <row r="53" spans="1:65" ht="16" thickBot="1" x14ac:dyDescent="0.4">
      <c r="A53">
        <v>1</v>
      </c>
      <c r="B53" s="143" t="s">
        <v>82</v>
      </c>
      <c r="C53" s="143"/>
      <c r="D53" s="80"/>
      <c r="E53" s="36">
        <f>VLOOKUP($B53,'[1]V1 V2'!$B$5:$BW$1894,74,0)</f>
        <v>0</v>
      </c>
      <c r="F53" s="144"/>
      <c r="G53" s="145"/>
      <c r="H53" s="69"/>
      <c r="I53" s="146"/>
      <c r="J53" s="86">
        <v>-20</v>
      </c>
      <c r="K53" s="147"/>
      <c r="L53" s="148">
        <v>3.8</v>
      </c>
      <c r="M53" s="149"/>
      <c r="N53" s="150"/>
      <c r="O53" s="151"/>
      <c r="P53" s="152"/>
      <c r="Q53" s="153" t="s">
        <v>83</v>
      </c>
      <c r="R53" s="153" t="s">
        <v>29</v>
      </c>
      <c r="S53" s="152"/>
      <c r="T53" s="150" t="s">
        <v>33</v>
      </c>
      <c r="U53" s="80"/>
      <c r="V53" s="154" t="s">
        <v>84</v>
      </c>
      <c r="W53" s="154" t="s">
        <v>85</v>
      </c>
      <c r="X53" s="154">
        <v>34606.889000000003</v>
      </c>
      <c r="Y53" s="154">
        <v>197.06</v>
      </c>
      <c r="Z53" s="155"/>
      <c r="AA53" s="156" t="s">
        <v>82</v>
      </c>
      <c r="AB53" s="21" t="s">
        <v>2</v>
      </c>
      <c r="AC53" s="120"/>
      <c r="AH53" s="63">
        <v>1</v>
      </c>
      <c r="AN53" s="121"/>
      <c r="AO53" s="10" t="s">
        <v>3</v>
      </c>
      <c r="AP53" s="156" t="s">
        <v>86</v>
      </c>
      <c r="AQ53" s="155"/>
      <c r="AR53" s="154">
        <v>197.86</v>
      </c>
      <c r="AS53" s="154">
        <v>34606.089</v>
      </c>
      <c r="AT53" s="154" t="s">
        <v>87</v>
      </c>
      <c r="AU53" s="154" t="s">
        <v>88</v>
      </c>
      <c r="AV53" s="80"/>
      <c r="AW53" s="150" t="s">
        <v>33</v>
      </c>
      <c r="AX53" s="152"/>
      <c r="AY53" s="153" t="s">
        <v>29</v>
      </c>
      <c r="AZ53" s="153" t="s">
        <v>83</v>
      </c>
      <c r="BA53" s="152"/>
      <c r="BB53" s="157"/>
      <c r="BC53" s="149"/>
      <c r="BD53" s="149"/>
      <c r="BE53" s="148">
        <v>3.8</v>
      </c>
      <c r="BF53" s="72"/>
      <c r="BG53" s="158">
        <v>-20</v>
      </c>
      <c r="BH53" s="159"/>
      <c r="BI53" s="69"/>
      <c r="BJ53" s="145"/>
      <c r="BK53" s="160"/>
      <c r="BL53" s="36">
        <f>VLOOKUP($AP53,'[1]V1 V2'!$B$5:$BW$1894,74,0)</f>
        <v>0</v>
      </c>
      <c r="BM53" s="36" t="str">
        <f>IF('[1]V1 V2'!X52="","",'[1]V1 V2'!X52)</f>
        <v/>
      </c>
    </row>
    <row r="54" spans="1:65" ht="16" thickBot="1" x14ac:dyDescent="0.4">
      <c r="A54">
        <v>1</v>
      </c>
      <c r="B54" s="143"/>
      <c r="C54" s="143"/>
      <c r="D54" s="80"/>
      <c r="E54" s="36"/>
      <c r="F54" s="144"/>
      <c r="G54" s="145"/>
      <c r="H54" s="92" t="s">
        <v>8</v>
      </c>
      <c r="I54" s="146"/>
      <c r="J54" s="86"/>
      <c r="K54" s="147"/>
      <c r="L54" s="148"/>
      <c r="M54" s="149"/>
      <c r="N54" s="150"/>
      <c r="O54" s="151"/>
      <c r="P54" s="152"/>
      <c r="Q54" s="161"/>
      <c r="R54" s="161"/>
      <c r="S54" s="152"/>
      <c r="T54" s="150"/>
      <c r="U54" s="80"/>
      <c r="V54" s="154" t="s">
        <v>89</v>
      </c>
      <c r="W54" s="154" t="s">
        <v>89</v>
      </c>
      <c r="X54" s="154"/>
      <c r="Y54" s="154"/>
      <c r="Z54" s="155">
        <v>6.2</v>
      </c>
      <c r="AA54" s="156"/>
      <c r="AB54" s="21" t="s">
        <v>2</v>
      </c>
      <c r="AC54" s="162"/>
      <c r="AD54" s="163"/>
      <c r="AE54" s="163"/>
      <c r="AF54" s="163" t="s">
        <v>90</v>
      </c>
      <c r="AG54" s="163"/>
      <c r="AH54" s="164">
        <v>1</v>
      </c>
      <c r="AI54" s="163"/>
      <c r="AJ54" s="163"/>
      <c r="AK54" s="163" t="s">
        <v>90</v>
      </c>
      <c r="AL54" s="163"/>
      <c r="AM54" s="163"/>
      <c r="AN54" s="165"/>
      <c r="AO54" s="10" t="s">
        <v>3</v>
      </c>
      <c r="AP54" s="156"/>
      <c r="AQ54" s="155">
        <v>6.2</v>
      </c>
      <c r="AR54" s="154"/>
      <c r="AS54" s="154"/>
      <c r="AT54" s="154" t="s">
        <v>89</v>
      </c>
      <c r="AU54" s="154" t="s">
        <v>89</v>
      </c>
      <c r="AV54" s="80"/>
      <c r="AW54" s="150"/>
      <c r="AX54" s="152"/>
      <c r="AY54" s="161"/>
      <c r="AZ54" s="161"/>
      <c r="BA54" s="152"/>
      <c r="BB54" s="157"/>
      <c r="BC54" s="149"/>
      <c r="BD54" s="149"/>
      <c r="BE54" s="148"/>
      <c r="BF54" s="72"/>
      <c r="BG54" s="158"/>
      <c r="BH54" s="159"/>
      <c r="BI54" s="92" t="s">
        <v>8</v>
      </c>
      <c r="BJ54" s="145"/>
      <c r="BK54" s="160"/>
      <c r="BL54" s="36"/>
      <c r="BM54" s="36" t="str">
        <f>IF('[1]V1 V2'!X53="","",'[1]V1 V2'!X53)</f>
        <v/>
      </c>
    </row>
    <row r="55" spans="1:65" ht="16" thickBot="1" x14ac:dyDescent="0.4">
      <c r="A55">
        <v>1</v>
      </c>
      <c r="B55" s="143" t="s">
        <v>91</v>
      </c>
      <c r="C55" s="143"/>
      <c r="D55" s="80"/>
      <c r="E55" s="36">
        <f>VLOOKUP($B55,'[1]V1 V2'!$B$5:$BW$1894,74,0)</f>
        <v>0</v>
      </c>
      <c r="F55" s="144"/>
      <c r="G55" s="145"/>
      <c r="H55" s="98" t="s">
        <v>92</v>
      </c>
      <c r="I55" s="144"/>
      <c r="J55" s="158">
        <v>-20</v>
      </c>
      <c r="K55" s="147"/>
      <c r="L55" s="148">
        <v>3.8</v>
      </c>
      <c r="M55" s="149"/>
      <c r="N55" s="150"/>
      <c r="O55" s="151"/>
      <c r="P55" s="152"/>
      <c r="Q55" s="153" t="s">
        <v>83</v>
      </c>
      <c r="R55" s="153" t="s">
        <v>29</v>
      </c>
      <c r="S55" s="152"/>
      <c r="T55" s="150" t="s">
        <v>33</v>
      </c>
      <c r="U55" s="80"/>
      <c r="V55" s="154" t="s">
        <v>93</v>
      </c>
      <c r="W55" s="154" t="s">
        <v>94</v>
      </c>
      <c r="X55" s="154">
        <v>34600.688999999998</v>
      </c>
      <c r="Y55" s="154">
        <v>203.26</v>
      </c>
      <c r="Z55" s="155"/>
      <c r="AA55" s="156" t="s">
        <v>91</v>
      </c>
      <c r="AB55" s="21" t="s">
        <v>2</v>
      </c>
      <c r="AC55" s="113"/>
      <c r="AD55" s="113"/>
      <c r="AE55" s="113"/>
      <c r="AF55" s="113"/>
      <c r="AG55" s="113"/>
      <c r="AH55" s="166">
        <f>Y54</f>
        <v>0</v>
      </c>
      <c r="AI55" s="113"/>
      <c r="AJ55" s="113"/>
      <c r="AK55" s="113"/>
      <c r="AL55" s="113"/>
      <c r="AM55" s="113"/>
      <c r="AN55" s="113"/>
      <c r="AO55" s="10" t="s">
        <v>3</v>
      </c>
      <c r="AP55" s="156" t="s">
        <v>95</v>
      </c>
      <c r="AQ55" s="155"/>
      <c r="AR55" s="154">
        <v>204.06</v>
      </c>
      <c r="AS55" s="154">
        <v>34599.889000000003</v>
      </c>
      <c r="AT55" s="154" t="s">
        <v>96</v>
      </c>
      <c r="AU55" s="154" t="s">
        <v>97</v>
      </c>
      <c r="AV55" s="80"/>
      <c r="AW55" s="150" t="s">
        <v>33</v>
      </c>
      <c r="AX55" s="152"/>
      <c r="AY55" s="153" t="s">
        <v>29</v>
      </c>
      <c r="AZ55" s="153" t="s">
        <v>83</v>
      </c>
      <c r="BA55" s="152"/>
      <c r="BB55" s="157"/>
      <c r="BC55" s="149"/>
      <c r="BD55" s="149"/>
      <c r="BE55" s="148">
        <v>3.8</v>
      </c>
      <c r="BF55" s="72"/>
      <c r="BG55" s="158">
        <v>-20</v>
      </c>
      <c r="BH55" s="159"/>
      <c r="BI55" s="98" t="s">
        <v>98</v>
      </c>
      <c r="BJ55" s="145"/>
      <c r="BK55" s="160"/>
      <c r="BL55" s="36">
        <f>VLOOKUP($AP55,'[1]V1 V2'!$B$5:$BW$1894,74,0)</f>
        <v>0</v>
      </c>
      <c r="BM55" s="36" t="str">
        <f>IF('[1]V1 V2'!X54="","",'[1]V1 V2'!X54)</f>
        <v/>
      </c>
    </row>
    <row r="56" spans="1:65" ht="16" thickBot="1" x14ac:dyDescent="0.4">
      <c r="A56">
        <v>1</v>
      </c>
      <c r="B56" s="167"/>
      <c r="C56" s="167"/>
      <c r="D56" s="132"/>
      <c r="E56" s="36"/>
      <c r="F56" s="168"/>
      <c r="G56" s="169"/>
      <c r="H56" s="170"/>
      <c r="I56" s="168"/>
      <c r="J56" s="56"/>
      <c r="K56" s="171"/>
      <c r="L56" s="142"/>
      <c r="M56" s="172"/>
      <c r="N56" s="173"/>
      <c r="O56" s="174"/>
      <c r="P56" s="175"/>
      <c r="Q56" s="176"/>
      <c r="R56" s="176"/>
      <c r="S56" s="175"/>
      <c r="T56" s="173"/>
      <c r="U56" s="62"/>
      <c r="V56" s="177" t="s">
        <v>89</v>
      </c>
      <c r="W56" s="177" t="s">
        <v>89</v>
      </c>
      <c r="X56" s="177"/>
      <c r="Y56" s="177"/>
      <c r="Z56" s="178">
        <v>12</v>
      </c>
      <c r="AA56" s="179"/>
      <c r="AB56" s="21" t="s">
        <v>2</v>
      </c>
      <c r="AH56" s="63">
        <v>1</v>
      </c>
      <c r="AO56" s="10" t="s">
        <v>3</v>
      </c>
      <c r="AP56" s="179"/>
      <c r="AQ56" s="178">
        <v>12</v>
      </c>
      <c r="AR56" s="177"/>
      <c r="AS56" s="177"/>
      <c r="AT56" s="177" t="s">
        <v>89</v>
      </c>
      <c r="AU56" s="177" t="s">
        <v>89</v>
      </c>
      <c r="AV56" s="62"/>
      <c r="AW56" s="173"/>
      <c r="AX56" s="175"/>
      <c r="AY56" s="176"/>
      <c r="AZ56" s="176"/>
      <c r="BA56" s="175"/>
      <c r="BB56" s="180"/>
      <c r="BC56" s="172"/>
      <c r="BD56" s="172"/>
      <c r="BE56" s="142"/>
      <c r="BF56" s="171"/>
      <c r="BG56" s="56"/>
      <c r="BH56" s="57"/>
      <c r="BI56" s="170"/>
      <c r="BJ56" s="169"/>
      <c r="BK56" s="181"/>
      <c r="BL56" s="36"/>
      <c r="BM56" s="36" t="str">
        <f>IF('[1]V1 V2'!X55="","",'[1]V1 V2'!X55)</f>
        <v/>
      </c>
    </row>
    <row r="57" spans="1:65" ht="16" thickBot="1" x14ac:dyDescent="0.4">
      <c r="A57">
        <v>1</v>
      </c>
      <c r="B57" s="167" t="s">
        <v>99</v>
      </c>
      <c r="C57" s="167"/>
      <c r="D57" s="132"/>
      <c r="E57" s="36">
        <f>VLOOKUP($B57,'[1]V1 V2'!$B$5:$BW$1894,74,0)</f>
        <v>0</v>
      </c>
      <c r="F57" s="168"/>
      <c r="G57" s="169"/>
      <c r="H57" s="170"/>
      <c r="I57" s="168"/>
      <c r="J57" s="56">
        <v>-12</v>
      </c>
      <c r="K57" s="171"/>
      <c r="L57" s="142">
        <v>3.8</v>
      </c>
      <c r="M57" s="172"/>
      <c r="N57" s="173"/>
      <c r="O57" s="174"/>
      <c r="P57" s="175"/>
      <c r="Q57" s="182" t="s">
        <v>100</v>
      </c>
      <c r="R57" s="182" t="s">
        <v>29</v>
      </c>
      <c r="S57" s="175"/>
      <c r="T57" s="173" t="s">
        <v>30</v>
      </c>
      <c r="U57" s="62"/>
      <c r="V57" s="177" t="s">
        <v>101</v>
      </c>
      <c r="W57" s="177" t="s">
        <v>102</v>
      </c>
      <c r="X57" s="177">
        <v>34588.688999999998</v>
      </c>
      <c r="Y57" s="177">
        <v>215.26</v>
      </c>
      <c r="Z57" s="178"/>
      <c r="AA57" s="179" t="s">
        <v>99</v>
      </c>
      <c r="AB57" s="21" t="s">
        <v>2</v>
      </c>
      <c r="AH57" s="63">
        <v>1</v>
      </c>
      <c r="AO57" s="10" t="s">
        <v>3</v>
      </c>
      <c r="AP57" s="179" t="s">
        <v>103</v>
      </c>
      <c r="AQ57" s="178"/>
      <c r="AR57" s="177">
        <v>216.06</v>
      </c>
      <c r="AS57" s="177">
        <v>34587.889000000003</v>
      </c>
      <c r="AT57" s="177" t="s">
        <v>104</v>
      </c>
      <c r="AU57" s="177" t="s">
        <v>105</v>
      </c>
      <c r="AV57" s="62"/>
      <c r="AW57" s="173" t="s">
        <v>30</v>
      </c>
      <c r="AX57" s="175"/>
      <c r="AY57" s="182" t="s">
        <v>29</v>
      </c>
      <c r="AZ57" s="182" t="s">
        <v>100</v>
      </c>
      <c r="BA57" s="175"/>
      <c r="BB57" s="180"/>
      <c r="BC57" s="172"/>
      <c r="BD57" s="172"/>
      <c r="BE57" s="142">
        <v>3.8</v>
      </c>
      <c r="BF57" s="171"/>
      <c r="BG57" s="56">
        <v>-12</v>
      </c>
      <c r="BH57" s="57"/>
      <c r="BI57" s="170"/>
      <c r="BJ57" s="169"/>
      <c r="BK57" s="181"/>
      <c r="BL57" s="36">
        <f>VLOOKUP($AP57,'[1]V1 V2'!$B$5:$BW$1894,74,0)</f>
        <v>0</v>
      </c>
      <c r="BM57" s="36" t="str">
        <f>IF('[1]V1 V2'!X56="","",'[1]V1 V2'!X56)</f>
        <v/>
      </c>
    </row>
    <row r="58" spans="1:65" ht="16" thickBot="1" x14ac:dyDescent="0.4">
      <c r="A58">
        <v>1</v>
      </c>
      <c r="B58" s="167"/>
      <c r="C58" s="167"/>
      <c r="D58" s="132"/>
      <c r="E58" s="36"/>
      <c r="F58" s="168"/>
      <c r="G58" s="169"/>
      <c r="H58" s="170"/>
      <c r="I58" s="168"/>
      <c r="J58" s="56"/>
      <c r="K58" s="171"/>
      <c r="L58" s="142"/>
      <c r="M58" s="172"/>
      <c r="N58" s="173"/>
      <c r="O58" s="174"/>
      <c r="P58" s="175"/>
      <c r="Q58" s="176"/>
      <c r="R58" s="176"/>
      <c r="S58" s="175"/>
      <c r="T58" s="173"/>
      <c r="U58" s="62"/>
      <c r="V58" s="177" t="s">
        <v>89</v>
      </c>
      <c r="W58" s="177" t="s">
        <v>89</v>
      </c>
      <c r="X58" s="177"/>
      <c r="Y58" s="177"/>
      <c r="Z58" s="178">
        <v>12</v>
      </c>
      <c r="AA58" s="179"/>
      <c r="AB58" s="21" t="s">
        <v>2</v>
      </c>
      <c r="AH58" s="63">
        <v>1</v>
      </c>
      <c r="AO58" s="10" t="s">
        <v>3</v>
      </c>
      <c r="AP58" s="179"/>
      <c r="AQ58" s="178">
        <v>12</v>
      </c>
      <c r="AR58" s="177"/>
      <c r="AS58" s="177"/>
      <c r="AT58" s="177" t="s">
        <v>89</v>
      </c>
      <c r="AU58" s="177" t="s">
        <v>89</v>
      </c>
      <c r="AV58" s="62"/>
      <c r="AW58" s="173"/>
      <c r="AX58" s="175"/>
      <c r="AY58" s="176"/>
      <c r="AZ58" s="176"/>
      <c r="BA58" s="175"/>
      <c r="BB58" s="180"/>
      <c r="BC58" s="172"/>
      <c r="BD58" s="172"/>
      <c r="BE58" s="142"/>
      <c r="BF58" s="171"/>
      <c r="BG58" s="56"/>
      <c r="BH58" s="57"/>
      <c r="BI58" s="170"/>
      <c r="BJ58" s="169"/>
      <c r="BK58" s="181"/>
      <c r="BL58" s="36"/>
      <c r="BM58" s="36" t="str">
        <f>IF('[1]V1 V2'!X57="","",'[1]V1 V2'!X57)</f>
        <v/>
      </c>
    </row>
    <row r="59" spans="1:65" ht="16" thickBot="1" x14ac:dyDescent="0.4">
      <c r="A59">
        <v>1</v>
      </c>
      <c r="B59" s="167" t="s">
        <v>106</v>
      </c>
      <c r="C59" s="167"/>
      <c r="D59" s="132"/>
      <c r="E59" s="36">
        <f>VLOOKUP($B59,'[1]V1 V2'!$B$5:$BW$1894,74,0)</f>
        <v>0</v>
      </c>
      <c r="F59" s="168"/>
      <c r="G59" s="169"/>
      <c r="H59" s="170"/>
      <c r="I59" s="168"/>
      <c r="J59" s="56">
        <v>-4</v>
      </c>
      <c r="K59" s="171"/>
      <c r="L59" s="142">
        <v>3.8</v>
      </c>
      <c r="M59" s="172"/>
      <c r="N59" s="173"/>
      <c r="O59" s="174"/>
      <c r="P59" s="175"/>
      <c r="Q59" s="182" t="s">
        <v>100</v>
      </c>
      <c r="R59" s="182" t="s">
        <v>29</v>
      </c>
      <c r="S59" s="175"/>
      <c r="T59" s="173" t="s">
        <v>30</v>
      </c>
      <c r="U59" s="62"/>
      <c r="V59" s="177" t="s">
        <v>107</v>
      </c>
      <c r="W59" s="177" t="s">
        <v>108</v>
      </c>
      <c r="X59" s="177">
        <v>34576.688999999998</v>
      </c>
      <c r="Y59" s="177">
        <v>227.26</v>
      </c>
      <c r="Z59" s="178"/>
      <c r="AA59" s="179" t="s">
        <v>106</v>
      </c>
      <c r="AB59" s="21" t="s">
        <v>2</v>
      </c>
      <c r="AH59" s="63">
        <v>1</v>
      </c>
      <c r="AO59" s="10" t="s">
        <v>3</v>
      </c>
      <c r="AP59" s="179" t="s">
        <v>109</v>
      </c>
      <c r="AQ59" s="178"/>
      <c r="AR59" s="177">
        <v>228.06</v>
      </c>
      <c r="AS59" s="177">
        <v>34575.889000000003</v>
      </c>
      <c r="AT59" s="177" t="s">
        <v>110</v>
      </c>
      <c r="AU59" s="177" t="s">
        <v>111</v>
      </c>
      <c r="AV59" s="62"/>
      <c r="AW59" s="173" t="s">
        <v>30</v>
      </c>
      <c r="AX59" s="175"/>
      <c r="AY59" s="182" t="s">
        <v>29</v>
      </c>
      <c r="AZ59" s="182" t="s">
        <v>100</v>
      </c>
      <c r="BA59" s="175"/>
      <c r="BB59" s="180"/>
      <c r="BC59" s="172"/>
      <c r="BD59" s="172"/>
      <c r="BE59" s="142">
        <v>3.8</v>
      </c>
      <c r="BF59" s="171"/>
      <c r="BG59" s="56">
        <v>-4</v>
      </c>
      <c r="BH59" s="57"/>
      <c r="BI59" s="170"/>
      <c r="BJ59" s="169"/>
      <c r="BK59" s="181"/>
      <c r="BL59" s="36">
        <f>VLOOKUP($AP59,'[1]V1 V2'!$B$5:$BW$1894,74,0)</f>
        <v>0</v>
      </c>
      <c r="BM59" s="36" t="str">
        <f>IF('[1]V1 V2'!X58="","",'[1]V1 V2'!X58)</f>
        <v/>
      </c>
    </row>
    <row r="60" spans="1:65" ht="16" thickBot="1" x14ac:dyDescent="0.4">
      <c r="A60">
        <v>1</v>
      </c>
      <c r="B60" s="167"/>
      <c r="C60" s="167"/>
      <c r="D60" s="132"/>
      <c r="E60" s="36"/>
      <c r="F60" s="168"/>
      <c r="G60" s="169"/>
      <c r="H60" s="170"/>
      <c r="I60" s="168"/>
      <c r="J60" s="56"/>
      <c r="K60" s="171"/>
      <c r="L60" s="142"/>
      <c r="M60" s="172"/>
      <c r="N60" s="173"/>
      <c r="O60" s="174"/>
      <c r="P60" s="175"/>
      <c r="Q60" s="176"/>
      <c r="R60" s="176"/>
      <c r="S60" s="175"/>
      <c r="T60" s="173"/>
      <c r="U60" s="62"/>
      <c r="V60" s="177" t="s">
        <v>89</v>
      </c>
      <c r="W60" s="177" t="s">
        <v>89</v>
      </c>
      <c r="X60" s="177"/>
      <c r="Y60" s="177"/>
      <c r="Z60" s="178">
        <v>12</v>
      </c>
      <c r="AA60" s="179"/>
      <c r="AB60" s="21" t="s">
        <v>2</v>
      </c>
      <c r="AH60" s="63">
        <v>1</v>
      </c>
      <c r="AO60" s="10" t="s">
        <v>3</v>
      </c>
      <c r="AP60" s="179"/>
      <c r="AQ60" s="178">
        <v>12</v>
      </c>
      <c r="AR60" s="177"/>
      <c r="AS60" s="177"/>
      <c r="AT60" s="177" t="s">
        <v>89</v>
      </c>
      <c r="AU60" s="177" t="s">
        <v>89</v>
      </c>
      <c r="AV60" s="62"/>
      <c r="AW60" s="173"/>
      <c r="AX60" s="175"/>
      <c r="AY60" s="176"/>
      <c r="AZ60" s="176"/>
      <c r="BA60" s="175"/>
      <c r="BB60" s="180"/>
      <c r="BC60" s="172"/>
      <c r="BD60" s="172"/>
      <c r="BE60" s="142"/>
      <c r="BF60" s="171"/>
      <c r="BG60" s="56"/>
      <c r="BH60" s="57"/>
      <c r="BI60" s="170"/>
      <c r="BJ60" s="169"/>
      <c r="BK60" s="181"/>
      <c r="BL60" s="36"/>
      <c r="BM60" s="36" t="str">
        <f>IF('[1]V1 V2'!X59="","",'[1]V1 V2'!X59)</f>
        <v/>
      </c>
    </row>
    <row r="61" spans="1:65" ht="16" thickBot="1" x14ac:dyDescent="0.4">
      <c r="A61">
        <v>1</v>
      </c>
      <c r="B61" s="167" t="s">
        <v>112</v>
      </c>
      <c r="C61" s="167"/>
      <c r="D61" s="132"/>
      <c r="E61" s="36">
        <f>VLOOKUP($B61,'[1]V1 V2'!$B$5:$BW$1894,74,0)</f>
        <v>0</v>
      </c>
      <c r="F61" s="168"/>
      <c r="G61" s="169"/>
      <c r="H61" s="170"/>
      <c r="I61" s="168"/>
      <c r="J61" s="56" t="s">
        <v>113</v>
      </c>
      <c r="K61" s="171"/>
      <c r="L61" s="142">
        <v>3.8</v>
      </c>
      <c r="M61" s="172"/>
      <c r="N61" s="173"/>
      <c r="O61" s="174"/>
      <c r="P61" s="175"/>
      <c r="Q61" s="182" t="s">
        <v>100</v>
      </c>
      <c r="R61" s="182" t="s">
        <v>29</v>
      </c>
      <c r="S61" s="175"/>
      <c r="T61" s="173" t="s">
        <v>30</v>
      </c>
      <c r="U61" s="62"/>
      <c r="V61" s="177" t="s">
        <v>114</v>
      </c>
      <c r="W61" s="177" t="s">
        <v>115</v>
      </c>
      <c r="X61" s="177">
        <v>34564.688999999998</v>
      </c>
      <c r="Y61" s="177">
        <v>239.26</v>
      </c>
      <c r="Z61" s="178"/>
      <c r="AA61" s="179" t="s">
        <v>112</v>
      </c>
      <c r="AB61" s="21" t="s">
        <v>2</v>
      </c>
      <c r="AH61" s="63">
        <v>1</v>
      </c>
      <c r="AO61" s="10" t="s">
        <v>3</v>
      </c>
      <c r="AP61" s="179" t="s">
        <v>116</v>
      </c>
      <c r="AQ61" s="178"/>
      <c r="AR61" s="177">
        <v>240.06</v>
      </c>
      <c r="AS61" s="177">
        <v>34563.889000000003</v>
      </c>
      <c r="AT61" s="177" t="s">
        <v>117</v>
      </c>
      <c r="AU61" s="177" t="s">
        <v>118</v>
      </c>
      <c r="AV61" s="62"/>
      <c r="AW61" s="173" t="s">
        <v>30</v>
      </c>
      <c r="AX61" s="175"/>
      <c r="AY61" s="182" t="s">
        <v>29</v>
      </c>
      <c r="AZ61" s="182" t="s">
        <v>100</v>
      </c>
      <c r="BA61" s="175"/>
      <c r="BB61" s="180"/>
      <c r="BC61" s="172"/>
      <c r="BD61" s="172"/>
      <c r="BE61" s="142">
        <v>3.8</v>
      </c>
      <c r="BF61" s="171"/>
      <c r="BG61" s="183" t="s">
        <v>113</v>
      </c>
      <c r="BH61" s="57"/>
      <c r="BI61" s="170"/>
      <c r="BJ61" s="169"/>
      <c r="BK61" s="181"/>
      <c r="BL61" s="36">
        <f>VLOOKUP($AP61,'[1]V1 V2'!$B$5:$BW$1894,74,0)</f>
        <v>0</v>
      </c>
      <c r="BM61" s="36" t="str">
        <f>IF('[1]V1 V2'!X60="","",'[1]V1 V2'!X60)</f>
        <v/>
      </c>
    </row>
    <row r="62" spans="1:65" ht="16" thickBot="1" x14ac:dyDescent="0.4">
      <c r="A62">
        <v>1</v>
      </c>
      <c r="B62" s="167"/>
      <c r="C62" s="167"/>
      <c r="D62" s="132"/>
      <c r="E62" s="36"/>
      <c r="F62" s="168"/>
      <c r="G62" s="169"/>
      <c r="H62" s="170"/>
      <c r="I62" s="168"/>
      <c r="J62" s="56"/>
      <c r="K62" s="171"/>
      <c r="L62" s="142"/>
      <c r="M62" s="172"/>
      <c r="N62" s="173"/>
      <c r="O62" s="174"/>
      <c r="P62" s="175"/>
      <c r="Q62" s="176"/>
      <c r="R62" s="176"/>
      <c r="S62" s="175"/>
      <c r="T62" s="173"/>
      <c r="U62" s="62"/>
      <c r="V62" s="177" t="s">
        <v>89</v>
      </c>
      <c r="W62" s="177" t="s">
        <v>89</v>
      </c>
      <c r="X62" s="177"/>
      <c r="Y62" s="177"/>
      <c r="Z62" s="178">
        <v>12</v>
      </c>
      <c r="AA62" s="179"/>
      <c r="AB62" s="21" t="s">
        <v>2</v>
      </c>
      <c r="AH62" s="63">
        <v>1</v>
      </c>
      <c r="AO62" s="10" t="s">
        <v>3</v>
      </c>
      <c r="AP62" s="179"/>
      <c r="AQ62" s="178">
        <v>12</v>
      </c>
      <c r="AR62" s="177"/>
      <c r="AS62" s="177"/>
      <c r="AT62" s="177" t="s">
        <v>89</v>
      </c>
      <c r="AU62" s="177" t="s">
        <v>89</v>
      </c>
      <c r="AV62" s="62"/>
      <c r="AW62" s="173"/>
      <c r="AX62" s="175"/>
      <c r="AY62" s="176"/>
      <c r="AZ62" s="176"/>
      <c r="BA62" s="175"/>
      <c r="BB62" s="180"/>
      <c r="BC62" s="172"/>
      <c r="BD62" s="172"/>
      <c r="BE62" s="142"/>
      <c r="BF62" s="171"/>
      <c r="BG62" s="56"/>
      <c r="BH62" s="57"/>
      <c r="BI62" s="170"/>
      <c r="BJ62" s="169"/>
      <c r="BK62" s="181"/>
      <c r="BL62" s="36"/>
      <c r="BM62" s="36" t="str">
        <f>IF('[1]V1 V2'!X61="","",'[1]V1 V2'!X61)</f>
        <v/>
      </c>
    </row>
    <row r="63" spans="1:65" ht="16" thickBot="1" x14ac:dyDescent="0.4">
      <c r="A63">
        <v>1</v>
      </c>
      <c r="B63" s="167" t="s">
        <v>119</v>
      </c>
      <c r="C63" s="167"/>
      <c r="D63" s="132"/>
      <c r="E63" s="36">
        <f>VLOOKUP($B63,'[1]V1 V2'!$B$5:$BW$1894,74,0)</f>
        <v>0</v>
      </c>
      <c r="F63" s="168"/>
      <c r="G63" s="169"/>
      <c r="H63" s="170"/>
      <c r="I63" s="168"/>
      <c r="J63" s="56" t="s">
        <v>120</v>
      </c>
      <c r="K63" s="171"/>
      <c r="L63" s="142">
        <v>3.8</v>
      </c>
      <c r="M63" s="172"/>
      <c r="N63" s="173"/>
      <c r="O63" s="174"/>
      <c r="P63" s="175"/>
      <c r="Q63" s="182" t="s">
        <v>100</v>
      </c>
      <c r="R63" s="182" t="s">
        <v>29</v>
      </c>
      <c r="S63" s="175"/>
      <c r="T63" s="173" t="s">
        <v>30</v>
      </c>
      <c r="U63" s="62"/>
      <c r="V63" s="177" t="s">
        <v>121</v>
      </c>
      <c r="W63" s="177" t="s">
        <v>122</v>
      </c>
      <c r="X63" s="177">
        <v>34552.688999999998</v>
      </c>
      <c r="Y63" s="177">
        <v>251.26</v>
      </c>
      <c r="Z63" s="178"/>
      <c r="AA63" s="179" t="s">
        <v>119</v>
      </c>
      <c r="AB63" s="21" t="s">
        <v>2</v>
      </c>
      <c r="AH63" s="63">
        <v>1</v>
      </c>
      <c r="AO63" s="10" t="s">
        <v>3</v>
      </c>
      <c r="AP63" s="179" t="s">
        <v>123</v>
      </c>
      <c r="AQ63" s="178"/>
      <c r="AR63" s="177">
        <v>252.06</v>
      </c>
      <c r="AS63" s="177">
        <v>34551.889000000003</v>
      </c>
      <c r="AT63" s="177" t="s">
        <v>124</v>
      </c>
      <c r="AU63" s="177" t="s">
        <v>125</v>
      </c>
      <c r="AV63" s="62"/>
      <c r="AW63" s="173" t="s">
        <v>30</v>
      </c>
      <c r="AX63" s="175"/>
      <c r="AY63" s="182" t="s">
        <v>29</v>
      </c>
      <c r="AZ63" s="182" t="s">
        <v>100</v>
      </c>
      <c r="BA63" s="175"/>
      <c r="BB63" s="180"/>
      <c r="BC63" s="172"/>
      <c r="BD63" s="172"/>
      <c r="BE63" s="142">
        <v>3.8</v>
      </c>
      <c r="BF63" s="171"/>
      <c r="BG63" s="183" t="s">
        <v>120</v>
      </c>
      <c r="BH63" s="57"/>
      <c r="BI63" s="170"/>
      <c r="BJ63" s="169"/>
      <c r="BK63" s="181"/>
      <c r="BL63" s="36">
        <f>VLOOKUP($AP63,'[1]V1 V2'!$B$5:$BW$1894,74,0)</f>
        <v>0</v>
      </c>
      <c r="BM63" s="36" t="str">
        <f>IF('[1]V1 V2'!X62="","",'[1]V1 V2'!X62)</f>
        <v/>
      </c>
    </row>
    <row r="64" spans="1:65" ht="16" thickBot="1" x14ac:dyDescent="0.4">
      <c r="A64">
        <v>1</v>
      </c>
      <c r="B64" s="167"/>
      <c r="C64" s="167"/>
      <c r="D64" s="132"/>
      <c r="E64" s="36"/>
      <c r="F64" s="168"/>
      <c r="G64" s="169"/>
      <c r="H64" s="170"/>
      <c r="I64" s="168"/>
      <c r="J64" s="56"/>
      <c r="K64" s="171"/>
      <c r="L64" s="142"/>
      <c r="M64" s="172"/>
      <c r="N64" s="173"/>
      <c r="O64" s="174"/>
      <c r="P64" s="175"/>
      <c r="Q64" s="176"/>
      <c r="R64" s="176"/>
      <c r="S64" s="175"/>
      <c r="T64" s="173"/>
      <c r="U64" s="62"/>
      <c r="V64" s="177" t="s">
        <v>89</v>
      </c>
      <c r="W64" s="177" t="s">
        <v>89</v>
      </c>
      <c r="X64" s="177"/>
      <c r="Y64" s="177"/>
      <c r="Z64" s="178">
        <v>12</v>
      </c>
      <c r="AA64" s="179"/>
      <c r="AB64" s="21" t="s">
        <v>2</v>
      </c>
      <c r="AH64" s="63">
        <v>1</v>
      </c>
      <c r="AO64" s="10" t="s">
        <v>3</v>
      </c>
      <c r="AP64" s="179"/>
      <c r="AQ64" s="178">
        <v>12</v>
      </c>
      <c r="AR64" s="177"/>
      <c r="AS64" s="177"/>
      <c r="AT64" s="177" t="s">
        <v>89</v>
      </c>
      <c r="AU64" s="177" t="s">
        <v>89</v>
      </c>
      <c r="AV64" s="62"/>
      <c r="AW64" s="173"/>
      <c r="AX64" s="175"/>
      <c r="AY64" s="176"/>
      <c r="AZ64" s="176"/>
      <c r="BA64" s="175"/>
      <c r="BB64" s="180"/>
      <c r="BC64" s="172"/>
      <c r="BD64" s="172"/>
      <c r="BE64" s="142"/>
      <c r="BF64" s="171"/>
      <c r="BG64" s="56"/>
      <c r="BH64" s="57"/>
      <c r="BI64" s="170"/>
      <c r="BJ64" s="169"/>
      <c r="BK64" s="181"/>
      <c r="BL64" s="36"/>
      <c r="BM64" s="36" t="str">
        <f>IF('[1]V1 V2'!X63="","",'[1]V1 V2'!X63)</f>
        <v/>
      </c>
    </row>
    <row r="65" spans="1:65" ht="16" thickBot="1" x14ac:dyDescent="0.4">
      <c r="A65">
        <v>1</v>
      </c>
      <c r="B65" s="167" t="s">
        <v>126</v>
      </c>
      <c r="C65" s="167"/>
      <c r="D65" s="132"/>
      <c r="E65" s="36">
        <f>VLOOKUP($B65,'[1]V1 V2'!$B$5:$BW$1894,74,0)</f>
        <v>0</v>
      </c>
      <c r="F65" s="168"/>
      <c r="G65" s="169"/>
      <c r="H65" s="170"/>
      <c r="I65" s="168"/>
      <c r="J65" s="56" t="s">
        <v>127</v>
      </c>
      <c r="K65" s="171"/>
      <c r="L65" s="142">
        <v>3.8</v>
      </c>
      <c r="M65" s="172"/>
      <c r="N65" s="173"/>
      <c r="O65" s="174"/>
      <c r="P65" s="175"/>
      <c r="Q65" s="182" t="s">
        <v>100</v>
      </c>
      <c r="R65" s="182" t="s">
        <v>29</v>
      </c>
      <c r="S65" s="175"/>
      <c r="T65" s="173" t="s">
        <v>30</v>
      </c>
      <c r="U65" s="62"/>
      <c r="V65" s="177" t="s">
        <v>128</v>
      </c>
      <c r="W65" s="177" t="s">
        <v>129</v>
      </c>
      <c r="X65" s="177">
        <v>34540.688999999998</v>
      </c>
      <c r="Y65" s="177">
        <v>263.26</v>
      </c>
      <c r="Z65" s="178"/>
      <c r="AA65" s="179" t="s">
        <v>126</v>
      </c>
      <c r="AB65" s="21" t="s">
        <v>2</v>
      </c>
      <c r="AH65" s="63">
        <v>1</v>
      </c>
      <c r="AO65" s="10" t="s">
        <v>3</v>
      </c>
      <c r="AP65" s="179" t="s">
        <v>130</v>
      </c>
      <c r="AQ65" s="178"/>
      <c r="AR65" s="177">
        <v>264.06</v>
      </c>
      <c r="AS65" s="177">
        <v>34539.889000000003</v>
      </c>
      <c r="AT65" s="177" t="s">
        <v>131</v>
      </c>
      <c r="AU65" s="177" t="s">
        <v>132</v>
      </c>
      <c r="AV65" s="62"/>
      <c r="AW65" s="173" t="s">
        <v>30</v>
      </c>
      <c r="AX65" s="175"/>
      <c r="AY65" s="182" t="s">
        <v>29</v>
      </c>
      <c r="AZ65" s="182" t="s">
        <v>100</v>
      </c>
      <c r="BA65" s="175"/>
      <c r="BB65" s="180"/>
      <c r="BC65" s="172"/>
      <c r="BD65" s="172"/>
      <c r="BE65" s="142">
        <v>3.8</v>
      </c>
      <c r="BF65" s="171"/>
      <c r="BG65" s="183" t="s">
        <v>127</v>
      </c>
      <c r="BH65" s="57"/>
      <c r="BI65" s="170"/>
      <c r="BJ65" s="169"/>
      <c r="BK65" s="181"/>
      <c r="BL65" s="36">
        <f>VLOOKUP($AP65,'[1]V1 V2'!$B$5:$BW$1894,74,0)</f>
        <v>0</v>
      </c>
      <c r="BM65" s="36" t="str">
        <f>IF('[1]V1 V2'!X64="","",'[1]V1 V2'!X64)</f>
        <v/>
      </c>
    </row>
    <row r="66" spans="1:65" ht="16" thickBot="1" x14ac:dyDescent="0.4">
      <c r="A66">
        <v>1</v>
      </c>
      <c r="B66" s="167"/>
      <c r="C66" s="167"/>
      <c r="D66" s="132"/>
      <c r="E66" s="36"/>
      <c r="F66" s="168"/>
      <c r="G66" s="169"/>
      <c r="H66" s="170"/>
      <c r="I66" s="168"/>
      <c r="J66" s="56"/>
      <c r="K66" s="171"/>
      <c r="L66" s="142"/>
      <c r="M66" s="172"/>
      <c r="N66" s="173"/>
      <c r="O66" s="174"/>
      <c r="P66" s="175"/>
      <c r="Q66" s="176"/>
      <c r="R66" s="176"/>
      <c r="S66" s="175"/>
      <c r="T66" s="173"/>
      <c r="U66" s="62"/>
      <c r="V66" s="177" t="s">
        <v>89</v>
      </c>
      <c r="W66" s="177" t="s">
        <v>89</v>
      </c>
      <c r="X66" s="177"/>
      <c r="Y66" s="177"/>
      <c r="Z66" s="178">
        <v>12</v>
      </c>
      <c r="AA66" s="179"/>
      <c r="AB66" s="21" t="s">
        <v>2</v>
      </c>
      <c r="AH66" s="63">
        <v>1</v>
      </c>
      <c r="AO66" s="10" t="s">
        <v>3</v>
      </c>
      <c r="AP66" s="179"/>
      <c r="AQ66" s="178">
        <v>12</v>
      </c>
      <c r="AR66" s="177"/>
      <c r="AS66" s="177"/>
      <c r="AT66" s="177" t="s">
        <v>89</v>
      </c>
      <c r="AU66" s="177" t="s">
        <v>89</v>
      </c>
      <c r="AV66" s="62"/>
      <c r="AW66" s="173"/>
      <c r="AX66" s="175"/>
      <c r="AY66" s="176"/>
      <c r="AZ66" s="176"/>
      <c r="BA66" s="175"/>
      <c r="BB66" s="180"/>
      <c r="BC66" s="172"/>
      <c r="BD66" s="172"/>
      <c r="BE66" s="142"/>
      <c r="BF66" s="171"/>
      <c r="BG66" s="56"/>
      <c r="BH66" s="57"/>
      <c r="BI66" s="170"/>
      <c r="BJ66" s="169"/>
      <c r="BK66" s="181"/>
      <c r="BL66" s="36"/>
      <c r="BM66" s="36" t="str">
        <f>IF('[1]V1 V2'!X65="","",'[1]V1 V2'!X65)</f>
        <v/>
      </c>
    </row>
    <row r="67" spans="1:65" ht="16" thickBot="1" x14ac:dyDescent="0.4">
      <c r="A67">
        <v>1</v>
      </c>
      <c r="B67" s="167" t="s">
        <v>133</v>
      </c>
      <c r="C67" s="167"/>
      <c r="D67" s="132"/>
      <c r="E67" s="36">
        <f>VLOOKUP($B67,'[1]V1 V2'!$B$5:$BW$1894,74,0)</f>
        <v>0</v>
      </c>
      <c r="F67" s="168"/>
      <c r="G67" s="169"/>
      <c r="H67" s="170"/>
      <c r="I67" s="168"/>
      <c r="J67" s="56" t="s">
        <v>120</v>
      </c>
      <c r="K67" s="171"/>
      <c r="L67" s="142">
        <v>3.8</v>
      </c>
      <c r="M67" s="172"/>
      <c r="N67" s="173"/>
      <c r="O67" s="174"/>
      <c r="P67" s="175"/>
      <c r="Q67" s="182" t="s">
        <v>100</v>
      </c>
      <c r="R67" s="182" t="s">
        <v>29</v>
      </c>
      <c r="S67" s="175"/>
      <c r="T67" s="173" t="s">
        <v>30</v>
      </c>
      <c r="U67" s="62"/>
      <c r="V67" s="177" t="s">
        <v>134</v>
      </c>
      <c r="W67" s="177" t="s">
        <v>135</v>
      </c>
      <c r="X67" s="177">
        <v>34528.688999999998</v>
      </c>
      <c r="Y67" s="177">
        <v>275.26</v>
      </c>
      <c r="Z67" s="178"/>
      <c r="AA67" s="179" t="s">
        <v>133</v>
      </c>
      <c r="AB67" s="21" t="s">
        <v>2</v>
      </c>
      <c r="AH67" s="63">
        <v>1</v>
      </c>
      <c r="AO67" s="10" t="s">
        <v>3</v>
      </c>
      <c r="AP67" s="179" t="s">
        <v>136</v>
      </c>
      <c r="AQ67" s="178"/>
      <c r="AR67" s="177">
        <v>276.06</v>
      </c>
      <c r="AS67" s="177">
        <v>34527.889000000003</v>
      </c>
      <c r="AT67" s="177" t="s">
        <v>137</v>
      </c>
      <c r="AU67" s="177" t="s">
        <v>138</v>
      </c>
      <c r="AV67" s="62"/>
      <c r="AW67" s="173" t="s">
        <v>30</v>
      </c>
      <c r="AX67" s="175"/>
      <c r="AY67" s="182" t="s">
        <v>29</v>
      </c>
      <c r="AZ67" s="182" t="s">
        <v>100</v>
      </c>
      <c r="BA67" s="175"/>
      <c r="BB67" s="180"/>
      <c r="BC67" s="172"/>
      <c r="BD67" s="172"/>
      <c r="BE67" s="142">
        <v>3.8</v>
      </c>
      <c r="BF67" s="171"/>
      <c r="BG67" s="183" t="s">
        <v>120</v>
      </c>
      <c r="BH67" s="57"/>
      <c r="BI67" s="170"/>
      <c r="BJ67" s="169"/>
      <c r="BK67" s="181"/>
      <c r="BL67" s="36">
        <f>VLOOKUP($AP67,'[1]V1 V2'!$B$5:$BW$1894,74,0)</f>
        <v>0</v>
      </c>
      <c r="BM67" s="36" t="str">
        <f>IF('[1]V1 V2'!X66="","",'[1]V1 V2'!X66)</f>
        <v/>
      </c>
    </row>
    <row r="68" spans="1:65" ht="16" thickBot="1" x14ac:dyDescent="0.4">
      <c r="A68">
        <v>1</v>
      </c>
      <c r="B68" s="167"/>
      <c r="C68" s="167"/>
      <c r="D68" s="132"/>
      <c r="E68" s="36"/>
      <c r="F68" s="168"/>
      <c r="G68" s="169"/>
      <c r="H68" s="170"/>
      <c r="I68" s="168"/>
      <c r="J68" s="56"/>
      <c r="K68" s="171"/>
      <c r="L68" s="142"/>
      <c r="M68" s="172"/>
      <c r="N68" s="173"/>
      <c r="O68" s="174"/>
      <c r="P68" s="175"/>
      <c r="Q68" s="176"/>
      <c r="R68" s="176"/>
      <c r="S68" s="175"/>
      <c r="T68" s="173"/>
      <c r="U68" s="62"/>
      <c r="V68" s="177" t="s">
        <v>89</v>
      </c>
      <c r="W68" s="177" t="s">
        <v>89</v>
      </c>
      <c r="X68" s="177"/>
      <c r="Y68" s="177"/>
      <c r="Z68" s="178">
        <v>12</v>
      </c>
      <c r="AA68" s="179"/>
      <c r="AB68" s="21" t="s">
        <v>2</v>
      </c>
      <c r="AH68" s="63">
        <v>1</v>
      </c>
      <c r="AO68" s="10" t="s">
        <v>3</v>
      </c>
      <c r="AP68" s="179"/>
      <c r="AQ68" s="178">
        <v>12</v>
      </c>
      <c r="AR68" s="177"/>
      <c r="AS68" s="177"/>
      <c r="AT68" s="177" t="s">
        <v>89</v>
      </c>
      <c r="AU68" s="177" t="s">
        <v>89</v>
      </c>
      <c r="AV68" s="62"/>
      <c r="AW68" s="173"/>
      <c r="AX68" s="175"/>
      <c r="AY68" s="176"/>
      <c r="AZ68" s="176"/>
      <c r="BA68" s="175"/>
      <c r="BB68" s="180"/>
      <c r="BC68" s="172"/>
      <c r="BD68" s="172"/>
      <c r="BE68" s="142"/>
      <c r="BF68" s="171"/>
      <c r="BG68" s="56"/>
      <c r="BH68" s="57"/>
      <c r="BI68" s="170"/>
      <c r="BJ68" s="169"/>
      <c r="BK68" s="181"/>
      <c r="BL68" s="36"/>
      <c r="BM68" s="36" t="str">
        <f>IF('[1]V1 V2'!X67="","",'[1]V1 V2'!X67)</f>
        <v/>
      </c>
    </row>
    <row r="69" spans="1:65" ht="16" thickBot="1" x14ac:dyDescent="0.4">
      <c r="A69">
        <v>1</v>
      </c>
      <c r="B69" s="167" t="s">
        <v>139</v>
      </c>
      <c r="C69" s="167"/>
      <c r="D69" s="132"/>
      <c r="E69" s="36">
        <f>VLOOKUP($B69,'[1]V1 V2'!$B$5:$BW$1894,74,0)</f>
        <v>0</v>
      </c>
      <c r="F69" s="168"/>
      <c r="G69" s="169"/>
      <c r="H69" s="170"/>
      <c r="I69" s="168"/>
      <c r="J69" s="56" t="s">
        <v>113</v>
      </c>
      <c r="K69" s="171"/>
      <c r="L69" s="142">
        <v>3.8</v>
      </c>
      <c r="M69" s="172"/>
      <c r="N69" s="173"/>
      <c r="O69" s="174"/>
      <c r="P69" s="175"/>
      <c r="Q69" s="182" t="s">
        <v>140</v>
      </c>
      <c r="R69" s="182" t="s">
        <v>29</v>
      </c>
      <c r="S69" s="175"/>
      <c r="T69" s="173" t="s">
        <v>141</v>
      </c>
      <c r="U69" s="62"/>
      <c r="V69" s="177" t="s">
        <v>142</v>
      </c>
      <c r="W69" s="177" t="s">
        <v>143</v>
      </c>
      <c r="X69" s="177">
        <v>34516.688999999998</v>
      </c>
      <c r="Y69" s="177">
        <v>287.26</v>
      </c>
      <c r="Z69" s="178"/>
      <c r="AA69" s="179" t="s">
        <v>139</v>
      </c>
      <c r="AB69" s="21" t="s">
        <v>2</v>
      </c>
      <c r="AH69" s="63">
        <v>1</v>
      </c>
      <c r="AO69" s="10" t="s">
        <v>3</v>
      </c>
      <c r="AP69" s="179" t="s">
        <v>144</v>
      </c>
      <c r="AQ69" s="178"/>
      <c r="AR69" s="177">
        <v>288.06</v>
      </c>
      <c r="AS69" s="177">
        <v>34515.889000000003</v>
      </c>
      <c r="AT69" s="177" t="s">
        <v>145</v>
      </c>
      <c r="AU69" s="177" t="s">
        <v>146</v>
      </c>
      <c r="AV69" s="62"/>
      <c r="AW69" s="173" t="s">
        <v>141</v>
      </c>
      <c r="AX69" s="175"/>
      <c r="AY69" s="182" t="s">
        <v>29</v>
      </c>
      <c r="AZ69" s="182" t="s">
        <v>140</v>
      </c>
      <c r="BA69" s="175"/>
      <c r="BB69" s="180"/>
      <c r="BC69" s="172"/>
      <c r="BD69" s="172"/>
      <c r="BE69" s="142">
        <v>3.8</v>
      </c>
      <c r="BF69" s="171"/>
      <c r="BG69" s="183" t="s">
        <v>113</v>
      </c>
      <c r="BH69" s="57"/>
      <c r="BI69" s="170"/>
      <c r="BJ69" s="169"/>
      <c r="BK69" s="181"/>
      <c r="BL69" s="36">
        <f>VLOOKUP($AP69,'[1]V1 V2'!$B$5:$BW$1894,74,0)</f>
        <v>0</v>
      </c>
      <c r="BM69" s="36" t="str">
        <f>IF('[1]V1 V2'!X68="","",'[1]V1 V2'!X68)</f>
        <v/>
      </c>
    </row>
    <row r="70" spans="1:65" ht="16" thickBot="1" x14ac:dyDescent="0.4">
      <c r="A70">
        <v>1</v>
      </c>
      <c r="B70" s="167"/>
      <c r="C70" s="167"/>
      <c r="D70" s="132"/>
      <c r="E70" s="36"/>
      <c r="F70" s="168"/>
      <c r="G70" s="169"/>
      <c r="H70" s="170"/>
      <c r="I70" s="168"/>
      <c r="J70" s="56"/>
      <c r="K70" s="171"/>
      <c r="L70" s="142"/>
      <c r="M70" s="172"/>
      <c r="N70" s="173"/>
      <c r="O70" s="174"/>
      <c r="P70" s="175"/>
      <c r="Q70" s="176"/>
      <c r="R70" s="176"/>
      <c r="S70" s="175"/>
      <c r="T70" s="173"/>
      <c r="U70" s="62"/>
      <c r="V70" s="177" t="s">
        <v>89</v>
      </c>
      <c r="W70" s="177" t="s">
        <v>89</v>
      </c>
      <c r="X70" s="177"/>
      <c r="Y70" s="177"/>
      <c r="Z70" s="178">
        <v>12</v>
      </c>
      <c r="AA70" s="179"/>
      <c r="AB70" s="21" t="s">
        <v>2</v>
      </c>
      <c r="AH70" s="63">
        <v>1</v>
      </c>
      <c r="AO70" s="10" t="s">
        <v>3</v>
      </c>
      <c r="AP70" s="179"/>
      <c r="AQ70" s="178">
        <v>12</v>
      </c>
      <c r="AR70" s="177"/>
      <c r="AS70" s="177"/>
      <c r="AT70" s="177" t="s">
        <v>89</v>
      </c>
      <c r="AU70" s="177" t="s">
        <v>89</v>
      </c>
      <c r="AV70" s="62"/>
      <c r="AW70" s="173"/>
      <c r="AX70" s="175"/>
      <c r="AY70" s="176"/>
      <c r="AZ70" s="176"/>
      <c r="BA70" s="175"/>
      <c r="BB70" s="180"/>
      <c r="BC70" s="172"/>
      <c r="BD70" s="172"/>
      <c r="BE70" s="142"/>
      <c r="BF70" s="171"/>
      <c r="BG70" s="56"/>
      <c r="BH70" s="57"/>
      <c r="BI70" s="170"/>
      <c r="BJ70" s="169"/>
      <c r="BK70" s="181"/>
      <c r="BL70" s="36"/>
      <c r="BM70" s="36" t="str">
        <f>IF('[1]V1 V2'!X69="","",'[1]V1 V2'!X69)</f>
        <v/>
      </c>
    </row>
    <row r="71" spans="1:65" ht="16" thickBot="1" x14ac:dyDescent="0.4">
      <c r="A71">
        <v>1</v>
      </c>
      <c r="B71" s="167" t="s">
        <v>147</v>
      </c>
      <c r="C71" s="167"/>
      <c r="D71" s="132"/>
      <c r="E71" s="36">
        <f>VLOOKUP($B71,'[1]V1 V2'!$B$5:$BW$1894,74,0)</f>
        <v>0</v>
      </c>
      <c r="F71" s="168"/>
      <c r="G71" s="169"/>
      <c r="H71" s="170"/>
      <c r="I71" s="168"/>
      <c r="J71" s="56">
        <v>-4</v>
      </c>
      <c r="K71" s="171"/>
      <c r="L71" s="142">
        <v>3.8</v>
      </c>
      <c r="M71" s="172"/>
      <c r="N71" s="173"/>
      <c r="O71" s="174"/>
      <c r="P71" s="175"/>
      <c r="Q71" s="182" t="s">
        <v>100</v>
      </c>
      <c r="R71" s="182" t="s">
        <v>29</v>
      </c>
      <c r="S71" s="175"/>
      <c r="T71" s="173" t="s">
        <v>30</v>
      </c>
      <c r="U71" s="62"/>
      <c r="V71" s="177" t="s">
        <v>148</v>
      </c>
      <c r="W71" s="177" t="s">
        <v>149</v>
      </c>
      <c r="X71" s="177">
        <v>34504.688999999998</v>
      </c>
      <c r="Y71" s="177">
        <v>299.26</v>
      </c>
      <c r="Z71" s="178"/>
      <c r="AA71" s="179" t="s">
        <v>147</v>
      </c>
      <c r="AB71" s="21" t="s">
        <v>2</v>
      </c>
      <c r="AH71" s="63">
        <v>1</v>
      </c>
      <c r="AO71" s="10" t="s">
        <v>3</v>
      </c>
      <c r="AP71" s="179" t="s">
        <v>150</v>
      </c>
      <c r="AQ71" s="178"/>
      <c r="AR71" s="177">
        <v>300.06</v>
      </c>
      <c r="AS71" s="177">
        <v>34503.889000000003</v>
      </c>
      <c r="AT71" s="177" t="s">
        <v>151</v>
      </c>
      <c r="AU71" s="177" t="s">
        <v>152</v>
      </c>
      <c r="AV71" s="62"/>
      <c r="AW71" s="173" t="s">
        <v>30</v>
      </c>
      <c r="AX71" s="175"/>
      <c r="AY71" s="182" t="s">
        <v>29</v>
      </c>
      <c r="AZ71" s="182" t="s">
        <v>100</v>
      </c>
      <c r="BA71" s="175"/>
      <c r="BB71" s="180"/>
      <c r="BC71" s="172"/>
      <c r="BD71" s="172"/>
      <c r="BE71" s="142">
        <v>3.8</v>
      </c>
      <c r="BF71" s="171"/>
      <c r="BG71" s="56">
        <v>-4</v>
      </c>
      <c r="BH71" s="57"/>
      <c r="BI71" s="170"/>
      <c r="BJ71" s="169"/>
      <c r="BK71" s="181"/>
      <c r="BL71" s="36">
        <f>VLOOKUP($AP71,'[1]V1 V2'!$B$5:$BW$1894,74,0)</f>
        <v>0</v>
      </c>
      <c r="BM71" s="36" t="str">
        <f>IF('[1]V1 V2'!X70="","",'[1]V1 V2'!X70)</f>
        <v/>
      </c>
    </row>
    <row r="72" spans="1:65" ht="16" thickBot="1" x14ac:dyDescent="0.4">
      <c r="A72">
        <v>1</v>
      </c>
      <c r="B72" s="167"/>
      <c r="C72" s="167"/>
      <c r="D72" s="132"/>
      <c r="E72" s="36"/>
      <c r="F72" s="184"/>
      <c r="G72" s="185"/>
      <c r="H72" s="186"/>
      <c r="I72" s="184"/>
      <c r="J72" s="135"/>
      <c r="K72" s="187"/>
      <c r="L72" s="142"/>
      <c r="M72" s="188"/>
      <c r="N72" s="189"/>
      <c r="O72" s="190"/>
      <c r="P72" s="191"/>
      <c r="Q72" s="176"/>
      <c r="R72" s="176"/>
      <c r="S72" s="191"/>
      <c r="T72" s="173"/>
      <c r="U72" s="132"/>
      <c r="V72" s="177" t="s">
        <v>89</v>
      </c>
      <c r="W72" s="177" t="s">
        <v>89</v>
      </c>
      <c r="X72" s="177"/>
      <c r="Y72" s="177"/>
      <c r="Z72" s="178">
        <v>12</v>
      </c>
      <c r="AA72" s="179"/>
      <c r="AB72" s="21" t="s">
        <v>2</v>
      </c>
      <c r="AH72" s="63">
        <v>1</v>
      </c>
      <c r="AO72" s="10" t="s">
        <v>3</v>
      </c>
      <c r="AP72" s="179"/>
      <c r="AQ72" s="178">
        <v>12</v>
      </c>
      <c r="AR72" s="177"/>
      <c r="AS72" s="177"/>
      <c r="AT72" s="177" t="s">
        <v>89</v>
      </c>
      <c r="AU72" s="177" t="s">
        <v>89</v>
      </c>
      <c r="AV72" s="132"/>
      <c r="AW72" s="173"/>
      <c r="AX72" s="191"/>
      <c r="AY72" s="176"/>
      <c r="AZ72" s="176"/>
      <c r="BA72" s="191"/>
      <c r="BB72" s="192"/>
      <c r="BC72" s="188"/>
      <c r="BD72" s="188"/>
      <c r="BE72" s="142"/>
      <c r="BF72" s="187"/>
      <c r="BG72" s="135"/>
      <c r="BH72" s="136"/>
      <c r="BI72" s="186"/>
      <c r="BJ72" s="185"/>
      <c r="BK72" s="193"/>
      <c r="BL72" s="36"/>
      <c r="BM72" s="36" t="str">
        <f>IF('[1]V1 V2'!X71="","",'[1]V1 V2'!X71)</f>
        <v/>
      </c>
    </row>
    <row r="73" spans="1:65" ht="16" thickBot="1" x14ac:dyDescent="0.4">
      <c r="A73">
        <v>1</v>
      </c>
      <c r="B73" s="167" t="s">
        <v>153</v>
      </c>
      <c r="C73" s="167"/>
      <c r="D73" s="132"/>
      <c r="E73" s="36">
        <f>VLOOKUP($B73,'[1]V1 V2'!$B$5:$BW$1894,74,0)</f>
        <v>0</v>
      </c>
      <c r="F73" s="194"/>
      <c r="G73" s="195"/>
      <c r="H73" s="196"/>
      <c r="I73" s="168"/>
      <c r="J73" s="56">
        <v>-12</v>
      </c>
      <c r="K73" s="171"/>
      <c r="L73" s="142">
        <v>3.8</v>
      </c>
      <c r="M73" s="172"/>
      <c r="N73" s="173"/>
      <c r="O73" s="174"/>
      <c r="P73" s="175"/>
      <c r="Q73" s="182" t="s">
        <v>100</v>
      </c>
      <c r="R73" s="182" t="s">
        <v>29</v>
      </c>
      <c r="S73" s="175"/>
      <c r="T73" s="173" t="s">
        <v>30</v>
      </c>
      <c r="U73" s="62"/>
      <c r="V73" s="177" t="s">
        <v>154</v>
      </c>
      <c r="W73" s="177" t="s">
        <v>155</v>
      </c>
      <c r="X73" s="177">
        <v>34492.688999999998</v>
      </c>
      <c r="Y73" s="177">
        <v>311.26</v>
      </c>
      <c r="Z73" s="178"/>
      <c r="AA73" s="179" t="s">
        <v>153</v>
      </c>
      <c r="AB73" s="21" t="s">
        <v>2</v>
      </c>
      <c r="AH73" s="63">
        <v>1</v>
      </c>
      <c r="AO73" s="10" t="s">
        <v>3</v>
      </c>
      <c r="AP73" s="179" t="s">
        <v>156</v>
      </c>
      <c r="AQ73" s="178"/>
      <c r="AR73" s="177">
        <v>312.06</v>
      </c>
      <c r="AS73" s="177">
        <v>34491.889000000003</v>
      </c>
      <c r="AT73" s="177" t="s">
        <v>157</v>
      </c>
      <c r="AU73" s="177" t="s">
        <v>158</v>
      </c>
      <c r="AV73" s="62"/>
      <c r="AW73" s="173" t="s">
        <v>30</v>
      </c>
      <c r="AX73" s="175"/>
      <c r="AY73" s="182" t="s">
        <v>29</v>
      </c>
      <c r="AZ73" s="182" t="s">
        <v>100</v>
      </c>
      <c r="BA73" s="175"/>
      <c r="BB73" s="180"/>
      <c r="BC73" s="172"/>
      <c r="BD73" s="172"/>
      <c r="BE73" s="142">
        <v>3.8</v>
      </c>
      <c r="BF73" s="171"/>
      <c r="BG73" s="56">
        <v>-12</v>
      </c>
      <c r="BH73" s="57"/>
      <c r="BI73" s="196"/>
      <c r="BJ73" s="195"/>
      <c r="BK73" s="197"/>
      <c r="BL73" s="36">
        <f>VLOOKUP($AP73,'[1]V1 V2'!$B$5:$BW$1894,74,0)</f>
        <v>0</v>
      </c>
      <c r="BM73" s="36" t="str">
        <f>IF('[1]V1 V2'!X72="","",'[1]V1 V2'!X72)</f>
        <v/>
      </c>
    </row>
    <row r="74" spans="1:65" ht="16" thickBot="1" x14ac:dyDescent="0.4">
      <c r="A74">
        <v>1</v>
      </c>
      <c r="B74" s="167"/>
      <c r="C74" s="167"/>
      <c r="D74" s="132"/>
      <c r="E74" s="36"/>
      <c r="F74" s="194"/>
      <c r="G74" s="195"/>
      <c r="H74" s="196"/>
      <c r="I74" s="168"/>
      <c r="J74" s="56"/>
      <c r="K74" s="171"/>
      <c r="L74" s="142"/>
      <c r="M74" s="172"/>
      <c r="N74" s="173"/>
      <c r="O74" s="174"/>
      <c r="P74" s="175"/>
      <c r="Q74" s="176"/>
      <c r="R74" s="176"/>
      <c r="S74" s="175"/>
      <c r="T74" s="173"/>
      <c r="U74" s="62"/>
      <c r="V74" s="177" t="s">
        <v>89</v>
      </c>
      <c r="W74" s="177" t="s">
        <v>89</v>
      </c>
      <c r="X74" s="177"/>
      <c r="Y74" s="177"/>
      <c r="Z74" s="178">
        <v>12</v>
      </c>
      <c r="AA74" s="179"/>
      <c r="AB74" s="21" t="s">
        <v>2</v>
      </c>
      <c r="AH74" s="63">
        <v>1</v>
      </c>
      <c r="AO74" s="10" t="s">
        <v>3</v>
      </c>
      <c r="AP74" s="179"/>
      <c r="AQ74" s="178">
        <v>12</v>
      </c>
      <c r="AR74" s="177"/>
      <c r="AS74" s="177"/>
      <c r="AT74" s="177" t="s">
        <v>89</v>
      </c>
      <c r="AU74" s="177" t="s">
        <v>89</v>
      </c>
      <c r="AV74" s="62"/>
      <c r="AW74" s="173"/>
      <c r="AX74" s="175"/>
      <c r="AY74" s="176"/>
      <c r="AZ74" s="176"/>
      <c r="BA74" s="175"/>
      <c r="BB74" s="180"/>
      <c r="BC74" s="172"/>
      <c r="BD74" s="172"/>
      <c r="BE74" s="142"/>
      <c r="BF74" s="171"/>
      <c r="BG74" s="56"/>
      <c r="BH74" s="57"/>
      <c r="BI74" s="196"/>
      <c r="BJ74" s="195"/>
      <c r="BK74" s="197"/>
      <c r="BL74" s="36"/>
      <c r="BM74" s="36" t="str">
        <f>IF('[1]V1 V2'!X73="","",'[1]V1 V2'!X73)</f>
        <v/>
      </c>
    </row>
    <row r="75" spans="1:65" ht="16" thickBot="1" x14ac:dyDescent="0.4">
      <c r="A75">
        <v>1</v>
      </c>
      <c r="B75" s="167" t="s">
        <v>159</v>
      </c>
      <c r="C75" s="167"/>
      <c r="D75" s="132"/>
      <c r="E75" s="36">
        <f>VLOOKUP($B75,'[1]V1 V2'!$B$5:$BW$1894,74,0)</f>
        <v>0</v>
      </c>
      <c r="F75" s="194"/>
      <c r="G75" s="195"/>
      <c r="H75" s="196"/>
      <c r="I75" s="168"/>
      <c r="J75" s="56">
        <v>-20</v>
      </c>
      <c r="K75" s="171"/>
      <c r="L75" s="142">
        <v>3.8</v>
      </c>
      <c r="M75" s="172"/>
      <c r="N75" s="173"/>
      <c r="O75" s="174"/>
      <c r="P75" s="175"/>
      <c r="Q75" s="182" t="s">
        <v>100</v>
      </c>
      <c r="R75" s="182" t="s">
        <v>29</v>
      </c>
      <c r="S75" s="175"/>
      <c r="T75" s="173" t="s">
        <v>30</v>
      </c>
      <c r="U75" s="62"/>
      <c r="V75" s="177" t="s">
        <v>160</v>
      </c>
      <c r="W75" s="177" t="s">
        <v>161</v>
      </c>
      <c r="X75" s="177">
        <v>34480.688999999998</v>
      </c>
      <c r="Y75" s="177">
        <v>323.26</v>
      </c>
      <c r="Z75" s="178"/>
      <c r="AA75" s="179" t="s">
        <v>159</v>
      </c>
      <c r="AB75" s="21" t="s">
        <v>2</v>
      </c>
      <c r="AH75" s="63">
        <v>1</v>
      </c>
      <c r="AO75" s="10" t="s">
        <v>3</v>
      </c>
      <c r="AP75" s="179" t="s">
        <v>162</v>
      </c>
      <c r="AQ75" s="178"/>
      <c r="AR75" s="177">
        <v>324.06</v>
      </c>
      <c r="AS75" s="177">
        <v>34479.889000000003</v>
      </c>
      <c r="AT75" s="177" t="s">
        <v>163</v>
      </c>
      <c r="AU75" s="177" t="s">
        <v>164</v>
      </c>
      <c r="AV75" s="62"/>
      <c r="AW75" s="173" t="s">
        <v>30</v>
      </c>
      <c r="AX75" s="175"/>
      <c r="AY75" s="182" t="s">
        <v>29</v>
      </c>
      <c r="AZ75" s="182" t="s">
        <v>100</v>
      </c>
      <c r="BA75" s="175"/>
      <c r="BB75" s="180"/>
      <c r="BC75" s="172"/>
      <c r="BD75" s="172"/>
      <c r="BE75" s="142">
        <v>3.8</v>
      </c>
      <c r="BF75" s="171"/>
      <c r="BG75" s="56">
        <v>-20</v>
      </c>
      <c r="BH75" s="57"/>
      <c r="BI75" s="196"/>
      <c r="BJ75" s="195"/>
      <c r="BK75" s="197"/>
      <c r="BL75" s="36">
        <f>VLOOKUP($AP75,'[1]V1 V2'!$B$5:$BW$1894,74,0)</f>
        <v>0</v>
      </c>
      <c r="BM75" s="36" t="str">
        <f>IF('[1]V1 V2'!X74="","",'[1]V1 V2'!X74)</f>
        <v/>
      </c>
    </row>
    <row r="76" spans="1:65" ht="16" thickBot="1" x14ac:dyDescent="0.4">
      <c r="A76">
        <v>1</v>
      </c>
      <c r="B76" s="167"/>
      <c r="C76" s="167"/>
      <c r="D76" s="132"/>
      <c r="E76" s="36"/>
      <c r="F76" s="194"/>
      <c r="G76" s="195"/>
      <c r="H76" s="196"/>
      <c r="I76" s="168"/>
      <c r="J76" s="56"/>
      <c r="K76" s="171"/>
      <c r="L76" s="142"/>
      <c r="M76" s="172"/>
      <c r="N76" s="173"/>
      <c r="O76" s="174"/>
      <c r="P76" s="175"/>
      <c r="Q76" s="176"/>
      <c r="R76" s="176"/>
      <c r="S76" s="175"/>
      <c r="T76" s="173"/>
      <c r="U76" s="62"/>
      <c r="V76" s="177" t="s">
        <v>89</v>
      </c>
      <c r="W76" s="177" t="s">
        <v>89</v>
      </c>
      <c r="X76" s="177"/>
      <c r="Y76" s="177"/>
      <c r="Z76" s="178">
        <v>12</v>
      </c>
      <c r="AA76" s="179"/>
      <c r="AB76" s="21" t="s">
        <v>2</v>
      </c>
      <c r="AH76" s="63">
        <v>1</v>
      </c>
      <c r="AO76" s="10" t="s">
        <v>3</v>
      </c>
      <c r="AP76" s="179"/>
      <c r="AQ76" s="178">
        <v>12</v>
      </c>
      <c r="AR76" s="177"/>
      <c r="AS76" s="177"/>
      <c r="AT76" s="177" t="s">
        <v>89</v>
      </c>
      <c r="AU76" s="177" t="s">
        <v>89</v>
      </c>
      <c r="AV76" s="62"/>
      <c r="AW76" s="173"/>
      <c r="AX76" s="175"/>
      <c r="AY76" s="176"/>
      <c r="AZ76" s="176"/>
      <c r="BA76" s="175"/>
      <c r="BB76" s="180"/>
      <c r="BC76" s="172"/>
      <c r="BD76" s="172"/>
      <c r="BE76" s="142"/>
      <c r="BF76" s="171"/>
      <c r="BG76" s="56"/>
      <c r="BH76" s="57"/>
      <c r="BI76" s="196"/>
      <c r="BJ76" s="195"/>
      <c r="BK76" s="197"/>
      <c r="BL76" s="36"/>
      <c r="BM76" s="36" t="str">
        <f>IF('[1]V1 V2'!X75="","",'[1]V1 V2'!X75)</f>
        <v/>
      </c>
    </row>
    <row r="77" spans="1:65" ht="16" thickBot="1" x14ac:dyDescent="0.4">
      <c r="A77">
        <v>1</v>
      </c>
      <c r="B77" s="167" t="s">
        <v>165</v>
      </c>
      <c r="C77" s="167"/>
      <c r="D77" s="132"/>
      <c r="E77" s="36">
        <f>VLOOKUP($B77,'[1]V1 V2'!$B$5:$BW$1894,74,0)</f>
        <v>0</v>
      </c>
      <c r="F77" s="194"/>
      <c r="G77" s="195"/>
      <c r="H77" s="196"/>
      <c r="I77" s="168"/>
      <c r="J77" s="56">
        <v>-12</v>
      </c>
      <c r="K77" s="171"/>
      <c r="L77" s="142">
        <v>3.8</v>
      </c>
      <c r="M77" s="172"/>
      <c r="N77" s="173"/>
      <c r="O77" s="174"/>
      <c r="P77" s="175"/>
      <c r="Q77" s="182" t="s">
        <v>100</v>
      </c>
      <c r="R77" s="182" t="s">
        <v>29</v>
      </c>
      <c r="S77" s="175"/>
      <c r="T77" s="173" t="s">
        <v>30</v>
      </c>
      <c r="U77" s="62"/>
      <c r="V77" s="177" t="s">
        <v>166</v>
      </c>
      <c r="W77" s="177" t="s">
        <v>167</v>
      </c>
      <c r="X77" s="177">
        <v>34468.688999999998</v>
      </c>
      <c r="Y77" s="177">
        <v>335.26</v>
      </c>
      <c r="Z77" s="178"/>
      <c r="AA77" s="179" t="s">
        <v>165</v>
      </c>
      <c r="AB77" s="21" t="s">
        <v>2</v>
      </c>
      <c r="AH77" s="63">
        <v>1</v>
      </c>
      <c r="AO77" s="10" t="s">
        <v>3</v>
      </c>
      <c r="AP77" s="179" t="s">
        <v>168</v>
      </c>
      <c r="AQ77" s="178"/>
      <c r="AR77" s="177">
        <v>336.06</v>
      </c>
      <c r="AS77" s="177">
        <v>34467.889000000003</v>
      </c>
      <c r="AT77" s="177" t="s">
        <v>169</v>
      </c>
      <c r="AU77" s="177" t="s">
        <v>170</v>
      </c>
      <c r="AV77" s="62"/>
      <c r="AW77" s="173" t="s">
        <v>30</v>
      </c>
      <c r="AX77" s="175"/>
      <c r="AY77" s="182" t="s">
        <v>29</v>
      </c>
      <c r="AZ77" s="182" t="s">
        <v>100</v>
      </c>
      <c r="BA77" s="175"/>
      <c r="BB77" s="180"/>
      <c r="BC77" s="172"/>
      <c r="BD77" s="172"/>
      <c r="BE77" s="142">
        <v>3.8</v>
      </c>
      <c r="BF77" s="171"/>
      <c r="BG77" s="56">
        <v>-12</v>
      </c>
      <c r="BH77" s="57"/>
      <c r="BI77" s="196"/>
      <c r="BJ77" s="195"/>
      <c r="BK77" s="197"/>
      <c r="BL77" s="36">
        <f>VLOOKUP($AP77,'[1]V1 V2'!$B$5:$BW$1894,74,0)</f>
        <v>0</v>
      </c>
      <c r="BM77" s="36" t="str">
        <f>IF('[1]V1 V2'!X76="","",'[1]V1 V2'!X76)</f>
        <v/>
      </c>
    </row>
    <row r="78" spans="1:65" ht="16" thickBot="1" x14ac:dyDescent="0.4">
      <c r="A78">
        <v>1</v>
      </c>
      <c r="B78" s="167"/>
      <c r="C78" s="167"/>
      <c r="D78" s="132"/>
      <c r="E78" s="36"/>
      <c r="F78" s="194"/>
      <c r="G78" s="195"/>
      <c r="H78" s="196"/>
      <c r="I78" s="168"/>
      <c r="J78" s="56"/>
      <c r="K78" s="171"/>
      <c r="L78" s="142"/>
      <c r="M78" s="172"/>
      <c r="N78" s="173"/>
      <c r="O78" s="174"/>
      <c r="P78" s="175"/>
      <c r="Q78" s="176"/>
      <c r="R78" s="176"/>
      <c r="S78" s="175"/>
      <c r="T78" s="173"/>
      <c r="U78" s="62"/>
      <c r="V78" s="177" t="s">
        <v>89</v>
      </c>
      <c r="W78" s="177" t="s">
        <v>89</v>
      </c>
      <c r="X78" s="177"/>
      <c r="Y78" s="177"/>
      <c r="Z78" s="178">
        <v>12</v>
      </c>
      <c r="AA78" s="179"/>
      <c r="AB78" s="21" t="s">
        <v>2</v>
      </c>
      <c r="AH78" s="63">
        <v>1</v>
      </c>
      <c r="AO78" s="10" t="s">
        <v>3</v>
      </c>
      <c r="AP78" s="179"/>
      <c r="AQ78" s="178">
        <v>12</v>
      </c>
      <c r="AR78" s="177"/>
      <c r="AS78" s="177"/>
      <c r="AT78" s="177" t="s">
        <v>89</v>
      </c>
      <c r="AU78" s="177" t="s">
        <v>89</v>
      </c>
      <c r="AV78" s="62"/>
      <c r="AW78" s="173"/>
      <c r="AX78" s="175"/>
      <c r="AY78" s="176"/>
      <c r="AZ78" s="176"/>
      <c r="BA78" s="175"/>
      <c r="BB78" s="180"/>
      <c r="BC78" s="172"/>
      <c r="BD78" s="172"/>
      <c r="BE78" s="142"/>
      <c r="BF78" s="171"/>
      <c r="BG78" s="56"/>
      <c r="BH78" s="57"/>
      <c r="BI78" s="196"/>
      <c r="BJ78" s="195"/>
      <c r="BK78" s="197"/>
      <c r="BL78" s="36"/>
      <c r="BM78" s="36" t="str">
        <f>IF('[1]V1 V2'!X77="","",'[1]V1 V2'!X77)</f>
        <v/>
      </c>
    </row>
    <row r="79" spans="1:65" ht="16" thickBot="1" x14ac:dyDescent="0.4">
      <c r="A79">
        <v>1</v>
      </c>
      <c r="B79" s="167" t="s">
        <v>171</v>
      </c>
      <c r="C79" s="167"/>
      <c r="D79" s="132"/>
      <c r="E79" s="36">
        <f>VLOOKUP($B79,'[1]V1 V2'!$B$5:$BW$1894,74,0)</f>
        <v>0</v>
      </c>
      <c r="F79" s="194"/>
      <c r="G79" s="195"/>
      <c r="H79" s="196"/>
      <c r="I79" s="168"/>
      <c r="J79" s="56">
        <v>-4</v>
      </c>
      <c r="K79" s="171"/>
      <c r="L79" s="142">
        <v>3.8</v>
      </c>
      <c r="M79" s="172"/>
      <c r="N79" s="173"/>
      <c r="O79" s="174"/>
      <c r="P79" s="175"/>
      <c r="Q79" s="182" t="s">
        <v>100</v>
      </c>
      <c r="R79" s="182" t="s">
        <v>29</v>
      </c>
      <c r="S79" s="175"/>
      <c r="T79" s="173" t="s">
        <v>30</v>
      </c>
      <c r="U79" s="62"/>
      <c r="V79" s="177" t="s">
        <v>172</v>
      </c>
      <c r="W79" s="177" t="s">
        <v>173</v>
      </c>
      <c r="X79" s="177">
        <v>34456.688999999998</v>
      </c>
      <c r="Y79" s="177">
        <v>347.26</v>
      </c>
      <c r="Z79" s="178"/>
      <c r="AA79" s="179" t="s">
        <v>171</v>
      </c>
      <c r="AB79" s="21" t="s">
        <v>2</v>
      </c>
      <c r="AH79" s="63">
        <v>1</v>
      </c>
      <c r="AO79" s="10" t="s">
        <v>3</v>
      </c>
      <c r="AP79" s="179" t="s">
        <v>174</v>
      </c>
      <c r="AQ79" s="178"/>
      <c r="AR79" s="177">
        <v>348.06</v>
      </c>
      <c r="AS79" s="177">
        <v>34455.889000000003</v>
      </c>
      <c r="AT79" s="177" t="s">
        <v>175</v>
      </c>
      <c r="AU79" s="177" t="s">
        <v>176</v>
      </c>
      <c r="AV79" s="62"/>
      <c r="AW79" s="173" t="s">
        <v>30</v>
      </c>
      <c r="AX79" s="175"/>
      <c r="AY79" s="182" t="s">
        <v>29</v>
      </c>
      <c r="AZ79" s="182" t="s">
        <v>100</v>
      </c>
      <c r="BA79" s="175"/>
      <c r="BB79" s="180"/>
      <c r="BC79" s="172"/>
      <c r="BD79" s="172"/>
      <c r="BE79" s="142">
        <v>3.8</v>
      </c>
      <c r="BF79" s="171"/>
      <c r="BG79" s="56">
        <v>-4</v>
      </c>
      <c r="BH79" s="57"/>
      <c r="BI79" s="196"/>
      <c r="BJ79" s="195"/>
      <c r="BK79" s="197"/>
      <c r="BL79" s="36">
        <f>VLOOKUP($AP79,'[1]V1 V2'!$B$5:$BW$1894,74,0)</f>
        <v>0</v>
      </c>
      <c r="BM79" s="36" t="str">
        <f>IF('[1]V1 V2'!X78="","",'[1]V1 V2'!X78)</f>
        <v/>
      </c>
    </row>
    <row r="80" spans="1:65" ht="16" thickBot="1" x14ac:dyDescent="0.4">
      <c r="A80">
        <v>1</v>
      </c>
      <c r="B80" s="167"/>
      <c r="C80" s="167"/>
      <c r="D80" s="132"/>
      <c r="E80" s="36"/>
      <c r="F80" s="194"/>
      <c r="G80" s="195"/>
      <c r="H80" s="196"/>
      <c r="I80" s="168"/>
      <c r="J80" s="56"/>
      <c r="K80" s="171"/>
      <c r="L80" s="142"/>
      <c r="M80" s="172"/>
      <c r="N80" s="173"/>
      <c r="O80" s="174"/>
      <c r="P80" s="175"/>
      <c r="Q80" s="176"/>
      <c r="R80" s="176"/>
      <c r="S80" s="175"/>
      <c r="T80" s="173"/>
      <c r="U80" s="62"/>
      <c r="V80" s="177" t="s">
        <v>89</v>
      </c>
      <c r="W80" s="177" t="s">
        <v>89</v>
      </c>
      <c r="X80" s="177"/>
      <c r="Y80" s="177"/>
      <c r="Z80" s="178">
        <v>12</v>
      </c>
      <c r="AA80" s="179"/>
      <c r="AB80" s="21" t="s">
        <v>2</v>
      </c>
      <c r="AH80" s="63">
        <v>1</v>
      </c>
      <c r="AO80" s="10" t="s">
        <v>3</v>
      </c>
      <c r="AP80" s="179"/>
      <c r="AQ80" s="178">
        <v>12</v>
      </c>
      <c r="AR80" s="177"/>
      <c r="AS80" s="177"/>
      <c r="AT80" s="177" t="s">
        <v>89</v>
      </c>
      <c r="AU80" s="177" t="s">
        <v>89</v>
      </c>
      <c r="AV80" s="62"/>
      <c r="AW80" s="173"/>
      <c r="AX80" s="175"/>
      <c r="AY80" s="176"/>
      <c r="AZ80" s="176"/>
      <c r="BA80" s="175"/>
      <c r="BB80" s="180"/>
      <c r="BC80" s="172"/>
      <c r="BD80" s="172"/>
      <c r="BE80" s="142"/>
      <c r="BF80" s="171"/>
      <c r="BG80" s="56"/>
      <c r="BH80" s="57"/>
      <c r="BI80" s="196"/>
      <c r="BJ80" s="195"/>
      <c r="BK80" s="197"/>
      <c r="BL80" s="36"/>
      <c r="BM80" s="36" t="str">
        <f>IF('[1]V1 V2'!X79="","",'[1]V1 V2'!X79)</f>
        <v/>
      </c>
    </row>
    <row r="81" spans="1:65" ht="16" thickBot="1" x14ac:dyDescent="0.4">
      <c r="A81">
        <v>1</v>
      </c>
      <c r="B81" s="167" t="s">
        <v>177</v>
      </c>
      <c r="C81" s="167"/>
      <c r="D81" s="132"/>
      <c r="E81" s="36">
        <f>VLOOKUP($B81,'[1]V1 V2'!$B$5:$BW$1894,74,0)</f>
        <v>0</v>
      </c>
      <c r="F81" s="194"/>
      <c r="G81" s="195"/>
      <c r="H81" s="196"/>
      <c r="I81" s="168"/>
      <c r="J81" s="56" t="s">
        <v>113</v>
      </c>
      <c r="K81" s="171"/>
      <c r="L81" s="142">
        <v>3.8</v>
      </c>
      <c r="M81" s="172"/>
      <c r="N81" s="173"/>
      <c r="O81" s="174"/>
      <c r="P81" s="175"/>
      <c r="Q81" s="182" t="s">
        <v>100</v>
      </c>
      <c r="R81" s="182" t="s">
        <v>29</v>
      </c>
      <c r="S81" s="175"/>
      <c r="T81" s="173" t="s">
        <v>30</v>
      </c>
      <c r="U81" s="62"/>
      <c r="V81" s="177" t="s">
        <v>178</v>
      </c>
      <c r="W81" s="177" t="s">
        <v>179</v>
      </c>
      <c r="X81" s="177">
        <v>34444.688999999998</v>
      </c>
      <c r="Y81" s="177">
        <v>359.26</v>
      </c>
      <c r="Z81" s="178"/>
      <c r="AA81" s="179" t="s">
        <v>177</v>
      </c>
      <c r="AB81" s="21" t="s">
        <v>2</v>
      </c>
      <c r="AH81" s="63">
        <v>1</v>
      </c>
      <c r="AO81" s="10" t="s">
        <v>3</v>
      </c>
      <c r="AP81" s="179" t="s">
        <v>180</v>
      </c>
      <c r="AQ81" s="178"/>
      <c r="AR81" s="177">
        <v>360.06</v>
      </c>
      <c r="AS81" s="177">
        <v>34443.889000000003</v>
      </c>
      <c r="AT81" s="177" t="s">
        <v>181</v>
      </c>
      <c r="AU81" s="177" t="s">
        <v>182</v>
      </c>
      <c r="AV81" s="62"/>
      <c r="AW81" s="173" t="s">
        <v>30</v>
      </c>
      <c r="AX81" s="175"/>
      <c r="AY81" s="182" t="s">
        <v>29</v>
      </c>
      <c r="AZ81" s="182" t="s">
        <v>100</v>
      </c>
      <c r="BA81" s="175"/>
      <c r="BB81" s="180"/>
      <c r="BC81" s="172"/>
      <c r="BD81" s="172"/>
      <c r="BE81" s="142">
        <v>3.8</v>
      </c>
      <c r="BF81" s="171"/>
      <c r="BG81" s="183" t="s">
        <v>113</v>
      </c>
      <c r="BH81" s="57"/>
      <c r="BI81" s="196"/>
      <c r="BJ81" s="195"/>
      <c r="BK81" s="197"/>
      <c r="BL81" s="36">
        <f>VLOOKUP($AP81,'[1]V1 V2'!$B$5:$BW$1894,74,0)</f>
        <v>0</v>
      </c>
      <c r="BM81" s="36" t="str">
        <f>IF('[1]V1 V2'!X80="","",'[1]V1 V2'!X80)</f>
        <v/>
      </c>
    </row>
    <row r="82" spans="1:65" ht="16" thickBot="1" x14ac:dyDescent="0.4">
      <c r="A82">
        <v>1</v>
      </c>
      <c r="B82" s="167"/>
      <c r="C82" s="167"/>
      <c r="D82" s="132"/>
      <c r="E82" s="36"/>
      <c r="F82" s="194"/>
      <c r="G82" s="195"/>
      <c r="H82" s="196"/>
      <c r="I82" s="168"/>
      <c r="J82" s="56"/>
      <c r="K82" s="171"/>
      <c r="L82" s="142"/>
      <c r="M82" s="172"/>
      <c r="N82" s="173"/>
      <c r="O82" s="174"/>
      <c r="P82" s="175"/>
      <c r="Q82" s="176"/>
      <c r="R82" s="176"/>
      <c r="S82" s="175"/>
      <c r="T82" s="173"/>
      <c r="U82" s="62" t="s">
        <v>48</v>
      </c>
      <c r="V82" s="177" t="s">
        <v>89</v>
      </c>
      <c r="W82" s="177" t="s">
        <v>89</v>
      </c>
      <c r="X82" s="177"/>
      <c r="Y82" s="177"/>
      <c r="Z82" s="198">
        <v>12</v>
      </c>
      <c r="AA82" s="179"/>
      <c r="AB82" s="21" t="s">
        <v>2</v>
      </c>
      <c r="AC82" s="163"/>
      <c r="AD82" s="163"/>
      <c r="AE82" s="163"/>
      <c r="AF82" s="163"/>
      <c r="AG82" s="163"/>
      <c r="AH82" s="164">
        <v>1</v>
      </c>
      <c r="AI82" s="163"/>
      <c r="AJ82" s="163"/>
      <c r="AK82" s="163"/>
      <c r="AL82" s="163"/>
      <c r="AM82" s="163"/>
      <c r="AN82" s="163"/>
      <c r="AO82" s="10" t="s">
        <v>3</v>
      </c>
      <c r="AP82" s="179"/>
      <c r="AQ82" s="198">
        <v>12</v>
      </c>
      <c r="AR82" s="177"/>
      <c r="AS82" s="177"/>
      <c r="AT82" s="177" t="s">
        <v>89</v>
      </c>
      <c r="AU82" s="177" t="s">
        <v>89</v>
      </c>
      <c r="AV82" s="62" t="s">
        <v>48</v>
      </c>
      <c r="AW82" s="173"/>
      <c r="AX82" s="175"/>
      <c r="AY82" s="176"/>
      <c r="AZ82" s="176"/>
      <c r="BA82" s="175"/>
      <c r="BB82" s="180"/>
      <c r="BC82" s="172"/>
      <c r="BD82" s="172"/>
      <c r="BE82" s="142"/>
      <c r="BF82" s="171"/>
      <c r="BG82" s="56"/>
      <c r="BH82" s="57"/>
      <c r="BI82" s="196"/>
      <c r="BJ82" s="195"/>
      <c r="BK82" s="197"/>
      <c r="BL82" s="36"/>
      <c r="BM82" s="36" t="str">
        <f>IF('[1]V1 V2'!X81="","",'[1]V1 V2'!X81)</f>
        <v/>
      </c>
    </row>
    <row r="83" spans="1:65" ht="16" thickBot="1" x14ac:dyDescent="0.4">
      <c r="A83">
        <v>1</v>
      </c>
      <c r="B83" s="167" t="s">
        <v>183</v>
      </c>
      <c r="C83" s="167"/>
      <c r="D83" s="132"/>
      <c r="E83" s="36">
        <f>VLOOKUP($B83,'[1]V1 V2'!$B$5:$BW$1894,74,0)</f>
        <v>0</v>
      </c>
      <c r="F83" s="168"/>
      <c r="G83" s="169"/>
      <c r="H83" s="170"/>
      <c r="I83" s="168"/>
      <c r="J83" s="56" t="s">
        <v>120</v>
      </c>
      <c r="K83" s="171"/>
      <c r="L83" s="142">
        <v>3.8</v>
      </c>
      <c r="M83" s="172"/>
      <c r="N83" s="173"/>
      <c r="O83" s="174"/>
      <c r="P83" s="175"/>
      <c r="Q83" s="182" t="s">
        <v>100</v>
      </c>
      <c r="R83" s="182" t="s">
        <v>29</v>
      </c>
      <c r="S83" s="175"/>
      <c r="T83" s="173" t="s">
        <v>30</v>
      </c>
      <c r="U83" s="62" t="s">
        <v>184</v>
      </c>
      <c r="V83" s="177" t="s">
        <v>185</v>
      </c>
      <c r="W83" s="177" t="s">
        <v>186</v>
      </c>
      <c r="X83" s="177">
        <v>34432.688999999998</v>
      </c>
      <c r="Y83" s="177">
        <v>371.26</v>
      </c>
      <c r="Z83" s="178"/>
      <c r="AA83" s="179" t="s">
        <v>183</v>
      </c>
      <c r="AB83" s="21" t="s">
        <v>2</v>
      </c>
      <c r="AC83" s="113"/>
      <c r="AD83" s="113"/>
      <c r="AE83" s="113"/>
      <c r="AF83" s="113"/>
      <c r="AG83" s="113"/>
      <c r="AH83" s="166">
        <f>Y82</f>
        <v>0</v>
      </c>
      <c r="AI83" s="113"/>
      <c r="AJ83" s="113"/>
      <c r="AK83" s="113"/>
      <c r="AL83" s="113"/>
      <c r="AM83" s="113"/>
      <c r="AN83" s="113"/>
      <c r="AO83" s="10" t="s">
        <v>3</v>
      </c>
      <c r="AP83" s="179" t="s">
        <v>187</v>
      </c>
      <c r="AQ83" s="178"/>
      <c r="AR83" s="177">
        <v>372.06</v>
      </c>
      <c r="AS83" s="177">
        <v>34431.889000000003</v>
      </c>
      <c r="AT83" s="177" t="s">
        <v>188</v>
      </c>
      <c r="AU83" s="177" t="s">
        <v>189</v>
      </c>
      <c r="AV83" s="62"/>
      <c r="AW83" s="173" t="s">
        <v>30</v>
      </c>
      <c r="AX83" s="175"/>
      <c r="AY83" s="182" t="s">
        <v>29</v>
      </c>
      <c r="AZ83" s="182" t="s">
        <v>100</v>
      </c>
      <c r="BA83" s="175"/>
      <c r="BB83" s="180"/>
      <c r="BC83" s="172"/>
      <c r="BD83" s="172"/>
      <c r="BE83" s="142">
        <v>3.8</v>
      </c>
      <c r="BF83" s="171"/>
      <c r="BG83" s="183" t="s">
        <v>120</v>
      </c>
      <c r="BH83" s="57"/>
      <c r="BI83" s="170"/>
      <c r="BJ83" s="169"/>
      <c r="BK83" s="181"/>
      <c r="BL83" s="36">
        <f>VLOOKUP($AP83,'[1]V1 V2'!$B$5:$BW$1894,74,0)</f>
        <v>0</v>
      </c>
      <c r="BM83" s="36" t="str">
        <f>IF('[1]V1 V2'!X82="","",'[1]V1 V2'!X82)</f>
        <v/>
      </c>
    </row>
    <row r="84" spans="1:65" ht="16" thickBot="1" x14ac:dyDescent="0.4">
      <c r="A84">
        <v>1</v>
      </c>
      <c r="B84" s="167"/>
      <c r="C84" s="167"/>
      <c r="D84" s="132"/>
      <c r="E84" s="36"/>
      <c r="F84" s="168"/>
      <c r="G84" s="169"/>
      <c r="H84" s="170"/>
      <c r="I84" s="168"/>
      <c r="J84" s="56"/>
      <c r="K84" s="171"/>
      <c r="L84" s="142"/>
      <c r="M84" s="172"/>
      <c r="N84" s="173"/>
      <c r="O84" s="174"/>
      <c r="P84" s="175"/>
      <c r="Q84" s="176"/>
      <c r="R84" s="176"/>
      <c r="S84" s="175"/>
      <c r="T84" s="173"/>
      <c r="U84" s="62" t="s">
        <v>48</v>
      </c>
      <c r="V84" s="177" t="s">
        <v>89</v>
      </c>
      <c r="W84" s="177" t="s">
        <v>89</v>
      </c>
      <c r="X84" s="177"/>
      <c r="Y84" s="177"/>
      <c r="Z84" s="178">
        <v>12</v>
      </c>
      <c r="AA84" s="179"/>
      <c r="AB84" s="21" t="s">
        <v>2</v>
      </c>
      <c r="AH84" s="63">
        <v>1</v>
      </c>
      <c r="AO84" s="10" t="s">
        <v>3</v>
      </c>
      <c r="AP84" s="179"/>
      <c r="AQ84" s="178">
        <v>12</v>
      </c>
      <c r="AR84" s="177"/>
      <c r="AS84" s="177"/>
      <c r="AT84" s="177" t="s">
        <v>89</v>
      </c>
      <c r="AU84" s="177" t="s">
        <v>89</v>
      </c>
      <c r="AV84" s="62" t="s">
        <v>48</v>
      </c>
      <c r="AW84" s="173"/>
      <c r="AX84" s="175"/>
      <c r="AY84" s="176"/>
      <c r="AZ84" s="176"/>
      <c r="BA84" s="175"/>
      <c r="BB84" s="180"/>
      <c r="BC84" s="172"/>
      <c r="BD84" s="172"/>
      <c r="BE84" s="142"/>
      <c r="BF84" s="171"/>
      <c r="BG84" s="56"/>
      <c r="BH84" s="57"/>
      <c r="BI84" s="170"/>
      <c r="BJ84" s="169"/>
      <c r="BK84" s="181"/>
      <c r="BL84" s="36"/>
      <c r="BM84" s="36" t="str">
        <f>IF('[1]V1 V2'!X83="","",'[1]V1 V2'!X83)</f>
        <v/>
      </c>
    </row>
    <row r="85" spans="1:65" ht="16" thickBot="1" x14ac:dyDescent="0.4">
      <c r="A85">
        <v>1</v>
      </c>
      <c r="B85" s="143" t="s">
        <v>190</v>
      </c>
      <c r="C85" s="143"/>
      <c r="D85" s="80"/>
      <c r="E85" s="36">
        <f>VLOOKUP($B85,'[1]V1 V2'!$B$5:$BW$1894,74,0)</f>
        <v>0</v>
      </c>
      <c r="F85" s="144"/>
      <c r="G85" s="145"/>
      <c r="H85" s="69" t="s">
        <v>92</v>
      </c>
      <c r="I85" s="146" t="s">
        <v>127</v>
      </c>
      <c r="J85" s="86">
        <v>-12</v>
      </c>
      <c r="K85" s="147"/>
      <c r="L85" s="148">
        <v>3.8</v>
      </c>
      <c r="M85" s="149"/>
      <c r="N85" s="150"/>
      <c r="O85" s="151"/>
      <c r="P85" s="152"/>
      <c r="Q85" s="153" t="s">
        <v>83</v>
      </c>
      <c r="R85" s="153" t="s">
        <v>29</v>
      </c>
      <c r="S85" s="152"/>
      <c r="T85" s="150" t="s">
        <v>33</v>
      </c>
      <c r="U85" s="80" t="s">
        <v>184</v>
      </c>
      <c r="V85" s="154" t="s">
        <v>191</v>
      </c>
      <c r="W85" s="154" t="s">
        <v>192</v>
      </c>
      <c r="X85" s="154">
        <v>34420.688999999998</v>
      </c>
      <c r="Y85" s="154">
        <v>383.26</v>
      </c>
      <c r="Z85" s="155"/>
      <c r="AA85" s="156" t="s">
        <v>190</v>
      </c>
      <c r="AB85" s="21" t="s">
        <v>2</v>
      </c>
      <c r="AH85" s="63">
        <v>1</v>
      </c>
      <c r="AO85" s="10" t="s">
        <v>3</v>
      </c>
      <c r="AP85" s="156" t="s">
        <v>193</v>
      </c>
      <c r="AQ85" s="155"/>
      <c r="AR85" s="154">
        <v>384.06</v>
      </c>
      <c r="AS85" s="154">
        <v>34419.889000000003</v>
      </c>
      <c r="AT85" s="154" t="s">
        <v>194</v>
      </c>
      <c r="AU85" s="154" t="s">
        <v>195</v>
      </c>
      <c r="AV85" s="80"/>
      <c r="AW85" s="150" t="s">
        <v>33</v>
      </c>
      <c r="AX85" s="152"/>
      <c r="AY85" s="153" t="s">
        <v>29</v>
      </c>
      <c r="AZ85" s="153" t="s">
        <v>83</v>
      </c>
      <c r="BA85" s="152"/>
      <c r="BB85" s="157"/>
      <c r="BC85" s="149"/>
      <c r="BD85" s="149"/>
      <c r="BE85" s="148">
        <v>3.8</v>
      </c>
      <c r="BF85" s="147"/>
      <c r="BG85" s="158">
        <v>0</v>
      </c>
      <c r="BH85" s="159" t="s">
        <v>127</v>
      </c>
      <c r="BI85" s="69" t="s">
        <v>98</v>
      </c>
      <c r="BJ85" s="145"/>
      <c r="BK85" s="160"/>
      <c r="BL85" s="36">
        <f>VLOOKUP($AP85,'[1]V1 V2'!$B$5:$BW$1894,74,0)</f>
        <v>0</v>
      </c>
      <c r="BM85" s="36" t="str">
        <f>IF('[1]V1 V2'!X84="","",'[1]V1 V2'!X84)</f>
        <v/>
      </c>
    </row>
    <row r="86" spans="1:65" ht="16" thickBot="1" x14ac:dyDescent="0.4">
      <c r="A86">
        <v>1</v>
      </c>
      <c r="B86" s="143"/>
      <c r="C86" s="143"/>
      <c r="D86" s="80"/>
      <c r="E86" s="36"/>
      <c r="F86" s="144"/>
      <c r="G86" s="145"/>
      <c r="H86" s="92" t="s">
        <v>8</v>
      </c>
      <c r="I86" s="146"/>
      <c r="J86" s="86"/>
      <c r="K86" s="147"/>
      <c r="L86" s="148"/>
      <c r="M86" s="149"/>
      <c r="N86" s="150"/>
      <c r="O86" s="151"/>
      <c r="P86" s="152"/>
      <c r="Q86" s="153"/>
      <c r="R86" s="153"/>
      <c r="S86" s="152"/>
      <c r="T86" s="150"/>
      <c r="U86" s="80" t="s">
        <v>48</v>
      </c>
      <c r="V86" s="154" t="s">
        <v>89</v>
      </c>
      <c r="W86" s="154" t="s">
        <v>89</v>
      </c>
      <c r="X86" s="154"/>
      <c r="Y86" s="154"/>
      <c r="Z86" s="155">
        <v>6.2</v>
      </c>
      <c r="AA86" s="156"/>
      <c r="AB86" s="21" t="s">
        <v>2</v>
      </c>
      <c r="AH86" s="63">
        <v>1</v>
      </c>
      <c r="AO86" s="10" t="s">
        <v>3</v>
      </c>
      <c r="AP86" s="156"/>
      <c r="AQ86" s="155">
        <v>6.2</v>
      </c>
      <c r="AR86" s="154"/>
      <c r="AS86" s="154"/>
      <c r="AT86" s="154" t="s">
        <v>89</v>
      </c>
      <c r="AU86" s="154" t="s">
        <v>89</v>
      </c>
      <c r="AV86" s="80" t="s">
        <v>48</v>
      </c>
      <c r="AW86" s="150"/>
      <c r="AX86" s="152"/>
      <c r="AY86" s="153"/>
      <c r="AZ86" s="153"/>
      <c r="BA86" s="152"/>
      <c r="BB86" s="157"/>
      <c r="BC86" s="149"/>
      <c r="BD86" s="149"/>
      <c r="BE86" s="148"/>
      <c r="BF86" s="147"/>
      <c r="BG86" s="158"/>
      <c r="BH86" s="159"/>
      <c r="BI86" s="92" t="s">
        <v>8</v>
      </c>
      <c r="BJ86" s="145"/>
      <c r="BK86" s="160"/>
      <c r="BL86" s="36"/>
      <c r="BM86" s="36" t="str">
        <f>IF('[1]V1 V2'!X85="","",'[1]V1 V2'!X85)</f>
        <v/>
      </c>
    </row>
    <row r="87" spans="1:65" ht="16" thickBot="1" x14ac:dyDescent="0.4">
      <c r="A87">
        <v>1</v>
      </c>
      <c r="B87" s="143" t="s">
        <v>196</v>
      </c>
      <c r="C87" s="143"/>
      <c r="D87" s="80"/>
      <c r="E87" s="36">
        <f>VLOOKUP($B87,'[1]V1 V2'!$B$5:$BW$1894,74,0)</f>
        <v>0</v>
      </c>
      <c r="F87" s="144"/>
      <c r="G87" s="145"/>
      <c r="H87" s="98" t="s">
        <v>197</v>
      </c>
      <c r="I87" s="199" t="s">
        <v>127</v>
      </c>
      <c r="J87" s="158">
        <v>-4</v>
      </c>
      <c r="K87" s="147"/>
      <c r="L87" s="148">
        <v>3.8</v>
      </c>
      <c r="M87" s="149"/>
      <c r="N87" s="150"/>
      <c r="O87" s="151"/>
      <c r="P87" s="152"/>
      <c r="Q87" s="153" t="s">
        <v>83</v>
      </c>
      <c r="R87" s="153" t="s">
        <v>29</v>
      </c>
      <c r="S87" s="152"/>
      <c r="T87" s="150" t="s">
        <v>33</v>
      </c>
      <c r="U87" s="80" t="s">
        <v>184</v>
      </c>
      <c r="V87" s="154" t="s">
        <v>198</v>
      </c>
      <c r="W87" s="154" t="s">
        <v>199</v>
      </c>
      <c r="X87" s="154">
        <v>34414.489000000001</v>
      </c>
      <c r="Y87" s="154">
        <v>389.46</v>
      </c>
      <c r="Z87" s="155"/>
      <c r="AA87" s="156" t="s">
        <v>196</v>
      </c>
      <c r="AB87" s="21" t="s">
        <v>2</v>
      </c>
      <c r="AH87" s="63">
        <v>1</v>
      </c>
      <c r="AO87" s="10" t="s">
        <v>3</v>
      </c>
      <c r="AP87" s="156" t="s">
        <v>200</v>
      </c>
      <c r="AQ87" s="155"/>
      <c r="AR87" s="154">
        <v>390.26</v>
      </c>
      <c r="AS87" s="154">
        <v>34413.688999999998</v>
      </c>
      <c r="AT87" s="154" t="s">
        <v>201</v>
      </c>
      <c r="AU87" s="154" t="s">
        <v>202</v>
      </c>
      <c r="AV87" s="80"/>
      <c r="AW87" s="150" t="s">
        <v>33</v>
      </c>
      <c r="AX87" s="152"/>
      <c r="AY87" s="153" t="s">
        <v>29</v>
      </c>
      <c r="AZ87" s="153" t="s">
        <v>83</v>
      </c>
      <c r="BA87" s="152"/>
      <c r="BB87" s="157"/>
      <c r="BC87" s="149"/>
      <c r="BD87" s="149"/>
      <c r="BE87" s="148">
        <v>3.8</v>
      </c>
      <c r="BF87" s="147"/>
      <c r="BG87" s="158">
        <v>0</v>
      </c>
      <c r="BH87" s="159" t="s">
        <v>127</v>
      </c>
      <c r="BI87" s="98" t="s">
        <v>203</v>
      </c>
      <c r="BJ87" s="145"/>
      <c r="BK87" s="160"/>
      <c r="BL87" s="36">
        <f>VLOOKUP($AP87,'[1]V1 V2'!$B$5:$BW$1894,74,0)</f>
        <v>0</v>
      </c>
      <c r="BM87" s="36" t="str">
        <f>IF('[1]V1 V2'!X86="","",'[1]V1 V2'!X86)</f>
        <v/>
      </c>
    </row>
    <row r="88" spans="1:65" ht="16" thickBot="1" x14ac:dyDescent="0.4">
      <c r="A88">
        <v>1</v>
      </c>
      <c r="B88" s="167"/>
      <c r="C88" s="167"/>
      <c r="D88" s="132"/>
      <c r="E88" s="36"/>
      <c r="F88" s="168"/>
      <c r="G88" s="169"/>
      <c r="H88" s="170"/>
      <c r="I88" s="168"/>
      <c r="J88" s="56"/>
      <c r="K88" s="171"/>
      <c r="L88" s="142"/>
      <c r="M88" s="172"/>
      <c r="N88" s="173"/>
      <c r="O88" s="174"/>
      <c r="P88" s="175"/>
      <c r="Q88" s="176"/>
      <c r="R88" s="176"/>
      <c r="S88" s="175"/>
      <c r="T88" s="173"/>
      <c r="U88" s="62" t="s">
        <v>48</v>
      </c>
      <c r="V88" s="177" t="s">
        <v>89</v>
      </c>
      <c r="W88" s="177" t="s">
        <v>89</v>
      </c>
      <c r="X88" s="177"/>
      <c r="Y88" s="177"/>
      <c r="Z88" s="178">
        <v>12</v>
      </c>
      <c r="AA88" s="179"/>
      <c r="AB88" s="21" t="s">
        <v>2</v>
      </c>
      <c r="AH88" s="63">
        <v>1</v>
      </c>
      <c r="AO88" s="10" t="s">
        <v>3</v>
      </c>
      <c r="AP88" s="179"/>
      <c r="AQ88" s="178">
        <v>12</v>
      </c>
      <c r="AR88" s="177"/>
      <c r="AS88" s="177"/>
      <c r="AT88" s="177" t="s">
        <v>89</v>
      </c>
      <c r="AU88" s="177" t="s">
        <v>89</v>
      </c>
      <c r="AV88" s="62" t="s">
        <v>48</v>
      </c>
      <c r="AW88" s="173"/>
      <c r="AX88" s="175"/>
      <c r="AY88" s="176"/>
      <c r="AZ88" s="176"/>
      <c r="BA88" s="175"/>
      <c r="BB88" s="180"/>
      <c r="BC88" s="172"/>
      <c r="BD88" s="172"/>
      <c r="BE88" s="142"/>
      <c r="BF88" s="171"/>
      <c r="BG88" s="56"/>
      <c r="BH88" s="57"/>
      <c r="BI88" s="170"/>
      <c r="BJ88" s="169"/>
      <c r="BK88" s="181"/>
      <c r="BL88" s="36"/>
      <c r="BM88" s="36" t="str">
        <f>IF('[1]V1 V2'!X87="","",'[1]V1 V2'!X87)</f>
        <v/>
      </c>
    </row>
    <row r="89" spans="1:65" ht="16" thickBot="1" x14ac:dyDescent="0.4">
      <c r="A89">
        <v>1</v>
      </c>
      <c r="B89" s="167" t="s">
        <v>204</v>
      </c>
      <c r="C89" s="167"/>
      <c r="D89" s="132"/>
      <c r="E89" s="36">
        <f>VLOOKUP($B89,'[1]V1 V2'!$B$5:$BW$1894,74,0)</f>
        <v>0</v>
      </c>
      <c r="F89" s="168"/>
      <c r="G89" s="169"/>
      <c r="H89" s="170"/>
      <c r="I89" s="168"/>
      <c r="J89" s="56" t="s">
        <v>113</v>
      </c>
      <c r="K89" s="171"/>
      <c r="L89" s="142">
        <v>3.8</v>
      </c>
      <c r="M89" s="172"/>
      <c r="N89" s="173"/>
      <c r="O89" s="174"/>
      <c r="P89" s="175"/>
      <c r="Q89" s="182" t="s">
        <v>100</v>
      </c>
      <c r="R89" s="182" t="s">
        <v>29</v>
      </c>
      <c r="S89" s="175"/>
      <c r="T89" s="173" t="s">
        <v>30</v>
      </c>
      <c r="U89" s="62" t="s">
        <v>184</v>
      </c>
      <c r="V89" s="177" t="s">
        <v>205</v>
      </c>
      <c r="W89" s="177" t="s">
        <v>206</v>
      </c>
      <c r="X89" s="177">
        <v>34402.489000000001</v>
      </c>
      <c r="Y89" s="177">
        <v>401.46</v>
      </c>
      <c r="Z89" s="178"/>
      <c r="AA89" s="179" t="s">
        <v>204</v>
      </c>
      <c r="AB89" s="21" t="s">
        <v>2</v>
      </c>
      <c r="AH89" s="63">
        <v>1</v>
      </c>
      <c r="AO89" s="10" t="s">
        <v>3</v>
      </c>
      <c r="AP89" s="179" t="s">
        <v>207</v>
      </c>
      <c r="AQ89" s="178"/>
      <c r="AR89" s="177">
        <v>402.26</v>
      </c>
      <c r="AS89" s="177">
        <v>34401.688999999998</v>
      </c>
      <c r="AT89" s="177" t="s">
        <v>208</v>
      </c>
      <c r="AU89" s="177" t="s">
        <v>209</v>
      </c>
      <c r="AV89" s="62"/>
      <c r="AW89" s="173" t="s">
        <v>30</v>
      </c>
      <c r="AX89" s="175"/>
      <c r="AY89" s="182" t="s">
        <v>29</v>
      </c>
      <c r="AZ89" s="182" t="s">
        <v>100</v>
      </c>
      <c r="BA89" s="175"/>
      <c r="BB89" s="180"/>
      <c r="BC89" s="172"/>
      <c r="BD89" s="172"/>
      <c r="BE89" s="142">
        <v>3.8</v>
      </c>
      <c r="BF89" s="171"/>
      <c r="BG89" s="183" t="s">
        <v>113</v>
      </c>
      <c r="BH89" s="57"/>
      <c r="BI89" s="170"/>
      <c r="BJ89" s="169"/>
      <c r="BK89" s="181"/>
      <c r="BL89" s="36">
        <f>VLOOKUP($AP89,'[1]V1 V2'!$B$5:$BW$1894,74,0)</f>
        <v>0</v>
      </c>
      <c r="BM89" s="36" t="str">
        <f>IF('[1]V1 V2'!X88="","",'[1]V1 V2'!X88)</f>
        <v/>
      </c>
    </row>
    <row r="90" spans="1:65" ht="16" thickBot="1" x14ac:dyDescent="0.4">
      <c r="A90">
        <v>1</v>
      </c>
      <c r="B90" s="167"/>
      <c r="C90" s="167"/>
      <c r="D90" s="132"/>
      <c r="E90" s="36"/>
      <c r="F90" s="168"/>
      <c r="G90" s="169"/>
      <c r="H90" s="170"/>
      <c r="I90" s="168"/>
      <c r="J90" s="56"/>
      <c r="K90" s="171"/>
      <c r="L90" s="142"/>
      <c r="M90" s="172"/>
      <c r="N90" s="173"/>
      <c r="O90" s="174"/>
      <c r="P90" s="175"/>
      <c r="Q90" s="176"/>
      <c r="R90" s="176"/>
      <c r="S90" s="175"/>
      <c r="T90" s="173"/>
      <c r="U90" s="62" t="s">
        <v>48</v>
      </c>
      <c r="V90" s="177" t="s">
        <v>89</v>
      </c>
      <c r="W90" s="177" t="s">
        <v>89</v>
      </c>
      <c r="X90" s="177"/>
      <c r="Y90" s="177"/>
      <c r="Z90" s="178">
        <v>12</v>
      </c>
      <c r="AA90" s="179"/>
      <c r="AB90" s="21" t="s">
        <v>2</v>
      </c>
      <c r="AH90" s="63">
        <v>1</v>
      </c>
      <c r="AO90" s="10" t="s">
        <v>3</v>
      </c>
      <c r="AP90" s="179"/>
      <c r="AQ90" s="178">
        <v>12</v>
      </c>
      <c r="AR90" s="177"/>
      <c r="AS90" s="177"/>
      <c r="AT90" s="177" t="s">
        <v>89</v>
      </c>
      <c r="AU90" s="177" t="s">
        <v>89</v>
      </c>
      <c r="AV90" s="62" t="s">
        <v>48</v>
      </c>
      <c r="AW90" s="173"/>
      <c r="AX90" s="175"/>
      <c r="AY90" s="176"/>
      <c r="AZ90" s="176"/>
      <c r="BA90" s="175"/>
      <c r="BB90" s="180"/>
      <c r="BC90" s="172"/>
      <c r="BD90" s="172"/>
      <c r="BE90" s="142"/>
      <c r="BF90" s="171"/>
      <c r="BG90" s="56"/>
      <c r="BH90" s="57"/>
      <c r="BI90" s="170"/>
      <c r="BJ90" s="169"/>
      <c r="BK90" s="181"/>
      <c r="BL90" s="36"/>
      <c r="BM90" s="36" t="str">
        <f>IF('[1]V1 V2'!X89="","",'[1]V1 V2'!X89)</f>
        <v/>
      </c>
    </row>
    <row r="91" spans="1:65" ht="16" thickBot="1" x14ac:dyDescent="0.4">
      <c r="A91">
        <v>1</v>
      </c>
      <c r="B91" s="167" t="s">
        <v>210</v>
      </c>
      <c r="C91" s="167"/>
      <c r="D91" s="132"/>
      <c r="E91" s="36">
        <f>VLOOKUP($B91,'[1]V1 V2'!$B$5:$BW$1894,74,0)</f>
        <v>0</v>
      </c>
      <c r="F91" s="168"/>
      <c r="G91" s="169"/>
      <c r="H91" s="170"/>
      <c r="I91" s="168"/>
      <c r="J91" s="56" t="s">
        <v>120</v>
      </c>
      <c r="K91" s="171"/>
      <c r="L91" s="142">
        <v>3.8</v>
      </c>
      <c r="M91" s="172"/>
      <c r="N91" s="173"/>
      <c r="O91" s="174"/>
      <c r="P91" s="175"/>
      <c r="Q91" s="182" t="s">
        <v>100</v>
      </c>
      <c r="R91" s="182" t="s">
        <v>29</v>
      </c>
      <c r="S91" s="175"/>
      <c r="T91" s="173" t="s">
        <v>30</v>
      </c>
      <c r="U91" s="62" t="s">
        <v>184</v>
      </c>
      <c r="V91" s="177" t="s">
        <v>211</v>
      </c>
      <c r="W91" s="177" t="s">
        <v>212</v>
      </c>
      <c r="X91" s="177">
        <v>34390.489000000001</v>
      </c>
      <c r="Y91" s="177">
        <v>413.46</v>
      </c>
      <c r="Z91" s="178"/>
      <c r="AA91" s="179" t="s">
        <v>210</v>
      </c>
      <c r="AB91" s="21" t="s">
        <v>2</v>
      </c>
      <c r="AH91" s="63">
        <v>1</v>
      </c>
      <c r="AO91" s="10" t="s">
        <v>3</v>
      </c>
      <c r="AP91" s="179" t="s">
        <v>213</v>
      </c>
      <c r="AQ91" s="178"/>
      <c r="AR91" s="177">
        <v>414.26</v>
      </c>
      <c r="AS91" s="177">
        <v>34389.688999999998</v>
      </c>
      <c r="AT91" s="177" t="s">
        <v>214</v>
      </c>
      <c r="AU91" s="177" t="s">
        <v>215</v>
      </c>
      <c r="AV91" s="62"/>
      <c r="AW91" s="173" t="s">
        <v>30</v>
      </c>
      <c r="AX91" s="175"/>
      <c r="AY91" s="182" t="s">
        <v>29</v>
      </c>
      <c r="AZ91" s="182" t="s">
        <v>100</v>
      </c>
      <c r="BA91" s="175"/>
      <c r="BB91" s="180"/>
      <c r="BC91" s="172"/>
      <c r="BD91" s="172"/>
      <c r="BE91" s="142">
        <v>3.8</v>
      </c>
      <c r="BF91" s="171"/>
      <c r="BG91" s="183" t="s">
        <v>120</v>
      </c>
      <c r="BH91" s="57"/>
      <c r="BI91" s="170"/>
      <c r="BJ91" s="169"/>
      <c r="BK91" s="181"/>
      <c r="BL91" s="36">
        <f>VLOOKUP($AP91,'[1]V1 V2'!$B$5:$BW$1894,74,0)</f>
        <v>0</v>
      </c>
      <c r="BM91" s="36" t="str">
        <f>IF('[1]V1 V2'!X90="","",'[1]V1 V2'!X90)</f>
        <v/>
      </c>
    </row>
    <row r="92" spans="1:65" ht="16" thickBot="1" x14ac:dyDescent="0.4">
      <c r="A92">
        <v>1</v>
      </c>
      <c r="B92" s="167"/>
      <c r="C92" s="167"/>
      <c r="D92" s="132"/>
      <c r="E92" s="36"/>
      <c r="F92" s="168"/>
      <c r="G92" s="169"/>
      <c r="H92" s="170"/>
      <c r="I92" s="168"/>
      <c r="J92" s="56"/>
      <c r="K92" s="171"/>
      <c r="L92" s="142"/>
      <c r="M92" s="172"/>
      <c r="N92" s="173"/>
      <c r="O92" s="174"/>
      <c r="P92" s="175"/>
      <c r="Q92" s="176"/>
      <c r="R92" s="176"/>
      <c r="S92" s="175"/>
      <c r="T92" s="173"/>
      <c r="U92" s="62">
        <v>-345</v>
      </c>
      <c r="V92" s="177" t="s">
        <v>89</v>
      </c>
      <c r="W92" s="177" t="s">
        <v>89</v>
      </c>
      <c r="X92" s="177"/>
      <c r="Y92" s="177"/>
      <c r="Z92" s="178">
        <v>12</v>
      </c>
      <c r="AA92" s="179"/>
      <c r="AB92" s="21" t="s">
        <v>2</v>
      </c>
      <c r="AH92" s="63">
        <v>1</v>
      </c>
      <c r="AO92" s="10" t="s">
        <v>3</v>
      </c>
      <c r="AP92" s="179"/>
      <c r="AQ92" s="198">
        <v>12</v>
      </c>
      <c r="AR92" s="177"/>
      <c r="AS92" s="177"/>
      <c r="AT92" s="177" t="s">
        <v>89</v>
      </c>
      <c r="AU92" s="177" t="s">
        <v>89</v>
      </c>
      <c r="AV92" s="62">
        <v>-345</v>
      </c>
      <c r="AW92" s="173"/>
      <c r="AX92" s="175"/>
      <c r="AY92" s="176"/>
      <c r="AZ92" s="176"/>
      <c r="BA92" s="175"/>
      <c r="BB92" s="180"/>
      <c r="BC92" s="172"/>
      <c r="BD92" s="172"/>
      <c r="BE92" s="142"/>
      <c r="BF92" s="171"/>
      <c r="BG92" s="56"/>
      <c r="BH92" s="57"/>
      <c r="BI92" s="170"/>
      <c r="BJ92" s="169"/>
      <c r="BK92" s="181"/>
      <c r="BL92" s="36"/>
      <c r="BM92" s="36" t="str">
        <f>IF('[1]V1 V2'!X91="","",'[1]V1 V2'!X91)</f>
        <v/>
      </c>
    </row>
    <row r="93" spans="1:65" ht="16" thickBot="1" x14ac:dyDescent="0.4">
      <c r="A93">
        <v>1</v>
      </c>
      <c r="B93" s="167" t="s">
        <v>216</v>
      </c>
      <c r="C93" s="167"/>
      <c r="D93" s="132"/>
      <c r="E93" s="36">
        <f>VLOOKUP($B93,'[1]V1 V2'!$B$5:$BW$1894,74,0)</f>
        <v>0</v>
      </c>
      <c r="F93" s="168"/>
      <c r="G93" s="169"/>
      <c r="H93" s="170"/>
      <c r="I93" s="168"/>
      <c r="J93" s="56" t="s">
        <v>127</v>
      </c>
      <c r="K93" s="171"/>
      <c r="L93" s="142">
        <v>3.8</v>
      </c>
      <c r="M93" s="172"/>
      <c r="N93" s="173"/>
      <c r="O93" s="174"/>
      <c r="P93" s="175"/>
      <c r="Q93" s="182" t="s">
        <v>100</v>
      </c>
      <c r="R93" s="182" t="s">
        <v>29</v>
      </c>
      <c r="S93" s="175"/>
      <c r="T93" s="173" t="s">
        <v>30</v>
      </c>
      <c r="U93" s="62" t="s">
        <v>184</v>
      </c>
      <c r="V93" s="177" t="s">
        <v>217</v>
      </c>
      <c r="W93" s="177" t="s">
        <v>218</v>
      </c>
      <c r="X93" s="177">
        <v>34378.489000000001</v>
      </c>
      <c r="Y93" s="177">
        <v>425.46</v>
      </c>
      <c r="Z93" s="178"/>
      <c r="AA93" s="179" t="s">
        <v>216</v>
      </c>
      <c r="AB93" s="21" t="s">
        <v>2</v>
      </c>
      <c r="AH93" s="63">
        <v>1</v>
      </c>
      <c r="AO93" s="10" t="s">
        <v>3</v>
      </c>
      <c r="AP93" s="179" t="s">
        <v>219</v>
      </c>
      <c r="AQ93" s="178"/>
      <c r="AR93" s="177">
        <v>426.36</v>
      </c>
      <c r="AS93" s="177">
        <v>34377.589</v>
      </c>
      <c r="AT93" s="177" t="s">
        <v>220</v>
      </c>
      <c r="AU93" s="177" t="s">
        <v>221</v>
      </c>
      <c r="AV93" s="62"/>
      <c r="AW93" s="173" t="s">
        <v>30</v>
      </c>
      <c r="AX93" s="175"/>
      <c r="AY93" s="182" t="s">
        <v>29</v>
      </c>
      <c r="AZ93" s="182" t="s">
        <v>100</v>
      </c>
      <c r="BA93" s="175"/>
      <c r="BB93" s="180"/>
      <c r="BC93" s="172"/>
      <c r="BD93" s="172"/>
      <c r="BE93" s="142">
        <v>3.8</v>
      </c>
      <c r="BF93" s="171"/>
      <c r="BG93" s="183" t="s">
        <v>127</v>
      </c>
      <c r="BH93" s="57"/>
      <c r="BI93" s="170"/>
      <c r="BJ93" s="169"/>
      <c r="BK93" s="181"/>
      <c r="BL93" s="36">
        <f>VLOOKUP($AP93,'[1]V1 V2'!$B$5:$BW$1894,74,0)</f>
        <v>0</v>
      </c>
      <c r="BM93" s="36" t="str">
        <f>IF('[1]V1 V2'!X92="","",'[1]V1 V2'!X92)</f>
        <v/>
      </c>
    </row>
    <row r="94" spans="1:65" ht="16" thickBot="1" x14ac:dyDescent="0.4">
      <c r="A94">
        <v>1</v>
      </c>
      <c r="B94" s="167"/>
      <c r="C94" s="167"/>
      <c r="D94" s="132"/>
      <c r="E94" s="36"/>
      <c r="F94" s="168"/>
      <c r="G94" s="169"/>
      <c r="H94" s="170"/>
      <c r="I94" s="168"/>
      <c r="J94" s="56"/>
      <c r="K94" s="171"/>
      <c r="L94" s="142"/>
      <c r="M94" s="172"/>
      <c r="N94" s="173"/>
      <c r="O94" s="174"/>
      <c r="P94" s="175"/>
      <c r="Q94" s="176"/>
      <c r="R94" s="176"/>
      <c r="S94" s="175"/>
      <c r="T94" s="173"/>
      <c r="U94" s="62">
        <v>-345</v>
      </c>
      <c r="V94" s="177" t="s">
        <v>89</v>
      </c>
      <c r="W94" s="177" t="s">
        <v>89</v>
      </c>
      <c r="X94" s="177"/>
      <c r="Y94" s="177"/>
      <c r="Z94" s="178">
        <v>12</v>
      </c>
      <c r="AA94" s="179"/>
      <c r="AB94" s="21" t="s">
        <v>2</v>
      </c>
      <c r="AH94" s="63">
        <v>1</v>
      </c>
      <c r="AO94" s="10" t="s">
        <v>3</v>
      </c>
      <c r="AP94" s="179"/>
      <c r="AQ94" s="178">
        <v>12</v>
      </c>
      <c r="AR94" s="177"/>
      <c r="AS94" s="177"/>
      <c r="AT94" s="177" t="s">
        <v>89</v>
      </c>
      <c r="AU94" s="177" t="s">
        <v>89</v>
      </c>
      <c r="AV94" s="62">
        <v>-345</v>
      </c>
      <c r="AW94" s="173"/>
      <c r="AX94" s="175"/>
      <c r="AY94" s="176"/>
      <c r="AZ94" s="176"/>
      <c r="BA94" s="175"/>
      <c r="BB94" s="180"/>
      <c r="BC94" s="172"/>
      <c r="BD94" s="172"/>
      <c r="BE94" s="142"/>
      <c r="BF94" s="171"/>
      <c r="BG94" s="56"/>
      <c r="BH94" s="57"/>
      <c r="BI94" s="170"/>
      <c r="BJ94" s="169"/>
      <c r="BK94" s="181"/>
      <c r="BL94" s="36"/>
      <c r="BM94" s="36" t="str">
        <f>IF('[1]V1 V2'!X93="","",'[1]V1 V2'!X93)</f>
        <v/>
      </c>
    </row>
    <row r="95" spans="1:65" ht="16" thickBot="1" x14ac:dyDescent="0.4">
      <c r="A95">
        <v>1</v>
      </c>
      <c r="B95" s="167" t="s">
        <v>222</v>
      </c>
      <c r="C95" s="167"/>
      <c r="D95" s="132"/>
      <c r="E95" s="36">
        <f>VLOOKUP($B95,'[1]V1 V2'!$B$5:$BW$1894,74,0)</f>
        <v>0</v>
      </c>
      <c r="F95" s="168"/>
      <c r="G95" s="169"/>
      <c r="H95" s="170"/>
      <c r="I95" s="168"/>
      <c r="J95" s="56" t="s">
        <v>223</v>
      </c>
      <c r="K95" s="171"/>
      <c r="L95" s="142">
        <v>3.8</v>
      </c>
      <c r="M95" s="172"/>
      <c r="N95" s="173"/>
      <c r="O95" s="174"/>
      <c r="P95" s="175"/>
      <c r="Q95" s="182" t="s">
        <v>100</v>
      </c>
      <c r="R95" s="182" t="s">
        <v>29</v>
      </c>
      <c r="S95" s="175"/>
      <c r="T95" s="173" t="s">
        <v>30</v>
      </c>
      <c r="U95" s="62" t="s">
        <v>184</v>
      </c>
      <c r="V95" s="177" t="s">
        <v>224</v>
      </c>
      <c r="W95" s="177" t="s">
        <v>225</v>
      </c>
      <c r="X95" s="177">
        <v>34366.489000000001</v>
      </c>
      <c r="Y95" s="177">
        <v>437.46</v>
      </c>
      <c r="Z95" s="178"/>
      <c r="AA95" s="179" t="s">
        <v>222</v>
      </c>
      <c r="AB95" s="21" t="s">
        <v>2</v>
      </c>
      <c r="AH95" s="63">
        <v>1</v>
      </c>
      <c r="AO95" s="10" t="s">
        <v>3</v>
      </c>
      <c r="AP95" s="179" t="s">
        <v>226</v>
      </c>
      <c r="AQ95" s="178"/>
      <c r="AR95" s="177">
        <v>438.36</v>
      </c>
      <c r="AS95" s="177">
        <v>34365.589</v>
      </c>
      <c r="AT95" s="177" t="s">
        <v>227</v>
      </c>
      <c r="AU95" s="177" t="s">
        <v>228</v>
      </c>
      <c r="AV95" s="62"/>
      <c r="AW95" s="173" t="s">
        <v>30</v>
      </c>
      <c r="AX95" s="175"/>
      <c r="AY95" s="182" t="s">
        <v>29</v>
      </c>
      <c r="AZ95" s="182" t="s">
        <v>100</v>
      </c>
      <c r="BA95" s="175"/>
      <c r="BB95" s="180"/>
      <c r="BC95" s="172"/>
      <c r="BD95" s="172"/>
      <c r="BE95" s="142">
        <v>3.8</v>
      </c>
      <c r="BF95" s="171"/>
      <c r="BG95" s="183" t="s">
        <v>223</v>
      </c>
      <c r="BH95" s="57"/>
      <c r="BI95" s="170"/>
      <c r="BJ95" s="169"/>
      <c r="BK95" s="181"/>
      <c r="BL95" s="36">
        <f>VLOOKUP($AP95,'[1]V1 V2'!$B$5:$BW$1894,74,0)</f>
        <v>0</v>
      </c>
      <c r="BM95" s="36" t="str">
        <f>IF('[1]V1 V2'!X94="","",'[1]V1 V2'!X94)</f>
        <v/>
      </c>
    </row>
    <row r="96" spans="1:65" ht="16" thickBot="1" x14ac:dyDescent="0.4">
      <c r="A96">
        <v>1</v>
      </c>
      <c r="B96" s="167"/>
      <c r="C96" s="167"/>
      <c r="D96" s="132"/>
      <c r="E96" s="36"/>
      <c r="F96" s="168"/>
      <c r="G96" s="169"/>
      <c r="H96" s="170"/>
      <c r="I96" s="168"/>
      <c r="J96" s="56"/>
      <c r="K96" s="171"/>
      <c r="L96" s="142"/>
      <c r="M96" s="172"/>
      <c r="N96" s="173"/>
      <c r="O96" s="174"/>
      <c r="P96" s="175"/>
      <c r="Q96" s="176"/>
      <c r="R96" s="176"/>
      <c r="S96" s="175"/>
      <c r="T96" s="173"/>
      <c r="U96" s="62">
        <v>-345</v>
      </c>
      <c r="V96" s="177" t="s">
        <v>89</v>
      </c>
      <c r="W96" s="177" t="s">
        <v>89</v>
      </c>
      <c r="X96" s="177"/>
      <c r="Y96" s="177"/>
      <c r="Z96" s="178">
        <v>12</v>
      </c>
      <c r="AA96" s="179"/>
      <c r="AB96" s="21" t="s">
        <v>2</v>
      </c>
      <c r="AH96" s="63">
        <v>1</v>
      </c>
      <c r="AO96" s="10" t="s">
        <v>3</v>
      </c>
      <c r="AP96" s="179"/>
      <c r="AQ96" s="178">
        <v>12</v>
      </c>
      <c r="AR96" s="177"/>
      <c r="AS96" s="177"/>
      <c r="AT96" s="177" t="s">
        <v>89</v>
      </c>
      <c r="AU96" s="177" t="s">
        <v>89</v>
      </c>
      <c r="AV96" s="62">
        <v>-345</v>
      </c>
      <c r="AW96" s="173"/>
      <c r="AX96" s="175"/>
      <c r="AY96" s="176"/>
      <c r="AZ96" s="176"/>
      <c r="BA96" s="175"/>
      <c r="BB96" s="180"/>
      <c r="BC96" s="172"/>
      <c r="BD96" s="172"/>
      <c r="BE96" s="142"/>
      <c r="BF96" s="171"/>
      <c r="BG96" s="56"/>
      <c r="BH96" s="57"/>
      <c r="BI96" s="170"/>
      <c r="BJ96" s="169"/>
      <c r="BK96" s="181"/>
      <c r="BL96" s="36"/>
      <c r="BM96" s="36" t="str">
        <f>IF('[1]V1 V2'!X95="","",'[1]V1 V2'!X95)</f>
        <v/>
      </c>
    </row>
    <row r="97" spans="1:65" ht="16" thickBot="1" x14ac:dyDescent="0.4">
      <c r="A97">
        <v>1</v>
      </c>
      <c r="B97" s="167" t="s">
        <v>229</v>
      </c>
      <c r="C97" s="167"/>
      <c r="D97" s="132"/>
      <c r="E97" s="36">
        <f>VLOOKUP($B97,'[1]V1 V2'!$B$5:$BW$1894,74,0)</f>
        <v>0</v>
      </c>
      <c r="F97" s="168"/>
      <c r="G97" s="169"/>
      <c r="H97" s="170"/>
      <c r="I97" s="168"/>
      <c r="J97" s="56" t="s">
        <v>113</v>
      </c>
      <c r="K97" s="171"/>
      <c r="L97" s="142">
        <v>3.8</v>
      </c>
      <c r="M97" s="172"/>
      <c r="N97" s="173"/>
      <c r="O97" s="174"/>
      <c r="P97" s="175"/>
      <c r="Q97" s="182" t="s">
        <v>100</v>
      </c>
      <c r="R97" s="182" t="s">
        <v>29</v>
      </c>
      <c r="S97" s="175"/>
      <c r="T97" s="173" t="s">
        <v>30</v>
      </c>
      <c r="U97" s="62" t="s">
        <v>184</v>
      </c>
      <c r="V97" s="177" t="s">
        <v>230</v>
      </c>
      <c r="W97" s="177" t="s">
        <v>231</v>
      </c>
      <c r="X97" s="177">
        <v>34354.489000000001</v>
      </c>
      <c r="Y97" s="177">
        <v>449.46</v>
      </c>
      <c r="Z97" s="178"/>
      <c r="AA97" s="179" t="s">
        <v>229</v>
      </c>
      <c r="AB97" s="21" t="s">
        <v>2</v>
      </c>
      <c r="AH97" s="63">
        <v>1</v>
      </c>
      <c r="AO97" s="10" t="s">
        <v>3</v>
      </c>
      <c r="AP97" s="179" t="s">
        <v>232</v>
      </c>
      <c r="AQ97" s="178"/>
      <c r="AR97" s="177">
        <v>450.36</v>
      </c>
      <c r="AS97" s="177">
        <v>34353.589</v>
      </c>
      <c r="AT97" s="177" t="s">
        <v>233</v>
      </c>
      <c r="AU97" s="177" t="s">
        <v>234</v>
      </c>
      <c r="AV97" s="62"/>
      <c r="AW97" s="173" t="s">
        <v>30</v>
      </c>
      <c r="AX97" s="175"/>
      <c r="AY97" s="182" t="s">
        <v>29</v>
      </c>
      <c r="AZ97" s="182" t="s">
        <v>100</v>
      </c>
      <c r="BA97" s="175"/>
      <c r="BB97" s="180"/>
      <c r="BC97" s="172"/>
      <c r="BD97" s="172"/>
      <c r="BE97" s="142">
        <v>3.8</v>
      </c>
      <c r="BF97" s="171"/>
      <c r="BG97" s="183" t="s">
        <v>113</v>
      </c>
      <c r="BH97" s="57"/>
      <c r="BI97" s="170"/>
      <c r="BJ97" s="169"/>
      <c r="BK97" s="181"/>
      <c r="BL97" s="36">
        <f>VLOOKUP($AP97,'[1]V1 V2'!$B$5:$BW$1894,74,0)</f>
        <v>0</v>
      </c>
      <c r="BM97" s="36" t="str">
        <f>IF('[1]V1 V2'!X96="","",'[1]V1 V2'!X96)</f>
        <v/>
      </c>
    </row>
    <row r="98" spans="1:65" ht="16" thickBot="1" x14ac:dyDescent="0.4">
      <c r="A98">
        <v>1</v>
      </c>
      <c r="B98" s="167"/>
      <c r="C98" s="167"/>
      <c r="D98" s="132"/>
      <c r="E98" s="36"/>
      <c r="F98" s="168"/>
      <c r="G98" s="169"/>
      <c r="H98" s="170"/>
      <c r="I98" s="168"/>
      <c r="J98" s="56"/>
      <c r="K98" s="171"/>
      <c r="L98" s="142"/>
      <c r="M98" s="172"/>
      <c r="N98" s="173"/>
      <c r="O98" s="174"/>
      <c r="P98" s="175"/>
      <c r="Q98" s="176"/>
      <c r="R98" s="176"/>
      <c r="S98" s="175"/>
      <c r="T98" s="173"/>
      <c r="U98" s="62">
        <v>-345</v>
      </c>
      <c r="V98" s="177" t="s">
        <v>89</v>
      </c>
      <c r="W98" s="177" t="s">
        <v>89</v>
      </c>
      <c r="X98" s="177"/>
      <c r="Y98" s="177"/>
      <c r="Z98" s="178">
        <v>12</v>
      </c>
      <c r="AA98" s="179"/>
      <c r="AB98" s="21" t="s">
        <v>2</v>
      </c>
      <c r="AH98" s="63">
        <v>1</v>
      </c>
      <c r="AO98" s="10" t="s">
        <v>3</v>
      </c>
      <c r="AP98" s="179"/>
      <c r="AQ98" s="178">
        <v>12</v>
      </c>
      <c r="AR98" s="177"/>
      <c r="AS98" s="177"/>
      <c r="AT98" s="177" t="s">
        <v>89</v>
      </c>
      <c r="AU98" s="177" t="s">
        <v>89</v>
      </c>
      <c r="AV98" s="62">
        <v>-345</v>
      </c>
      <c r="AW98" s="173"/>
      <c r="AX98" s="175"/>
      <c r="AY98" s="176"/>
      <c r="AZ98" s="176"/>
      <c r="BA98" s="175"/>
      <c r="BB98" s="180"/>
      <c r="BC98" s="172"/>
      <c r="BD98" s="172"/>
      <c r="BE98" s="142"/>
      <c r="BF98" s="171"/>
      <c r="BG98" s="56"/>
      <c r="BH98" s="57"/>
      <c r="BI98" s="170"/>
      <c r="BJ98" s="169"/>
      <c r="BK98" s="181"/>
      <c r="BL98" s="36"/>
      <c r="BM98" s="36" t="str">
        <f>IF('[1]V1 V2'!X97="","",'[1]V1 V2'!X97)</f>
        <v/>
      </c>
    </row>
    <row r="99" spans="1:65" ht="16" thickBot="1" x14ac:dyDescent="0.4">
      <c r="A99">
        <v>1</v>
      </c>
      <c r="B99" s="167" t="s">
        <v>235</v>
      </c>
      <c r="C99" s="167"/>
      <c r="D99" s="132"/>
      <c r="E99" s="36">
        <f>VLOOKUP($B99,'[1]V1 V2'!$B$5:$BW$1894,74,0)</f>
        <v>0</v>
      </c>
      <c r="F99" s="168"/>
      <c r="G99" s="169"/>
      <c r="H99" s="170"/>
      <c r="I99" s="168"/>
      <c r="J99" s="56">
        <v>-4</v>
      </c>
      <c r="K99" s="171"/>
      <c r="L99" s="142">
        <v>3.8</v>
      </c>
      <c r="M99" s="172"/>
      <c r="N99" s="173"/>
      <c r="O99" s="174"/>
      <c r="P99" s="175"/>
      <c r="Q99" s="182" t="s">
        <v>100</v>
      </c>
      <c r="R99" s="182" t="s">
        <v>29</v>
      </c>
      <c r="S99" s="175"/>
      <c r="T99" s="173" t="s">
        <v>30</v>
      </c>
      <c r="U99" s="62" t="s">
        <v>184</v>
      </c>
      <c r="V99" s="177" t="s">
        <v>236</v>
      </c>
      <c r="W99" s="177" t="s">
        <v>237</v>
      </c>
      <c r="X99" s="177">
        <v>34342.489000000001</v>
      </c>
      <c r="Y99" s="177">
        <v>461.46</v>
      </c>
      <c r="Z99" s="178"/>
      <c r="AA99" s="179" t="s">
        <v>235</v>
      </c>
      <c r="AB99" s="21" t="s">
        <v>2</v>
      </c>
      <c r="AH99" s="63">
        <v>1</v>
      </c>
      <c r="AO99" s="10" t="s">
        <v>3</v>
      </c>
      <c r="AP99" s="179" t="s">
        <v>238</v>
      </c>
      <c r="AQ99" s="178"/>
      <c r="AR99" s="177">
        <v>462.36</v>
      </c>
      <c r="AS99" s="177">
        <v>34341.589</v>
      </c>
      <c r="AT99" s="177" t="s">
        <v>239</v>
      </c>
      <c r="AU99" s="177" t="s">
        <v>240</v>
      </c>
      <c r="AV99" s="62"/>
      <c r="AW99" s="173" t="s">
        <v>30</v>
      </c>
      <c r="AX99" s="175"/>
      <c r="AY99" s="182" t="s">
        <v>29</v>
      </c>
      <c r="AZ99" s="182" t="s">
        <v>100</v>
      </c>
      <c r="BA99" s="175"/>
      <c r="BB99" s="180"/>
      <c r="BC99" s="172"/>
      <c r="BD99" s="172"/>
      <c r="BE99" s="142">
        <v>3.8</v>
      </c>
      <c r="BF99" s="171"/>
      <c r="BG99" s="56">
        <v>-4</v>
      </c>
      <c r="BH99" s="57"/>
      <c r="BI99" s="170"/>
      <c r="BJ99" s="169"/>
      <c r="BK99" s="181"/>
      <c r="BL99" s="36">
        <f>VLOOKUP($AP99,'[1]V1 V2'!$B$5:$BW$1894,74,0)</f>
        <v>0</v>
      </c>
      <c r="BM99" s="36" t="str">
        <f>IF('[1]V1 V2'!X98="","",'[1]V1 V2'!X98)</f>
        <v/>
      </c>
    </row>
    <row r="100" spans="1:65" ht="16" thickBot="1" x14ac:dyDescent="0.4">
      <c r="A100">
        <v>1</v>
      </c>
      <c r="B100" s="167"/>
      <c r="C100" s="167"/>
      <c r="D100" s="132"/>
      <c r="E100" s="36"/>
      <c r="F100" s="168"/>
      <c r="G100" s="169"/>
      <c r="H100" s="170"/>
      <c r="I100" s="168"/>
      <c r="J100" s="56"/>
      <c r="K100" s="171"/>
      <c r="L100" s="142"/>
      <c r="M100" s="172"/>
      <c r="N100" s="173"/>
      <c r="O100" s="174"/>
      <c r="P100" s="175"/>
      <c r="Q100" s="176"/>
      <c r="R100" s="176"/>
      <c r="S100" s="175"/>
      <c r="T100" s="173"/>
      <c r="U100" s="62">
        <v>-345</v>
      </c>
      <c r="V100" s="177" t="s">
        <v>89</v>
      </c>
      <c r="W100" s="177" t="s">
        <v>89</v>
      </c>
      <c r="X100" s="177"/>
      <c r="Y100" s="177"/>
      <c r="Z100" s="178">
        <v>12</v>
      </c>
      <c r="AA100" s="179"/>
      <c r="AB100" s="21" t="s">
        <v>2</v>
      </c>
      <c r="AH100" s="63">
        <v>1</v>
      </c>
      <c r="AO100" s="10" t="s">
        <v>3</v>
      </c>
      <c r="AP100" s="179"/>
      <c r="AQ100" s="178">
        <v>12</v>
      </c>
      <c r="AR100" s="177"/>
      <c r="AS100" s="177"/>
      <c r="AT100" s="177" t="s">
        <v>89</v>
      </c>
      <c r="AU100" s="177" t="s">
        <v>89</v>
      </c>
      <c r="AV100" s="62">
        <v>-345</v>
      </c>
      <c r="AW100" s="173"/>
      <c r="AX100" s="175"/>
      <c r="AY100" s="176"/>
      <c r="AZ100" s="176"/>
      <c r="BA100" s="175"/>
      <c r="BB100" s="180"/>
      <c r="BC100" s="172"/>
      <c r="BD100" s="172"/>
      <c r="BE100" s="142"/>
      <c r="BF100" s="171"/>
      <c r="BG100" s="56"/>
      <c r="BH100" s="57"/>
      <c r="BI100" s="170"/>
      <c r="BJ100" s="169"/>
      <c r="BK100" s="181"/>
      <c r="BL100" s="36"/>
      <c r="BM100" s="36" t="str">
        <f>IF('[1]V1 V2'!X99="","",'[1]V1 V2'!X99)</f>
        <v/>
      </c>
    </row>
    <row r="101" spans="1:65" ht="16" thickBot="1" x14ac:dyDescent="0.4">
      <c r="A101">
        <v>1</v>
      </c>
      <c r="B101" s="167" t="s">
        <v>241</v>
      </c>
      <c r="C101" s="167"/>
      <c r="D101" s="132"/>
      <c r="E101" s="36">
        <f>VLOOKUP($B101,'[1]V1 V2'!$B$5:$BW$1894,74,0)</f>
        <v>0</v>
      </c>
      <c r="F101" s="168"/>
      <c r="G101" s="169"/>
      <c r="H101" s="170"/>
      <c r="I101" s="168"/>
      <c r="J101" s="56">
        <v>-12</v>
      </c>
      <c r="K101" s="171"/>
      <c r="L101" s="142">
        <v>3.8</v>
      </c>
      <c r="M101" s="172"/>
      <c r="N101" s="173"/>
      <c r="O101" s="174"/>
      <c r="P101" s="175"/>
      <c r="Q101" s="182" t="s">
        <v>100</v>
      </c>
      <c r="R101" s="182" t="s">
        <v>29</v>
      </c>
      <c r="S101" s="175"/>
      <c r="T101" s="173" t="s">
        <v>30</v>
      </c>
      <c r="U101" s="62" t="s">
        <v>184</v>
      </c>
      <c r="V101" s="177" t="s">
        <v>242</v>
      </c>
      <c r="W101" s="177" t="s">
        <v>243</v>
      </c>
      <c r="X101" s="177">
        <v>34330.489000000001</v>
      </c>
      <c r="Y101" s="177">
        <v>473.46</v>
      </c>
      <c r="Z101" s="178"/>
      <c r="AA101" s="179" t="s">
        <v>241</v>
      </c>
      <c r="AB101" s="21" t="s">
        <v>2</v>
      </c>
      <c r="AH101" s="63">
        <v>1</v>
      </c>
      <c r="AO101" s="10" t="s">
        <v>3</v>
      </c>
      <c r="AP101" s="179" t="s">
        <v>244</v>
      </c>
      <c r="AQ101" s="178"/>
      <c r="AR101" s="177">
        <v>474.36</v>
      </c>
      <c r="AS101" s="177">
        <v>34329.589</v>
      </c>
      <c r="AT101" s="177" t="s">
        <v>245</v>
      </c>
      <c r="AU101" s="177" t="s">
        <v>246</v>
      </c>
      <c r="AV101" s="62"/>
      <c r="AW101" s="173" t="s">
        <v>30</v>
      </c>
      <c r="AX101" s="175"/>
      <c r="AY101" s="182" t="s">
        <v>29</v>
      </c>
      <c r="AZ101" s="182" t="s">
        <v>100</v>
      </c>
      <c r="BA101" s="175"/>
      <c r="BB101" s="180"/>
      <c r="BC101" s="172"/>
      <c r="BD101" s="172"/>
      <c r="BE101" s="142">
        <v>3.8</v>
      </c>
      <c r="BF101" s="171"/>
      <c r="BG101" s="56">
        <v>-12</v>
      </c>
      <c r="BH101" s="57"/>
      <c r="BI101" s="170"/>
      <c r="BJ101" s="169"/>
      <c r="BK101" s="181"/>
      <c r="BL101" s="36">
        <f>VLOOKUP($AP101,'[1]V1 V2'!$B$5:$BW$1894,74,0)</f>
        <v>0</v>
      </c>
      <c r="BM101" s="36" t="str">
        <f>IF('[1]V1 V2'!X100="","",'[1]V1 V2'!X100)</f>
        <v/>
      </c>
    </row>
    <row r="102" spans="1:65" ht="16" thickBot="1" x14ac:dyDescent="0.4">
      <c r="A102">
        <v>1</v>
      </c>
      <c r="B102" s="167"/>
      <c r="C102" s="167"/>
      <c r="D102" s="132"/>
      <c r="E102" s="36"/>
      <c r="F102" s="168"/>
      <c r="G102" s="169"/>
      <c r="H102" s="170"/>
      <c r="I102" s="168"/>
      <c r="J102" s="56"/>
      <c r="K102" s="171"/>
      <c r="L102" s="142"/>
      <c r="M102" s="172"/>
      <c r="N102" s="173"/>
      <c r="O102" s="174"/>
      <c r="P102" s="175"/>
      <c r="Q102" s="176"/>
      <c r="R102" s="176"/>
      <c r="S102" s="175"/>
      <c r="T102" s="173"/>
      <c r="U102" s="62">
        <v>-345</v>
      </c>
      <c r="V102" s="177" t="s">
        <v>89</v>
      </c>
      <c r="W102" s="177" t="s">
        <v>89</v>
      </c>
      <c r="X102" s="177"/>
      <c r="Y102" s="177"/>
      <c r="Z102" s="178">
        <v>12</v>
      </c>
      <c r="AA102" s="179"/>
      <c r="AB102" s="21" t="s">
        <v>2</v>
      </c>
      <c r="AH102" s="63">
        <v>1</v>
      </c>
      <c r="AO102" s="10" t="s">
        <v>3</v>
      </c>
      <c r="AP102" s="179"/>
      <c r="AQ102" s="178">
        <v>12</v>
      </c>
      <c r="AR102" s="177"/>
      <c r="AS102" s="177"/>
      <c r="AT102" s="177" t="s">
        <v>89</v>
      </c>
      <c r="AU102" s="177" t="s">
        <v>89</v>
      </c>
      <c r="AV102" s="62">
        <v>-345</v>
      </c>
      <c r="AW102" s="173"/>
      <c r="AX102" s="175"/>
      <c r="AY102" s="176"/>
      <c r="AZ102" s="176"/>
      <c r="BA102" s="175"/>
      <c r="BB102" s="180"/>
      <c r="BC102" s="172"/>
      <c r="BD102" s="172"/>
      <c r="BE102" s="142"/>
      <c r="BF102" s="171"/>
      <c r="BG102" s="56"/>
      <c r="BH102" s="57"/>
      <c r="BI102" s="170"/>
      <c r="BJ102" s="169"/>
      <c r="BK102" s="181"/>
      <c r="BL102" s="36"/>
      <c r="BM102" s="36" t="str">
        <f>IF('[1]V1 V2'!X101="","",'[1]V1 V2'!X101)</f>
        <v/>
      </c>
    </row>
    <row r="103" spans="1:65" ht="16" thickBot="1" x14ac:dyDescent="0.4">
      <c r="A103">
        <v>1</v>
      </c>
      <c r="B103" s="167" t="s">
        <v>247</v>
      </c>
      <c r="C103" s="167"/>
      <c r="D103" s="132"/>
      <c r="E103" s="36">
        <f>VLOOKUP($B103,'[1]V1 V2'!$B$5:$BW$1894,74,0)</f>
        <v>0</v>
      </c>
      <c r="F103" s="168"/>
      <c r="G103" s="169"/>
      <c r="H103" s="170"/>
      <c r="I103" s="168"/>
      <c r="J103" s="56">
        <v>-20</v>
      </c>
      <c r="K103" s="171"/>
      <c r="L103" s="142">
        <v>3.8</v>
      </c>
      <c r="M103" s="172"/>
      <c r="N103" s="173"/>
      <c r="O103" s="174"/>
      <c r="P103" s="175"/>
      <c r="Q103" s="182" t="s">
        <v>100</v>
      </c>
      <c r="R103" s="182" t="s">
        <v>29</v>
      </c>
      <c r="S103" s="175"/>
      <c r="T103" s="173" t="s">
        <v>30</v>
      </c>
      <c r="U103" s="62" t="s">
        <v>184</v>
      </c>
      <c r="V103" s="177" t="s">
        <v>248</v>
      </c>
      <c r="W103" s="177" t="s">
        <v>249</v>
      </c>
      <c r="X103" s="177">
        <v>34318.489000000001</v>
      </c>
      <c r="Y103" s="177">
        <v>485.46</v>
      </c>
      <c r="Z103" s="178"/>
      <c r="AA103" s="179" t="s">
        <v>247</v>
      </c>
      <c r="AB103" s="21" t="s">
        <v>2</v>
      </c>
      <c r="AH103" s="63">
        <v>1</v>
      </c>
      <c r="AO103" s="10" t="s">
        <v>3</v>
      </c>
      <c r="AP103" s="179" t="s">
        <v>250</v>
      </c>
      <c r="AQ103" s="178"/>
      <c r="AR103" s="177">
        <v>486.36</v>
      </c>
      <c r="AS103" s="177">
        <v>34317.589</v>
      </c>
      <c r="AT103" s="177" t="s">
        <v>251</v>
      </c>
      <c r="AU103" s="177" t="s">
        <v>252</v>
      </c>
      <c r="AV103" s="62"/>
      <c r="AW103" s="173" t="s">
        <v>30</v>
      </c>
      <c r="AX103" s="175"/>
      <c r="AY103" s="182" t="s">
        <v>29</v>
      </c>
      <c r="AZ103" s="182" t="s">
        <v>100</v>
      </c>
      <c r="BA103" s="175"/>
      <c r="BB103" s="180"/>
      <c r="BC103" s="172"/>
      <c r="BD103" s="172"/>
      <c r="BE103" s="142">
        <v>3.8</v>
      </c>
      <c r="BF103" s="171"/>
      <c r="BG103" s="56">
        <v>-20</v>
      </c>
      <c r="BH103" s="57"/>
      <c r="BI103" s="170"/>
      <c r="BJ103" s="169"/>
      <c r="BK103" s="181"/>
      <c r="BL103" s="36">
        <f>VLOOKUP($AP103,'[1]V1 V2'!$B$5:$BW$1894,74,0)</f>
        <v>0</v>
      </c>
      <c r="BM103" s="36" t="str">
        <f>IF('[1]V1 V2'!X102="","",'[1]V1 V2'!X102)</f>
        <v/>
      </c>
    </row>
    <row r="104" spans="1:65" ht="16" thickBot="1" x14ac:dyDescent="0.4">
      <c r="A104">
        <v>1</v>
      </c>
      <c r="B104" s="167"/>
      <c r="C104" s="167"/>
      <c r="D104" s="132"/>
      <c r="E104" s="36"/>
      <c r="F104" s="168"/>
      <c r="G104" s="169"/>
      <c r="H104" s="170"/>
      <c r="I104" s="168"/>
      <c r="J104" s="56"/>
      <c r="K104" s="171"/>
      <c r="L104" s="142"/>
      <c r="M104" s="172"/>
      <c r="N104" s="173"/>
      <c r="O104" s="174"/>
      <c r="P104" s="175"/>
      <c r="Q104" s="176"/>
      <c r="R104" s="176"/>
      <c r="S104" s="175"/>
      <c r="T104" s="173"/>
      <c r="U104" s="62">
        <v>-345</v>
      </c>
      <c r="V104" s="177" t="s">
        <v>89</v>
      </c>
      <c r="W104" s="177" t="s">
        <v>89</v>
      </c>
      <c r="X104" s="177"/>
      <c r="Y104" s="177"/>
      <c r="Z104" s="178">
        <v>12</v>
      </c>
      <c r="AA104" s="179"/>
      <c r="AB104" s="21" t="s">
        <v>2</v>
      </c>
      <c r="AH104" s="63">
        <v>1</v>
      </c>
      <c r="AO104" s="10" t="s">
        <v>3</v>
      </c>
      <c r="AP104" s="179"/>
      <c r="AQ104" s="178">
        <v>12</v>
      </c>
      <c r="AR104" s="177"/>
      <c r="AS104" s="177"/>
      <c r="AT104" s="177" t="s">
        <v>89</v>
      </c>
      <c r="AU104" s="177" t="s">
        <v>89</v>
      </c>
      <c r="AV104" s="62">
        <v>-345</v>
      </c>
      <c r="AW104" s="173"/>
      <c r="AX104" s="175"/>
      <c r="AY104" s="176"/>
      <c r="AZ104" s="176"/>
      <c r="BA104" s="175"/>
      <c r="BB104" s="180"/>
      <c r="BC104" s="172"/>
      <c r="BD104" s="172"/>
      <c r="BE104" s="142"/>
      <c r="BF104" s="171"/>
      <c r="BG104" s="56"/>
      <c r="BH104" s="57"/>
      <c r="BI104" s="170"/>
      <c r="BJ104" s="169"/>
      <c r="BK104" s="181"/>
      <c r="BL104" s="36"/>
      <c r="BM104" s="36" t="str">
        <f>IF('[1]V1 V2'!X103="","",'[1]V1 V2'!X103)</f>
        <v/>
      </c>
    </row>
    <row r="105" spans="1:65" ht="16" thickBot="1" x14ac:dyDescent="0.4">
      <c r="A105">
        <v>1</v>
      </c>
      <c r="B105" s="167" t="s">
        <v>253</v>
      </c>
      <c r="C105" s="167"/>
      <c r="D105" s="132"/>
      <c r="E105" s="36">
        <f>VLOOKUP($B105,'[1]V1 V2'!$B$5:$BW$1894,74,0)</f>
        <v>0</v>
      </c>
      <c r="F105" s="184"/>
      <c r="G105" s="185"/>
      <c r="H105" s="186"/>
      <c r="I105" s="184"/>
      <c r="J105" s="135">
        <v>-12</v>
      </c>
      <c r="K105" s="187"/>
      <c r="L105" s="142">
        <v>3.8</v>
      </c>
      <c r="M105" s="188"/>
      <c r="N105" s="189"/>
      <c r="O105" s="190"/>
      <c r="P105" s="191"/>
      <c r="Q105" s="182" t="s">
        <v>100</v>
      </c>
      <c r="R105" s="182" t="s">
        <v>29</v>
      </c>
      <c r="S105" s="191"/>
      <c r="T105" s="173" t="s">
        <v>30</v>
      </c>
      <c r="U105" s="62" t="s">
        <v>184</v>
      </c>
      <c r="V105" s="177" t="s">
        <v>254</v>
      </c>
      <c r="W105" s="177" t="s">
        <v>255</v>
      </c>
      <c r="X105" s="177">
        <v>34306.489000000001</v>
      </c>
      <c r="Y105" s="177">
        <v>497.46</v>
      </c>
      <c r="Z105" s="178"/>
      <c r="AA105" s="179" t="s">
        <v>253</v>
      </c>
      <c r="AB105" s="21" t="s">
        <v>2</v>
      </c>
      <c r="AH105" s="63">
        <v>1</v>
      </c>
      <c r="AO105" s="10" t="s">
        <v>3</v>
      </c>
      <c r="AP105" s="179" t="s">
        <v>256</v>
      </c>
      <c r="AQ105" s="178"/>
      <c r="AR105" s="177">
        <v>498.36</v>
      </c>
      <c r="AS105" s="177">
        <v>34305.589</v>
      </c>
      <c r="AT105" s="177" t="s">
        <v>257</v>
      </c>
      <c r="AU105" s="177" t="s">
        <v>258</v>
      </c>
      <c r="AV105" s="62"/>
      <c r="AW105" s="173" t="s">
        <v>30</v>
      </c>
      <c r="AX105" s="191"/>
      <c r="AY105" s="182" t="s">
        <v>29</v>
      </c>
      <c r="AZ105" s="182" t="s">
        <v>100</v>
      </c>
      <c r="BA105" s="191"/>
      <c r="BB105" s="192"/>
      <c r="BC105" s="188"/>
      <c r="BD105" s="188"/>
      <c r="BE105" s="142">
        <v>3.8</v>
      </c>
      <c r="BF105" s="187"/>
      <c r="BG105" s="135">
        <v>-12</v>
      </c>
      <c r="BH105" s="136"/>
      <c r="BI105" s="186"/>
      <c r="BJ105" s="185"/>
      <c r="BK105" s="193"/>
      <c r="BL105" s="36">
        <f>VLOOKUP($AP105,'[1]V1 V2'!$B$5:$BW$1894,74,0)</f>
        <v>0</v>
      </c>
      <c r="BM105" s="36" t="str">
        <f>IF('[1]V1 V2'!X104="","",'[1]V1 V2'!X104)</f>
        <v/>
      </c>
    </row>
    <row r="106" spans="1:65" ht="16" thickBot="1" x14ac:dyDescent="0.4">
      <c r="A106">
        <v>1</v>
      </c>
      <c r="B106" s="167"/>
      <c r="C106" s="167"/>
      <c r="D106" s="132"/>
      <c r="E106" s="36"/>
      <c r="F106" s="194"/>
      <c r="G106" s="195"/>
      <c r="H106" s="196"/>
      <c r="I106" s="168"/>
      <c r="J106" s="56"/>
      <c r="K106" s="171"/>
      <c r="L106" s="142"/>
      <c r="M106" s="172"/>
      <c r="N106" s="173"/>
      <c r="O106" s="174"/>
      <c r="P106" s="175"/>
      <c r="Q106" s="176"/>
      <c r="R106" s="176"/>
      <c r="S106" s="175"/>
      <c r="T106" s="173"/>
      <c r="U106" s="62">
        <v>-345</v>
      </c>
      <c r="V106" s="177" t="s">
        <v>89</v>
      </c>
      <c r="W106" s="177" t="s">
        <v>89</v>
      </c>
      <c r="X106" s="177"/>
      <c r="Y106" s="177"/>
      <c r="Z106" s="178">
        <v>12</v>
      </c>
      <c r="AA106" s="179"/>
      <c r="AB106" s="21" t="s">
        <v>2</v>
      </c>
      <c r="AH106" s="63">
        <v>1</v>
      </c>
      <c r="AO106" s="10" t="s">
        <v>3</v>
      </c>
      <c r="AP106" s="179"/>
      <c r="AQ106" s="178">
        <v>12</v>
      </c>
      <c r="AR106" s="177"/>
      <c r="AS106" s="177"/>
      <c r="AT106" s="177" t="s">
        <v>89</v>
      </c>
      <c r="AU106" s="177" t="s">
        <v>89</v>
      </c>
      <c r="AV106" s="62">
        <v>-345</v>
      </c>
      <c r="AW106" s="173"/>
      <c r="AX106" s="175"/>
      <c r="AY106" s="176"/>
      <c r="AZ106" s="176"/>
      <c r="BA106" s="175"/>
      <c r="BB106" s="180"/>
      <c r="BC106" s="172"/>
      <c r="BD106" s="172"/>
      <c r="BE106" s="142"/>
      <c r="BF106" s="171"/>
      <c r="BG106" s="56"/>
      <c r="BH106" s="57"/>
      <c r="BI106" s="196"/>
      <c r="BJ106" s="195"/>
      <c r="BK106" s="197"/>
      <c r="BL106" s="36"/>
      <c r="BM106" s="36" t="str">
        <f>IF('[1]V1 V2'!X105="","",'[1]V1 V2'!X105)</f>
        <v/>
      </c>
    </row>
    <row r="107" spans="1:65" ht="16" thickBot="1" x14ac:dyDescent="0.4">
      <c r="A107">
        <v>1</v>
      </c>
      <c r="B107" s="167" t="s">
        <v>259</v>
      </c>
      <c r="C107" s="167"/>
      <c r="D107" s="132"/>
      <c r="E107" s="36">
        <f>VLOOKUP($B107,'[1]V1 V2'!$B$5:$BW$1894,74,0)</f>
        <v>0</v>
      </c>
      <c r="F107" s="194"/>
      <c r="G107" s="195"/>
      <c r="H107" s="196"/>
      <c r="I107" s="168"/>
      <c r="J107" s="56">
        <v>-4</v>
      </c>
      <c r="K107" s="171"/>
      <c r="L107" s="142">
        <v>3.8</v>
      </c>
      <c r="M107" s="172"/>
      <c r="N107" s="173"/>
      <c r="O107" s="174"/>
      <c r="P107" s="175"/>
      <c r="Q107" s="182" t="s">
        <v>100</v>
      </c>
      <c r="R107" s="182" t="s">
        <v>29</v>
      </c>
      <c r="S107" s="175"/>
      <c r="T107" s="173" t="s">
        <v>30</v>
      </c>
      <c r="U107" s="62" t="s">
        <v>184</v>
      </c>
      <c r="V107" s="177" t="s">
        <v>260</v>
      </c>
      <c r="W107" s="177" t="s">
        <v>261</v>
      </c>
      <c r="X107" s="177">
        <v>34294.489000000001</v>
      </c>
      <c r="Y107" s="177">
        <v>509.46</v>
      </c>
      <c r="Z107" s="178"/>
      <c r="AA107" s="179" t="s">
        <v>259</v>
      </c>
      <c r="AB107" s="21" t="s">
        <v>2</v>
      </c>
      <c r="AH107" s="63">
        <v>1</v>
      </c>
      <c r="AO107" s="10" t="s">
        <v>3</v>
      </c>
      <c r="AP107" s="179" t="s">
        <v>262</v>
      </c>
      <c r="AQ107" s="178"/>
      <c r="AR107" s="177">
        <v>510.36</v>
      </c>
      <c r="AS107" s="177">
        <v>34293.589</v>
      </c>
      <c r="AT107" s="177" t="s">
        <v>263</v>
      </c>
      <c r="AU107" s="177" t="s">
        <v>264</v>
      </c>
      <c r="AV107" s="62"/>
      <c r="AW107" s="173" t="s">
        <v>30</v>
      </c>
      <c r="AX107" s="175"/>
      <c r="AY107" s="182" t="s">
        <v>29</v>
      </c>
      <c r="AZ107" s="182" t="s">
        <v>100</v>
      </c>
      <c r="BA107" s="175"/>
      <c r="BB107" s="180"/>
      <c r="BC107" s="172"/>
      <c r="BD107" s="172"/>
      <c r="BE107" s="142">
        <v>3.8</v>
      </c>
      <c r="BF107" s="171"/>
      <c r="BG107" s="56">
        <v>-4</v>
      </c>
      <c r="BH107" s="57"/>
      <c r="BI107" s="196"/>
      <c r="BJ107" s="195"/>
      <c r="BK107" s="197"/>
      <c r="BL107" s="36">
        <f>VLOOKUP($AP107,'[1]V1 V2'!$B$5:$BW$1894,74,0)</f>
        <v>0</v>
      </c>
      <c r="BM107" s="36" t="str">
        <f>IF('[1]V1 V2'!X106="","",'[1]V1 V2'!X106)</f>
        <v/>
      </c>
    </row>
    <row r="108" spans="1:65" ht="16" thickBot="1" x14ac:dyDescent="0.4">
      <c r="A108">
        <v>1</v>
      </c>
      <c r="B108" s="167"/>
      <c r="C108" s="167"/>
      <c r="D108" s="132"/>
      <c r="E108" s="36"/>
      <c r="F108" s="194"/>
      <c r="G108" s="195"/>
      <c r="H108" s="196"/>
      <c r="I108" s="168"/>
      <c r="J108" s="56"/>
      <c r="K108" s="171"/>
      <c r="L108" s="142"/>
      <c r="M108" s="172"/>
      <c r="N108" s="173"/>
      <c r="O108" s="174"/>
      <c r="P108" s="175"/>
      <c r="Q108" s="176"/>
      <c r="R108" s="176"/>
      <c r="S108" s="175"/>
      <c r="T108" s="173"/>
      <c r="U108" s="62">
        <v>-345</v>
      </c>
      <c r="V108" s="177" t="s">
        <v>89</v>
      </c>
      <c r="W108" s="177" t="s">
        <v>89</v>
      </c>
      <c r="X108" s="177"/>
      <c r="Y108" s="177"/>
      <c r="Z108" s="178">
        <v>12</v>
      </c>
      <c r="AA108" s="179"/>
      <c r="AB108" s="21" t="s">
        <v>2</v>
      </c>
      <c r="AH108" s="63">
        <v>1</v>
      </c>
      <c r="AO108" s="10" t="s">
        <v>3</v>
      </c>
      <c r="AP108" s="179"/>
      <c r="AQ108" s="178">
        <v>12</v>
      </c>
      <c r="AR108" s="177"/>
      <c r="AS108" s="177"/>
      <c r="AT108" s="177" t="s">
        <v>89</v>
      </c>
      <c r="AU108" s="177" t="s">
        <v>89</v>
      </c>
      <c r="AV108" s="62">
        <v>-345</v>
      </c>
      <c r="AW108" s="173"/>
      <c r="AX108" s="175"/>
      <c r="AY108" s="176"/>
      <c r="AZ108" s="176"/>
      <c r="BA108" s="175"/>
      <c r="BB108" s="180"/>
      <c r="BC108" s="172"/>
      <c r="BD108" s="172"/>
      <c r="BE108" s="142"/>
      <c r="BF108" s="171"/>
      <c r="BG108" s="56"/>
      <c r="BH108" s="57"/>
      <c r="BI108" s="196"/>
      <c r="BJ108" s="195"/>
      <c r="BK108" s="197"/>
      <c r="BL108" s="36"/>
      <c r="BM108" s="36" t="str">
        <f>IF('[1]V1 V2'!X107="","",'[1]V1 V2'!X107)</f>
        <v/>
      </c>
    </row>
    <row r="109" spans="1:65" ht="16" thickBot="1" x14ac:dyDescent="0.4">
      <c r="A109">
        <v>1</v>
      </c>
      <c r="B109" s="167" t="s">
        <v>265</v>
      </c>
      <c r="C109" s="167"/>
      <c r="D109" s="132"/>
      <c r="E109" s="36">
        <f>VLOOKUP($B109,'[1]V1 V2'!$B$5:$BW$1894,74,0)</f>
        <v>0</v>
      </c>
      <c r="F109" s="194"/>
      <c r="G109" s="195"/>
      <c r="H109" s="196"/>
      <c r="I109" s="168"/>
      <c r="J109" s="56" t="s">
        <v>113</v>
      </c>
      <c r="K109" s="171"/>
      <c r="L109" s="142">
        <v>3.8</v>
      </c>
      <c r="M109" s="172"/>
      <c r="N109" s="173"/>
      <c r="O109" s="174"/>
      <c r="P109" s="175"/>
      <c r="Q109" s="182" t="s">
        <v>100</v>
      </c>
      <c r="R109" s="182" t="s">
        <v>29</v>
      </c>
      <c r="S109" s="175"/>
      <c r="T109" s="173" t="s">
        <v>30</v>
      </c>
      <c r="U109" s="62" t="s">
        <v>184</v>
      </c>
      <c r="V109" s="177" t="s">
        <v>266</v>
      </c>
      <c r="W109" s="177" t="s">
        <v>267</v>
      </c>
      <c r="X109" s="177">
        <v>34282.489000000001</v>
      </c>
      <c r="Y109" s="177">
        <v>521.46</v>
      </c>
      <c r="Z109" s="178"/>
      <c r="AA109" s="179" t="s">
        <v>265</v>
      </c>
      <c r="AB109" s="21" t="s">
        <v>2</v>
      </c>
      <c r="AH109" s="63">
        <v>1</v>
      </c>
      <c r="AO109" s="10" t="s">
        <v>3</v>
      </c>
      <c r="AP109" s="179" t="s">
        <v>268</v>
      </c>
      <c r="AQ109" s="178"/>
      <c r="AR109" s="177">
        <v>522.36</v>
      </c>
      <c r="AS109" s="177">
        <v>34281.589</v>
      </c>
      <c r="AT109" s="177" t="s">
        <v>269</v>
      </c>
      <c r="AU109" s="177" t="s">
        <v>270</v>
      </c>
      <c r="AV109" s="62"/>
      <c r="AW109" s="173" t="s">
        <v>30</v>
      </c>
      <c r="AX109" s="175"/>
      <c r="AY109" s="182" t="s">
        <v>29</v>
      </c>
      <c r="AZ109" s="182" t="s">
        <v>100</v>
      </c>
      <c r="BA109" s="175"/>
      <c r="BB109" s="180"/>
      <c r="BC109" s="172"/>
      <c r="BD109" s="172"/>
      <c r="BE109" s="142">
        <v>3.8</v>
      </c>
      <c r="BF109" s="171"/>
      <c r="BG109" s="183" t="s">
        <v>113</v>
      </c>
      <c r="BH109" s="57"/>
      <c r="BI109" s="196"/>
      <c r="BJ109" s="195"/>
      <c r="BK109" s="197"/>
      <c r="BL109" s="36">
        <f>VLOOKUP($AP109,'[1]V1 V2'!$B$5:$BW$1894,74,0)</f>
        <v>0</v>
      </c>
      <c r="BM109" s="36" t="str">
        <f>IF('[1]V1 V2'!X108="","",'[1]V1 V2'!X108)</f>
        <v/>
      </c>
    </row>
    <row r="110" spans="1:65" ht="16" thickBot="1" x14ac:dyDescent="0.4">
      <c r="A110">
        <v>1</v>
      </c>
      <c r="B110" s="167"/>
      <c r="C110" s="167"/>
      <c r="D110" s="132"/>
      <c r="E110" s="36"/>
      <c r="F110" s="194"/>
      <c r="G110" s="195"/>
      <c r="H110" s="196"/>
      <c r="I110" s="168"/>
      <c r="J110" s="56"/>
      <c r="K110" s="171"/>
      <c r="L110" s="142"/>
      <c r="M110" s="172"/>
      <c r="N110" s="173"/>
      <c r="O110" s="174"/>
      <c r="P110" s="175"/>
      <c r="Q110" s="176"/>
      <c r="R110" s="176"/>
      <c r="S110" s="175"/>
      <c r="T110" s="173"/>
      <c r="U110" s="62">
        <v>-345</v>
      </c>
      <c r="V110" s="177" t="s">
        <v>89</v>
      </c>
      <c r="W110" s="177" t="s">
        <v>89</v>
      </c>
      <c r="X110" s="177"/>
      <c r="Y110" s="177"/>
      <c r="Z110" s="178">
        <v>12</v>
      </c>
      <c r="AA110" s="179"/>
      <c r="AB110" s="21" t="s">
        <v>2</v>
      </c>
      <c r="AH110" s="63">
        <v>1</v>
      </c>
      <c r="AO110" s="10" t="s">
        <v>3</v>
      </c>
      <c r="AP110" s="179"/>
      <c r="AQ110" s="178">
        <v>12</v>
      </c>
      <c r="AR110" s="177"/>
      <c r="AS110" s="177"/>
      <c r="AT110" s="177" t="s">
        <v>89</v>
      </c>
      <c r="AU110" s="177" t="s">
        <v>89</v>
      </c>
      <c r="AV110" s="62">
        <v>-345</v>
      </c>
      <c r="AW110" s="173"/>
      <c r="AX110" s="175"/>
      <c r="AY110" s="176"/>
      <c r="AZ110" s="176"/>
      <c r="BA110" s="175"/>
      <c r="BB110" s="180"/>
      <c r="BC110" s="172"/>
      <c r="BD110" s="172"/>
      <c r="BE110" s="142"/>
      <c r="BF110" s="171"/>
      <c r="BG110" s="56"/>
      <c r="BH110" s="57"/>
      <c r="BI110" s="196"/>
      <c r="BJ110" s="195"/>
      <c r="BK110" s="197"/>
      <c r="BL110" s="36"/>
      <c r="BM110" s="36" t="str">
        <f>IF('[1]V1 V2'!X109="","",'[1]V1 V2'!X109)</f>
        <v/>
      </c>
    </row>
    <row r="111" spans="1:65" ht="16" thickBot="1" x14ac:dyDescent="0.4">
      <c r="A111">
        <v>1</v>
      </c>
      <c r="B111" s="167" t="s">
        <v>271</v>
      </c>
      <c r="C111" s="167"/>
      <c r="D111" s="132"/>
      <c r="E111" s="36">
        <f>VLOOKUP($B111,'[1]V1 V2'!$B$5:$BW$1894,74,0)</f>
        <v>0</v>
      </c>
      <c r="F111" s="194"/>
      <c r="G111" s="195"/>
      <c r="H111" s="196"/>
      <c r="I111" s="168"/>
      <c r="J111" s="56" t="s">
        <v>120</v>
      </c>
      <c r="K111" s="171"/>
      <c r="L111" s="142">
        <v>3.8</v>
      </c>
      <c r="M111" s="172"/>
      <c r="N111" s="173"/>
      <c r="O111" s="174"/>
      <c r="P111" s="175"/>
      <c r="Q111" s="182" t="s">
        <v>100</v>
      </c>
      <c r="R111" s="182" t="s">
        <v>29</v>
      </c>
      <c r="S111" s="175"/>
      <c r="T111" s="173" t="s">
        <v>30</v>
      </c>
      <c r="U111" s="62" t="s">
        <v>184</v>
      </c>
      <c r="V111" s="177" t="s">
        <v>272</v>
      </c>
      <c r="W111" s="177" t="s">
        <v>273</v>
      </c>
      <c r="X111" s="177">
        <v>34270.489000000001</v>
      </c>
      <c r="Y111" s="177">
        <v>533.46</v>
      </c>
      <c r="Z111" s="178"/>
      <c r="AA111" s="179" t="s">
        <v>271</v>
      </c>
      <c r="AB111" s="21" t="s">
        <v>2</v>
      </c>
      <c r="AH111" s="63">
        <v>1</v>
      </c>
      <c r="AO111" s="10" t="s">
        <v>3</v>
      </c>
      <c r="AP111" s="179" t="s">
        <v>274</v>
      </c>
      <c r="AQ111" s="178"/>
      <c r="AR111" s="177">
        <v>534.36</v>
      </c>
      <c r="AS111" s="177">
        <v>34269.589</v>
      </c>
      <c r="AT111" s="177" t="s">
        <v>275</v>
      </c>
      <c r="AU111" s="177" t="s">
        <v>276</v>
      </c>
      <c r="AV111" s="62"/>
      <c r="AW111" s="173" t="s">
        <v>30</v>
      </c>
      <c r="AX111" s="175"/>
      <c r="AY111" s="182" t="s">
        <v>29</v>
      </c>
      <c r="AZ111" s="182" t="s">
        <v>100</v>
      </c>
      <c r="BA111" s="175"/>
      <c r="BB111" s="180"/>
      <c r="BC111" s="172"/>
      <c r="BD111" s="172"/>
      <c r="BE111" s="142">
        <v>3.8</v>
      </c>
      <c r="BF111" s="171"/>
      <c r="BG111" s="183" t="s">
        <v>120</v>
      </c>
      <c r="BH111" s="57"/>
      <c r="BI111" s="196"/>
      <c r="BJ111" s="195"/>
      <c r="BK111" s="197"/>
      <c r="BL111" s="36">
        <f>VLOOKUP($AP111,'[1]V1 V2'!$B$5:$BW$1894,74,0)</f>
        <v>0</v>
      </c>
      <c r="BM111" s="36" t="str">
        <f>IF('[1]V1 V2'!X110="","",'[1]V1 V2'!X110)</f>
        <v/>
      </c>
    </row>
    <row r="112" spans="1:65" ht="16" thickBot="1" x14ac:dyDescent="0.4">
      <c r="A112">
        <v>1</v>
      </c>
      <c r="B112" s="167"/>
      <c r="C112" s="167"/>
      <c r="D112" s="132"/>
      <c r="E112" s="36"/>
      <c r="F112" s="194"/>
      <c r="G112" s="195"/>
      <c r="H112" s="196"/>
      <c r="I112" s="168"/>
      <c r="J112" s="56"/>
      <c r="K112" s="171"/>
      <c r="L112" s="142"/>
      <c r="M112" s="172"/>
      <c r="N112" s="173"/>
      <c r="O112" s="174"/>
      <c r="P112" s="175"/>
      <c r="Q112" s="176"/>
      <c r="R112" s="176"/>
      <c r="S112" s="175"/>
      <c r="T112" s="173"/>
      <c r="U112" s="62">
        <v>-345</v>
      </c>
      <c r="V112" s="177" t="s">
        <v>89</v>
      </c>
      <c r="W112" s="177" t="s">
        <v>89</v>
      </c>
      <c r="X112" s="177"/>
      <c r="Y112" s="177"/>
      <c r="Z112" s="178">
        <v>12</v>
      </c>
      <c r="AA112" s="179"/>
      <c r="AB112" s="21" t="s">
        <v>2</v>
      </c>
      <c r="AH112" s="63">
        <v>1</v>
      </c>
      <c r="AO112" s="10" t="s">
        <v>3</v>
      </c>
      <c r="AP112" s="179"/>
      <c r="AQ112" s="178">
        <v>12</v>
      </c>
      <c r="AR112" s="177"/>
      <c r="AS112" s="177"/>
      <c r="AT112" s="177" t="s">
        <v>89</v>
      </c>
      <c r="AU112" s="177" t="s">
        <v>89</v>
      </c>
      <c r="AV112" s="62">
        <v>-345</v>
      </c>
      <c r="AW112" s="173"/>
      <c r="AX112" s="175"/>
      <c r="AY112" s="176"/>
      <c r="AZ112" s="176"/>
      <c r="BA112" s="175"/>
      <c r="BB112" s="180"/>
      <c r="BC112" s="172"/>
      <c r="BD112" s="172"/>
      <c r="BE112" s="142"/>
      <c r="BF112" s="171"/>
      <c r="BG112" s="56"/>
      <c r="BH112" s="57"/>
      <c r="BI112" s="196"/>
      <c r="BJ112" s="195"/>
      <c r="BK112" s="197"/>
      <c r="BL112" s="36"/>
      <c r="BM112" s="36" t="str">
        <f>IF('[1]V1 V2'!X111="","",'[1]V1 V2'!X111)</f>
        <v/>
      </c>
    </row>
    <row r="113" spans="1:65" ht="16" thickBot="1" x14ac:dyDescent="0.4">
      <c r="A113">
        <v>1</v>
      </c>
      <c r="B113" s="167" t="s">
        <v>277</v>
      </c>
      <c r="C113" s="167"/>
      <c r="D113" s="132"/>
      <c r="E113" s="36">
        <f>VLOOKUP($B113,'[1]V1 V2'!$B$5:$BW$1894,74,0)</f>
        <v>0</v>
      </c>
      <c r="F113" s="194"/>
      <c r="G113" s="195"/>
      <c r="H113" s="196"/>
      <c r="I113" s="168"/>
      <c r="J113" s="56" t="s">
        <v>127</v>
      </c>
      <c r="K113" s="171"/>
      <c r="L113" s="142">
        <v>3.8</v>
      </c>
      <c r="M113" s="172"/>
      <c r="N113" s="173"/>
      <c r="O113" s="174"/>
      <c r="P113" s="175"/>
      <c r="Q113" s="182" t="s">
        <v>100</v>
      </c>
      <c r="R113" s="182" t="s">
        <v>29</v>
      </c>
      <c r="S113" s="175"/>
      <c r="T113" s="173" t="s">
        <v>30</v>
      </c>
      <c r="U113" s="62" t="s">
        <v>184</v>
      </c>
      <c r="V113" s="177" t="s">
        <v>278</v>
      </c>
      <c r="W113" s="177" t="s">
        <v>279</v>
      </c>
      <c r="X113" s="177">
        <v>34258.489000000001</v>
      </c>
      <c r="Y113" s="177">
        <v>545.46</v>
      </c>
      <c r="Z113" s="178"/>
      <c r="AA113" s="179" t="s">
        <v>277</v>
      </c>
      <c r="AB113" s="21" t="s">
        <v>2</v>
      </c>
      <c r="AH113" s="63">
        <v>1</v>
      </c>
      <c r="AO113" s="10" t="s">
        <v>3</v>
      </c>
      <c r="AP113" s="179" t="s">
        <v>280</v>
      </c>
      <c r="AQ113" s="178"/>
      <c r="AR113" s="177">
        <v>546.36</v>
      </c>
      <c r="AS113" s="177">
        <v>34257.589</v>
      </c>
      <c r="AT113" s="177" t="s">
        <v>281</v>
      </c>
      <c r="AU113" s="177" t="s">
        <v>282</v>
      </c>
      <c r="AV113" s="62"/>
      <c r="AW113" s="173" t="s">
        <v>30</v>
      </c>
      <c r="AX113" s="175"/>
      <c r="AY113" s="182" t="s">
        <v>29</v>
      </c>
      <c r="AZ113" s="182" t="s">
        <v>100</v>
      </c>
      <c r="BA113" s="175"/>
      <c r="BB113" s="180"/>
      <c r="BC113" s="172"/>
      <c r="BD113" s="172"/>
      <c r="BE113" s="142">
        <v>3.8</v>
      </c>
      <c r="BF113" s="171"/>
      <c r="BG113" s="183" t="s">
        <v>127</v>
      </c>
      <c r="BH113" s="57"/>
      <c r="BI113" s="196"/>
      <c r="BJ113" s="195"/>
      <c r="BK113" s="197"/>
      <c r="BL113" s="36">
        <f>VLOOKUP($AP113,'[1]V1 V2'!$B$5:$BW$1894,74,0)</f>
        <v>0</v>
      </c>
      <c r="BM113" s="36" t="str">
        <f>IF('[1]V1 V2'!X112="","",'[1]V1 V2'!X112)</f>
        <v/>
      </c>
    </row>
    <row r="114" spans="1:65" ht="16" thickBot="1" x14ac:dyDescent="0.4">
      <c r="A114">
        <v>1</v>
      </c>
      <c r="B114" s="167"/>
      <c r="C114" s="167"/>
      <c r="D114" s="132"/>
      <c r="E114" s="36"/>
      <c r="F114" s="194"/>
      <c r="G114" s="195"/>
      <c r="H114" s="196"/>
      <c r="I114" s="168"/>
      <c r="J114" s="56"/>
      <c r="K114" s="171"/>
      <c r="L114" s="142"/>
      <c r="M114" s="172"/>
      <c r="N114" s="173"/>
      <c r="O114" s="174"/>
      <c r="P114" s="175"/>
      <c r="Q114" s="176"/>
      <c r="R114" s="176"/>
      <c r="S114" s="175"/>
      <c r="T114" s="173"/>
      <c r="U114" s="62">
        <v>-345</v>
      </c>
      <c r="V114" s="177" t="s">
        <v>89</v>
      </c>
      <c r="W114" s="177" t="s">
        <v>89</v>
      </c>
      <c r="X114" s="177"/>
      <c r="Y114" s="177"/>
      <c r="Z114" s="178">
        <v>12</v>
      </c>
      <c r="AA114" s="179"/>
      <c r="AB114" s="21" t="s">
        <v>2</v>
      </c>
      <c r="AH114" s="63">
        <v>1</v>
      </c>
      <c r="AO114" s="10" t="s">
        <v>3</v>
      </c>
      <c r="AP114" s="179"/>
      <c r="AQ114" s="178">
        <v>12</v>
      </c>
      <c r="AR114" s="177"/>
      <c r="AS114" s="177"/>
      <c r="AT114" s="177" t="s">
        <v>89</v>
      </c>
      <c r="AU114" s="177" t="s">
        <v>89</v>
      </c>
      <c r="AV114" s="62">
        <v>-345</v>
      </c>
      <c r="AW114" s="173"/>
      <c r="AX114" s="175"/>
      <c r="AY114" s="176"/>
      <c r="AZ114" s="176"/>
      <c r="BA114" s="175"/>
      <c r="BB114" s="180"/>
      <c r="BC114" s="172"/>
      <c r="BD114" s="172"/>
      <c r="BE114" s="142"/>
      <c r="BF114" s="171"/>
      <c r="BG114" s="56"/>
      <c r="BH114" s="57"/>
      <c r="BI114" s="196"/>
      <c r="BJ114" s="195"/>
      <c r="BK114" s="197"/>
      <c r="BL114" s="36"/>
      <c r="BM114" s="36" t="str">
        <f>IF('[1]V1 V2'!X113="","",'[1]V1 V2'!X113)</f>
        <v/>
      </c>
    </row>
    <row r="115" spans="1:65" ht="16" thickBot="1" x14ac:dyDescent="0.4">
      <c r="A115">
        <v>1</v>
      </c>
      <c r="B115" s="167" t="s">
        <v>283</v>
      </c>
      <c r="C115" s="167"/>
      <c r="D115" s="132"/>
      <c r="E115" s="36">
        <f>VLOOKUP($B115,'[1]V1 V2'!$B$5:$BW$1894,74,0)</f>
        <v>0</v>
      </c>
      <c r="F115" s="194"/>
      <c r="G115" s="195"/>
      <c r="H115" s="196"/>
      <c r="I115" s="168"/>
      <c r="J115" s="56" t="s">
        <v>120</v>
      </c>
      <c r="K115" s="171"/>
      <c r="L115" s="142">
        <v>3.8</v>
      </c>
      <c r="M115" s="172"/>
      <c r="N115" s="173"/>
      <c r="O115" s="174"/>
      <c r="P115" s="175"/>
      <c r="Q115" s="182" t="s">
        <v>100</v>
      </c>
      <c r="R115" s="182" t="s">
        <v>29</v>
      </c>
      <c r="S115" s="175"/>
      <c r="T115" s="173" t="s">
        <v>30</v>
      </c>
      <c r="U115" s="62" t="s">
        <v>184</v>
      </c>
      <c r="V115" s="177" t="s">
        <v>284</v>
      </c>
      <c r="W115" s="177" t="s">
        <v>285</v>
      </c>
      <c r="X115" s="177">
        <v>34246.489000000001</v>
      </c>
      <c r="Y115" s="177">
        <v>557.46</v>
      </c>
      <c r="Z115" s="178"/>
      <c r="AA115" s="179" t="s">
        <v>283</v>
      </c>
      <c r="AB115" s="21" t="s">
        <v>2</v>
      </c>
      <c r="AH115" s="63">
        <v>1</v>
      </c>
      <c r="AO115" s="10" t="s">
        <v>3</v>
      </c>
      <c r="AP115" s="179" t="s">
        <v>286</v>
      </c>
      <c r="AQ115" s="178"/>
      <c r="AR115" s="177">
        <v>558.86</v>
      </c>
      <c r="AS115" s="177">
        <v>34245.089</v>
      </c>
      <c r="AT115" s="177" t="s">
        <v>287</v>
      </c>
      <c r="AU115" s="177" t="s">
        <v>288</v>
      </c>
      <c r="AV115" s="62"/>
      <c r="AW115" s="173" t="s">
        <v>30</v>
      </c>
      <c r="AX115" s="175"/>
      <c r="AY115" s="182" t="s">
        <v>29</v>
      </c>
      <c r="AZ115" s="182" t="s">
        <v>100</v>
      </c>
      <c r="BA115" s="175"/>
      <c r="BB115" s="180"/>
      <c r="BC115" s="172"/>
      <c r="BD115" s="172"/>
      <c r="BE115" s="142">
        <v>3.8</v>
      </c>
      <c r="BF115" s="171"/>
      <c r="BG115" s="183" t="s">
        <v>120</v>
      </c>
      <c r="BH115" s="57"/>
      <c r="BI115" s="196"/>
      <c r="BJ115" s="195"/>
      <c r="BK115" s="197"/>
      <c r="BL115" s="36">
        <f>VLOOKUP($AP115,'[1]V1 V2'!$B$5:$BW$1894,74,0)</f>
        <v>0</v>
      </c>
      <c r="BM115" s="36" t="str">
        <f>IF('[1]V1 V2'!X114="","",'[1]V1 V2'!X114)</f>
        <v/>
      </c>
    </row>
    <row r="116" spans="1:65" ht="16" thickBot="1" x14ac:dyDescent="0.4">
      <c r="A116">
        <v>1</v>
      </c>
      <c r="B116" s="167"/>
      <c r="C116" s="167"/>
      <c r="D116" s="132"/>
      <c r="E116" s="36"/>
      <c r="F116" s="194"/>
      <c r="G116" s="195"/>
      <c r="H116" s="196"/>
      <c r="I116" s="168"/>
      <c r="J116" s="56"/>
      <c r="K116" s="171"/>
      <c r="L116" s="142"/>
      <c r="M116" s="172"/>
      <c r="N116" s="173"/>
      <c r="O116" s="174"/>
      <c r="P116" s="175"/>
      <c r="Q116" s="176"/>
      <c r="R116" s="176"/>
      <c r="S116" s="175"/>
      <c r="T116" s="173"/>
      <c r="U116" s="62">
        <v>-345</v>
      </c>
      <c r="V116" s="177" t="s">
        <v>89</v>
      </c>
      <c r="W116" s="177" t="s">
        <v>89</v>
      </c>
      <c r="X116" s="177"/>
      <c r="Y116" s="177"/>
      <c r="Z116" s="178">
        <v>12</v>
      </c>
      <c r="AA116" s="179"/>
      <c r="AB116" s="21" t="s">
        <v>2</v>
      </c>
      <c r="AH116" s="63">
        <v>1</v>
      </c>
      <c r="AO116" s="10" t="s">
        <v>3</v>
      </c>
      <c r="AP116" s="179"/>
      <c r="AQ116" s="178">
        <v>12</v>
      </c>
      <c r="AR116" s="177"/>
      <c r="AS116" s="177"/>
      <c r="AT116" s="177" t="s">
        <v>89</v>
      </c>
      <c r="AU116" s="177" t="s">
        <v>89</v>
      </c>
      <c r="AV116" s="62">
        <v>-345</v>
      </c>
      <c r="AW116" s="173"/>
      <c r="AX116" s="175"/>
      <c r="AY116" s="176"/>
      <c r="AZ116" s="176"/>
      <c r="BA116" s="175"/>
      <c r="BB116" s="180"/>
      <c r="BC116" s="172"/>
      <c r="BD116" s="172"/>
      <c r="BE116" s="142"/>
      <c r="BF116" s="171"/>
      <c r="BG116" s="56"/>
      <c r="BH116" s="57"/>
      <c r="BI116" s="196"/>
      <c r="BJ116" s="195"/>
      <c r="BK116" s="197"/>
      <c r="BL116" s="36"/>
      <c r="BM116" s="36" t="str">
        <f>IF('[1]V1 V2'!X115="","",'[1]V1 V2'!X115)</f>
        <v/>
      </c>
    </row>
    <row r="117" spans="1:65" ht="16" thickBot="1" x14ac:dyDescent="0.4">
      <c r="A117">
        <v>1</v>
      </c>
      <c r="B117" s="167" t="s">
        <v>289</v>
      </c>
      <c r="C117" s="167"/>
      <c r="D117" s="132"/>
      <c r="E117" s="36">
        <f>VLOOKUP($B117,'[1]V1 V2'!$B$5:$BW$1894,74,0)</f>
        <v>0</v>
      </c>
      <c r="F117" s="194"/>
      <c r="G117" s="195"/>
      <c r="H117" s="196"/>
      <c r="I117" s="168"/>
      <c r="J117" s="56" t="s">
        <v>113</v>
      </c>
      <c r="K117" s="171"/>
      <c r="L117" s="142">
        <v>3.8</v>
      </c>
      <c r="M117" s="172"/>
      <c r="N117" s="173"/>
      <c r="O117" s="174"/>
      <c r="P117" s="175"/>
      <c r="Q117" s="182" t="s">
        <v>100</v>
      </c>
      <c r="R117" s="182" t="s">
        <v>29</v>
      </c>
      <c r="S117" s="175"/>
      <c r="T117" s="173" t="s">
        <v>30</v>
      </c>
      <c r="U117" s="62" t="s">
        <v>184</v>
      </c>
      <c r="V117" s="177" t="s">
        <v>290</v>
      </c>
      <c r="W117" s="177" t="s">
        <v>291</v>
      </c>
      <c r="X117" s="177">
        <v>34234.489000000001</v>
      </c>
      <c r="Y117" s="177">
        <v>569.46</v>
      </c>
      <c r="Z117" s="178"/>
      <c r="AA117" s="179" t="s">
        <v>289</v>
      </c>
      <c r="AB117" s="21" t="s">
        <v>2</v>
      </c>
      <c r="AH117" s="63">
        <v>1</v>
      </c>
      <c r="AO117" s="10" t="s">
        <v>3</v>
      </c>
      <c r="AP117" s="179" t="s">
        <v>292</v>
      </c>
      <c r="AQ117" s="178"/>
      <c r="AR117" s="177">
        <v>570.86</v>
      </c>
      <c r="AS117" s="177">
        <v>34233.089</v>
      </c>
      <c r="AT117" s="177" t="s">
        <v>293</v>
      </c>
      <c r="AU117" s="177" t="s">
        <v>294</v>
      </c>
      <c r="AV117" s="62"/>
      <c r="AW117" s="173" t="s">
        <v>30</v>
      </c>
      <c r="AX117" s="175"/>
      <c r="AY117" s="182" t="s">
        <v>29</v>
      </c>
      <c r="AZ117" s="182" t="s">
        <v>100</v>
      </c>
      <c r="BA117" s="175"/>
      <c r="BB117" s="180"/>
      <c r="BC117" s="172"/>
      <c r="BD117" s="172"/>
      <c r="BE117" s="142">
        <v>3.8</v>
      </c>
      <c r="BF117" s="171"/>
      <c r="BG117" s="183" t="s">
        <v>113</v>
      </c>
      <c r="BH117" s="57"/>
      <c r="BI117" s="196"/>
      <c r="BJ117" s="195"/>
      <c r="BK117" s="197"/>
      <c r="BL117" s="36">
        <f>VLOOKUP($AP117,'[1]V1 V2'!$B$5:$BW$1894,74,0)</f>
        <v>0</v>
      </c>
      <c r="BM117" s="36" t="str">
        <f>IF('[1]V1 V2'!X116="","",'[1]V1 V2'!X116)</f>
        <v/>
      </c>
    </row>
    <row r="118" spans="1:65" ht="16" thickBot="1" x14ac:dyDescent="0.4">
      <c r="A118">
        <v>1</v>
      </c>
      <c r="B118" s="167"/>
      <c r="C118" s="167"/>
      <c r="D118" s="132"/>
      <c r="E118" s="36"/>
      <c r="F118" s="194"/>
      <c r="G118" s="195"/>
      <c r="H118" s="196"/>
      <c r="I118" s="168"/>
      <c r="J118" s="56"/>
      <c r="K118" s="171"/>
      <c r="L118" s="142"/>
      <c r="M118" s="172"/>
      <c r="N118" s="173"/>
      <c r="O118" s="174"/>
      <c r="P118" s="175"/>
      <c r="Q118" s="176"/>
      <c r="R118" s="176"/>
      <c r="S118" s="175"/>
      <c r="T118" s="173"/>
      <c r="U118" s="62" t="s">
        <v>48</v>
      </c>
      <c r="V118" s="177" t="s">
        <v>89</v>
      </c>
      <c r="W118" s="177" t="s">
        <v>89</v>
      </c>
      <c r="X118" s="177"/>
      <c r="Y118" s="177"/>
      <c r="Z118" s="178">
        <v>12</v>
      </c>
      <c r="AA118" s="179"/>
      <c r="AB118" s="21" t="s">
        <v>2</v>
      </c>
      <c r="AH118" s="63">
        <v>1</v>
      </c>
      <c r="AO118" s="10" t="s">
        <v>3</v>
      </c>
      <c r="AP118" s="179"/>
      <c r="AQ118" s="178">
        <v>12</v>
      </c>
      <c r="AR118" s="177"/>
      <c r="AS118" s="177"/>
      <c r="AT118" s="177" t="s">
        <v>89</v>
      </c>
      <c r="AU118" s="177" t="s">
        <v>89</v>
      </c>
      <c r="AV118" s="62" t="s">
        <v>48</v>
      </c>
      <c r="AW118" s="173"/>
      <c r="AX118" s="175"/>
      <c r="AY118" s="176"/>
      <c r="AZ118" s="176"/>
      <c r="BA118" s="175"/>
      <c r="BB118" s="180"/>
      <c r="BC118" s="172"/>
      <c r="BD118" s="172"/>
      <c r="BE118" s="142"/>
      <c r="BF118" s="171"/>
      <c r="BG118" s="56"/>
      <c r="BH118" s="57"/>
      <c r="BI118" s="196"/>
      <c r="BJ118" s="195"/>
      <c r="BK118" s="197"/>
      <c r="BL118" s="36"/>
      <c r="BM118" s="36" t="str">
        <f>IF('[1]V1 V2'!X117="","",'[1]V1 V2'!X117)</f>
        <v/>
      </c>
    </row>
    <row r="119" spans="1:65" ht="16" thickBot="1" x14ac:dyDescent="0.4">
      <c r="A119">
        <v>1</v>
      </c>
      <c r="B119" s="167" t="s">
        <v>295</v>
      </c>
      <c r="C119" s="167"/>
      <c r="D119" s="132"/>
      <c r="E119" s="36">
        <f>VLOOKUP($B119,'[1]V1 V2'!$B$5:$BW$1894,74,0)</f>
        <v>0</v>
      </c>
      <c r="F119" s="194"/>
      <c r="G119" s="195"/>
      <c r="H119" s="196"/>
      <c r="I119" s="168"/>
      <c r="J119" s="56">
        <v>-4</v>
      </c>
      <c r="K119" s="171"/>
      <c r="L119" s="142">
        <v>3.8</v>
      </c>
      <c r="M119" s="172"/>
      <c r="N119" s="173"/>
      <c r="O119" s="174"/>
      <c r="P119" s="175"/>
      <c r="Q119" s="182" t="s">
        <v>140</v>
      </c>
      <c r="R119" s="182" t="s">
        <v>29</v>
      </c>
      <c r="S119" s="175"/>
      <c r="T119" s="173" t="s">
        <v>141</v>
      </c>
      <c r="U119" s="62" t="s">
        <v>184</v>
      </c>
      <c r="V119" s="177" t="s">
        <v>296</v>
      </c>
      <c r="W119" s="177" t="s">
        <v>297</v>
      </c>
      <c r="X119" s="177">
        <v>34222.489000000001</v>
      </c>
      <c r="Y119" s="177">
        <v>581.46</v>
      </c>
      <c r="Z119" s="178"/>
      <c r="AA119" s="179" t="s">
        <v>295</v>
      </c>
      <c r="AB119" s="21" t="s">
        <v>2</v>
      </c>
      <c r="AH119" s="63">
        <v>1</v>
      </c>
      <c r="AO119" s="10" t="s">
        <v>3</v>
      </c>
      <c r="AP119" s="179" t="s">
        <v>298</v>
      </c>
      <c r="AQ119" s="178"/>
      <c r="AR119" s="177">
        <v>582.86</v>
      </c>
      <c r="AS119" s="177">
        <v>34221.089</v>
      </c>
      <c r="AT119" s="177" t="s">
        <v>299</v>
      </c>
      <c r="AU119" s="177" t="s">
        <v>300</v>
      </c>
      <c r="AV119" s="62"/>
      <c r="AW119" s="173" t="s">
        <v>141</v>
      </c>
      <c r="AX119" s="175"/>
      <c r="AY119" s="182" t="s">
        <v>29</v>
      </c>
      <c r="AZ119" s="182" t="s">
        <v>140</v>
      </c>
      <c r="BA119" s="175"/>
      <c r="BB119" s="180"/>
      <c r="BC119" s="172"/>
      <c r="BD119" s="172"/>
      <c r="BE119" s="142">
        <v>3.8</v>
      </c>
      <c r="BF119" s="171"/>
      <c r="BG119" s="56">
        <v>-4</v>
      </c>
      <c r="BH119" s="57"/>
      <c r="BI119" s="196"/>
      <c r="BJ119" s="195"/>
      <c r="BK119" s="197"/>
      <c r="BL119" s="36">
        <f>VLOOKUP($AP119,'[1]V1 V2'!$B$5:$BW$1894,74,0)</f>
        <v>0</v>
      </c>
      <c r="BM119" s="36" t="str">
        <f>IF('[1]V1 V2'!X118="","",'[1]V1 V2'!X118)</f>
        <v/>
      </c>
    </row>
    <row r="120" spans="1:65" ht="16" thickBot="1" x14ac:dyDescent="0.4">
      <c r="A120">
        <v>1</v>
      </c>
      <c r="B120" s="167"/>
      <c r="C120" s="167"/>
      <c r="D120" s="132"/>
      <c r="E120" s="36"/>
      <c r="F120" s="194"/>
      <c r="G120" s="195"/>
      <c r="H120" s="196"/>
      <c r="I120" s="168"/>
      <c r="J120" s="56"/>
      <c r="K120" s="171"/>
      <c r="L120" s="142"/>
      <c r="M120" s="172"/>
      <c r="N120" s="173"/>
      <c r="O120" s="174"/>
      <c r="P120" s="175"/>
      <c r="Q120" s="176"/>
      <c r="R120" s="176"/>
      <c r="S120" s="175"/>
      <c r="T120" s="173"/>
      <c r="U120" s="62" t="s">
        <v>48</v>
      </c>
      <c r="V120" s="177" t="s">
        <v>89</v>
      </c>
      <c r="W120" s="177" t="s">
        <v>89</v>
      </c>
      <c r="X120" s="177"/>
      <c r="Y120" s="177"/>
      <c r="Z120" s="178">
        <v>12</v>
      </c>
      <c r="AA120" s="179"/>
      <c r="AB120" s="21" t="s">
        <v>2</v>
      </c>
      <c r="AH120" s="63">
        <v>1</v>
      </c>
      <c r="AO120" s="10" t="s">
        <v>3</v>
      </c>
      <c r="AP120" s="179"/>
      <c r="AQ120" s="178">
        <v>12</v>
      </c>
      <c r="AR120" s="177"/>
      <c r="AS120" s="177"/>
      <c r="AT120" s="177" t="s">
        <v>89</v>
      </c>
      <c r="AU120" s="177" t="s">
        <v>89</v>
      </c>
      <c r="AV120" s="62" t="s">
        <v>48</v>
      </c>
      <c r="AW120" s="173"/>
      <c r="AX120" s="175"/>
      <c r="AY120" s="176"/>
      <c r="AZ120" s="176"/>
      <c r="BA120" s="175"/>
      <c r="BB120" s="180"/>
      <c r="BC120" s="172"/>
      <c r="BD120" s="172"/>
      <c r="BE120" s="142"/>
      <c r="BF120" s="171"/>
      <c r="BG120" s="56"/>
      <c r="BH120" s="57"/>
      <c r="BI120" s="196"/>
      <c r="BJ120" s="195"/>
      <c r="BK120" s="197"/>
      <c r="BL120" s="36"/>
      <c r="BM120" s="36" t="str">
        <f>IF('[1]V1 V2'!X119="","",'[1]V1 V2'!X119)</f>
        <v/>
      </c>
    </row>
    <row r="121" spans="1:65" ht="16" thickBot="1" x14ac:dyDescent="0.4">
      <c r="A121">
        <v>1</v>
      </c>
      <c r="B121" s="167" t="s">
        <v>301</v>
      </c>
      <c r="C121" s="167"/>
      <c r="D121" s="132"/>
      <c r="E121" s="36">
        <f>VLOOKUP($B121,'[1]V1 V2'!$B$5:$BW$1894,74,0)</f>
        <v>0</v>
      </c>
      <c r="F121" s="194"/>
      <c r="G121" s="195"/>
      <c r="H121" s="196"/>
      <c r="I121" s="168"/>
      <c r="J121" s="56">
        <v>-12</v>
      </c>
      <c r="K121" s="171"/>
      <c r="L121" s="142">
        <v>3.8</v>
      </c>
      <c r="M121" s="172"/>
      <c r="N121" s="173"/>
      <c r="O121" s="174"/>
      <c r="P121" s="175"/>
      <c r="Q121" s="182" t="s">
        <v>100</v>
      </c>
      <c r="R121" s="182" t="s">
        <v>29</v>
      </c>
      <c r="S121" s="175"/>
      <c r="T121" s="173" t="s">
        <v>30</v>
      </c>
      <c r="U121" s="62" t="s">
        <v>184</v>
      </c>
      <c r="V121" s="177" t="s">
        <v>302</v>
      </c>
      <c r="W121" s="177" t="s">
        <v>303</v>
      </c>
      <c r="X121" s="177">
        <v>34210.489000000001</v>
      </c>
      <c r="Y121" s="177">
        <v>593.46</v>
      </c>
      <c r="Z121" s="178"/>
      <c r="AA121" s="179" t="s">
        <v>301</v>
      </c>
      <c r="AB121" s="21" t="s">
        <v>2</v>
      </c>
      <c r="AH121" s="63">
        <v>1</v>
      </c>
      <c r="AO121" s="10" t="s">
        <v>3</v>
      </c>
      <c r="AP121" s="179" t="s">
        <v>304</v>
      </c>
      <c r="AQ121" s="178"/>
      <c r="AR121" s="177">
        <v>594.86</v>
      </c>
      <c r="AS121" s="177">
        <v>34209.089</v>
      </c>
      <c r="AT121" s="177" t="s">
        <v>305</v>
      </c>
      <c r="AU121" s="177" t="s">
        <v>306</v>
      </c>
      <c r="AV121" s="62"/>
      <c r="AW121" s="173" t="s">
        <v>30</v>
      </c>
      <c r="AX121" s="175"/>
      <c r="AY121" s="182" t="s">
        <v>29</v>
      </c>
      <c r="AZ121" s="182" t="s">
        <v>100</v>
      </c>
      <c r="BA121" s="175"/>
      <c r="BB121" s="180"/>
      <c r="BC121" s="172"/>
      <c r="BD121" s="172"/>
      <c r="BE121" s="142">
        <v>3.8</v>
      </c>
      <c r="BF121" s="171"/>
      <c r="BG121" s="56">
        <v>-12</v>
      </c>
      <c r="BH121" s="57"/>
      <c r="BI121" s="196"/>
      <c r="BJ121" s="195"/>
      <c r="BK121" s="197"/>
      <c r="BL121" s="36">
        <f>VLOOKUP($AP121,'[1]V1 V2'!$B$5:$BW$1894,74,0)</f>
        <v>0</v>
      </c>
      <c r="BM121" s="36" t="str">
        <f>IF('[1]V1 V2'!X120="","",'[1]V1 V2'!X120)</f>
        <v/>
      </c>
    </row>
    <row r="122" spans="1:65" ht="16" thickBot="1" x14ac:dyDescent="0.4">
      <c r="A122">
        <v>1</v>
      </c>
      <c r="B122" s="167"/>
      <c r="C122" s="167"/>
      <c r="D122" s="132"/>
      <c r="E122" s="36"/>
      <c r="F122" s="168"/>
      <c r="G122" s="169"/>
      <c r="H122" s="170"/>
      <c r="I122" s="168"/>
      <c r="J122" s="56"/>
      <c r="K122" s="171"/>
      <c r="L122" s="142"/>
      <c r="M122" s="172"/>
      <c r="N122" s="173"/>
      <c r="O122" s="174"/>
      <c r="P122" s="175"/>
      <c r="Q122" s="176"/>
      <c r="R122" s="176"/>
      <c r="S122" s="175"/>
      <c r="T122" s="173"/>
      <c r="U122" s="62" t="s">
        <v>48</v>
      </c>
      <c r="V122" s="177" t="s">
        <v>89</v>
      </c>
      <c r="W122" s="177" t="s">
        <v>89</v>
      </c>
      <c r="X122" s="177"/>
      <c r="Y122" s="177"/>
      <c r="Z122" s="178">
        <v>12</v>
      </c>
      <c r="AA122" s="179"/>
      <c r="AB122" s="21" t="s">
        <v>2</v>
      </c>
      <c r="AH122" s="63">
        <v>1</v>
      </c>
      <c r="AO122" s="10" t="s">
        <v>3</v>
      </c>
      <c r="AP122" s="179"/>
      <c r="AQ122" s="178">
        <v>12</v>
      </c>
      <c r="AR122" s="177"/>
      <c r="AS122" s="177"/>
      <c r="AT122" s="177" t="s">
        <v>89</v>
      </c>
      <c r="AU122" s="177" t="s">
        <v>89</v>
      </c>
      <c r="AV122" s="62" t="s">
        <v>48</v>
      </c>
      <c r="AW122" s="173"/>
      <c r="AX122" s="175"/>
      <c r="AY122" s="176"/>
      <c r="AZ122" s="176"/>
      <c r="BA122" s="175"/>
      <c r="BB122" s="180"/>
      <c r="BC122" s="172"/>
      <c r="BD122" s="172"/>
      <c r="BE122" s="142"/>
      <c r="BF122" s="171"/>
      <c r="BG122" s="56"/>
      <c r="BH122" s="57"/>
      <c r="BI122" s="170"/>
      <c r="BJ122" s="169"/>
      <c r="BK122" s="181"/>
      <c r="BL122" s="36"/>
      <c r="BM122" s="36" t="str">
        <f>IF('[1]V1 V2'!X121="","",'[1]V1 V2'!X121)</f>
        <v/>
      </c>
    </row>
    <row r="123" spans="1:65" ht="16" thickBot="1" x14ac:dyDescent="0.4">
      <c r="A123">
        <v>1</v>
      </c>
      <c r="B123" s="167" t="s">
        <v>307</v>
      </c>
      <c r="C123" s="167"/>
      <c r="D123" s="132"/>
      <c r="E123" s="36">
        <f>VLOOKUP($B123,'[1]V1 V2'!$B$5:$BW$1894,74,0)</f>
        <v>0</v>
      </c>
      <c r="F123" s="168"/>
      <c r="G123" s="169"/>
      <c r="H123" s="170"/>
      <c r="I123" s="168"/>
      <c r="J123" s="56">
        <v>-20</v>
      </c>
      <c r="K123" s="171"/>
      <c r="L123" s="142">
        <v>3.8</v>
      </c>
      <c r="M123" s="172"/>
      <c r="N123" s="173"/>
      <c r="O123" s="174"/>
      <c r="P123" s="175"/>
      <c r="Q123" s="182" t="s">
        <v>100</v>
      </c>
      <c r="R123" s="182" t="s">
        <v>29</v>
      </c>
      <c r="S123" s="175"/>
      <c r="T123" s="173" t="s">
        <v>30</v>
      </c>
      <c r="U123" s="62" t="s">
        <v>184</v>
      </c>
      <c r="V123" s="177" t="s">
        <v>308</v>
      </c>
      <c r="W123" s="177" t="s">
        <v>309</v>
      </c>
      <c r="X123" s="177">
        <v>34198.489000000001</v>
      </c>
      <c r="Y123" s="177">
        <v>605.46</v>
      </c>
      <c r="Z123" s="178"/>
      <c r="AA123" s="179" t="s">
        <v>307</v>
      </c>
      <c r="AB123" s="21" t="s">
        <v>2</v>
      </c>
      <c r="AH123" s="63">
        <v>1</v>
      </c>
      <c r="AO123" s="10" t="s">
        <v>3</v>
      </c>
      <c r="AP123" s="179" t="s">
        <v>310</v>
      </c>
      <c r="AQ123" s="178"/>
      <c r="AR123" s="177">
        <v>606.86</v>
      </c>
      <c r="AS123" s="177">
        <v>34197.089</v>
      </c>
      <c r="AT123" s="177" t="s">
        <v>311</v>
      </c>
      <c r="AU123" s="177" t="s">
        <v>312</v>
      </c>
      <c r="AV123" s="62"/>
      <c r="AW123" s="173" t="s">
        <v>30</v>
      </c>
      <c r="AX123" s="175"/>
      <c r="AY123" s="182" t="s">
        <v>29</v>
      </c>
      <c r="AZ123" s="182" t="s">
        <v>100</v>
      </c>
      <c r="BA123" s="175"/>
      <c r="BB123" s="180"/>
      <c r="BC123" s="172"/>
      <c r="BD123" s="172"/>
      <c r="BE123" s="142">
        <v>3.8</v>
      </c>
      <c r="BF123" s="171"/>
      <c r="BG123" s="56">
        <v>-20</v>
      </c>
      <c r="BH123" s="57"/>
      <c r="BI123" s="170"/>
      <c r="BJ123" s="169"/>
      <c r="BK123" s="181"/>
      <c r="BL123" s="36">
        <f>VLOOKUP($AP123,'[1]V1 V2'!$B$5:$BW$1894,74,0)</f>
        <v>0</v>
      </c>
      <c r="BM123" s="36" t="str">
        <f>IF('[1]V1 V2'!X122="","",'[1]V1 V2'!X122)</f>
        <v/>
      </c>
    </row>
    <row r="124" spans="1:65" ht="16" thickBot="1" x14ac:dyDescent="0.4">
      <c r="A124">
        <v>1</v>
      </c>
      <c r="B124" s="167"/>
      <c r="C124" s="167"/>
      <c r="D124" s="132"/>
      <c r="E124" s="36"/>
      <c r="F124" s="168"/>
      <c r="G124" s="169"/>
      <c r="H124" s="170"/>
      <c r="I124" s="168"/>
      <c r="J124" s="56"/>
      <c r="K124" s="171"/>
      <c r="L124" s="142"/>
      <c r="M124" s="172"/>
      <c r="N124" s="173"/>
      <c r="O124" s="174"/>
      <c r="P124" s="175"/>
      <c r="Q124" s="176"/>
      <c r="R124" s="176"/>
      <c r="S124" s="175"/>
      <c r="T124" s="173"/>
      <c r="U124" s="62" t="s">
        <v>48</v>
      </c>
      <c r="V124" s="177" t="s">
        <v>89</v>
      </c>
      <c r="W124" s="177" t="s">
        <v>89</v>
      </c>
      <c r="X124" s="177"/>
      <c r="Y124" s="177"/>
      <c r="Z124" s="178">
        <v>12</v>
      </c>
      <c r="AA124" s="179"/>
      <c r="AB124" s="21" t="s">
        <v>2</v>
      </c>
      <c r="AH124" s="63">
        <v>1</v>
      </c>
      <c r="AO124" s="10" t="s">
        <v>3</v>
      </c>
      <c r="AP124" s="179"/>
      <c r="AQ124" s="178">
        <v>12</v>
      </c>
      <c r="AR124" s="177"/>
      <c r="AS124" s="177"/>
      <c r="AT124" s="177" t="s">
        <v>89</v>
      </c>
      <c r="AU124" s="177" t="s">
        <v>89</v>
      </c>
      <c r="AV124" s="62" t="s">
        <v>48</v>
      </c>
      <c r="AW124" s="173"/>
      <c r="AX124" s="175"/>
      <c r="AY124" s="176"/>
      <c r="AZ124" s="176"/>
      <c r="BA124" s="175"/>
      <c r="BB124" s="180"/>
      <c r="BC124" s="172"/>
      <c r="BD124" s="172"/>
      <c r="BE124" s="142"/>
      <c r="BF124" s="171"/>
      <c r="BG124" s="56"/>
      <c r="BH124" s="57"/>
      <c r="BI124" s="170"/>
      <c r="BJ124" s="169"/>
      <c r="BK124" s="181"/>
      <c r="BL124" s="36"/>
      <c r="BM124" s="36" t="str">
        <f>IF('[1]V1 V2'!X123="","",'[1]V1 V2'!X123)</f>
        <v/>
      </c>
    </row>
    <row r="125" spans="1:65" ht="16" thickBot="1" x14ac:dyDescent="0.4">
      <c r="A125">
        <v>1</v>
      </c>
      <c r="B125" s="167" t="s">
        <v>313</v>
      </c>
      <c r="C125" s="167"/>
      <c r="D125" s="132"/>
      <c r="E125" s="36">
        <f>VLOOKUP($B125,'[1]V1 V2'!$B$5:$BW$1894,74,0)</f>
        <v>0</v>
      </c>
      <c r="F125" s="168"/>
      <c r="G125" s="169"/>
      <c r="H125" s="170"/>
      <c r="I125" s="168"/>
      <c r="J125" s="56">
        <v>-12</v>
      </c>
      <c r="K125" s="171"/>
      <c r="L125" s="142">
        <v>3.8</v>
      </c>
      <c r="M125" s="172"/>
      <c r="N125" s="173"/>
      <c r="O125" s="174"/>
      <c r="P125" s="175"/>
      <c r="Q125" s="182" t="s">
        <v>100</v>
      </c>
      <c r="R125" s="182" t="s">
        <v>29</v>
      </c>
      <c r="S125" s="175"/>
      <c r="T125" s="173" t="s">
        <v>30</v>
      </c>
      <c r="U125" s="62" t="s">
        <v>184</v>
      </c>
      <c r="V125" s="177" t="s">
        <v>314</v>
      </c>
      <c r="W125" s="177" t="s">
        <v>315</v>
      </c>
      <c r="X125" s="177">
        <v>34186.489000000001</v>
      </c>
      <c r="Y125" s="177">
        <v>617.46</v>
      </c>
      <c r="Z125" s="178"/>
      <c r="AA125" s="179" t="s">
        <v>313</v>
      </c>
      <c r="AB125" s="21" t="s">
        <v>2</v>
      </c>
      <c r="AH125" s="63">
        <v>1</v>
      </c>
      <c r="AO125" s="10" t="s">
        <v>3</v>
      </c>
      <c r="AP125" s="179" t="s">
        <v>316</v>
      </c>
      <c r="AQ125" s="178"/>
      <c r="AR125" s="177">
        <v>618.86</v>
      </c>
      <c r="AS125" s="177">
        <v>34185.089</v>
      </c>
      <c r="AT125" s="177" t="s">
        <v>317</v>
      </c>
      <c r="AU125" s="177" t="s">
        <v>318</v>
      </c>
      <c r="AV125" s="62"/>
      <c r="AW125" s="173" t="s">
        <v>30</v>
      </c>
      <c r="AX125" s="175"/>
      <c r="AY125" s="182" t="s">
        <v>29</v>
      </c>
      <c r="AZ125" s="182" t="s">
        <v>100</v>
      </c>
      <c r="BA125" s="175"/>
      <c r="BB125" s="180"/>
      <c r="BC125" s="172"/>
      <c r="BD125" s="172"/>
      <c r="BE125" s="142">
        <v>3.8</v>
      </c>
      <c r="BF125" s="171"/>
      <c r="BG125" s="56">
        <v>-12</v>
      </c>
      <c r="BH125" s="57"/>
      <c r="BI125" s="170"/>
      <c r="BJ125" s="169"/>
      <c r="BK125" s="181"/>
      <c r="BL125" s="36">
        <f>VLOOKUP($AP125,'[1]V1 V2'!$B$5:$BW$1894,74,0)</f>
        <v>0</v>
      </c>
      <c r="BM125" s="36" t="str">
        <f>IF('[1]V1 V2'!X124="","",'[1]V1 V2'!X124)</f>
        <v/>
      </c>
    </row>
    <row r="126" spans="1:65" ht="16" thickBot="1" x14ac:dyDescent="0.4">
      <c r="A126">
        <v>1</v>
      </c>
      <c r="B126" s="167"/>
      <c r="C126" s="167"/>
      <c r="D126" s="132"/>
      <c r="E126" s="36"/>
      <c r="F126" s="168"/>
      <c r="G126" s="169"/>
      <c r="H126" s="170"/>
      <c r="I126" s="168"/>
      <c r="J126" s="56"/>
      <c r="K126" s="171"/>
      <c r="L126" s="142"/>
      <c r="M126" s="172"/>
      <c r="N126" s="173"/>
      <c r="O126" s="174"/>
      <c r="P126" s="175"/>
      <c r="Q126" s="176"/>
      <c r="R126" s="176"/>
      <c r="S126" s="175"/>
      <c r="T126" s="173"/>
      <c r="U126" s="62" t="s">
        <v>48</v>
      </c>
      <c r="V126" s="177" t="s">
        <v>89</v>
      </c>
      <c r="W126" s="177" t="s">
        <v>89</v>
      </c>
      <c r="X126" s="177"/>
      <c r="Y126" s="177"/>
      <c r="Z126" s="178">
        <v>12</v>
      </c>
      <c r="AA126" s="179"/>
      <c r="AB126" s="21" t="s">
        <v>2</v>
      </c>
      <c r="AH126" s="63">
        <v>1</v>
      </c>
      <c r="AO126" s="10" t="s">
        <v>3</v>
      </c>
      <c r="AP126" s="179"/>
      <c r="AQ126" s="178">
        <v>12</v>
      </c>
      <c r="AR126" s="177"/>
      <c r="AS126" s="177"/>
      <c r="AT126" s="177" t="s">
        <v>89</v>
      </c>
      <c r="AU126" s="177" t="s">
        <v>89</v>
      </c>
      <c r="AV126" s="62" t="s">
        <v>48</v>
      </c>
      <c r="AW126" s="173"/>
      <c r="AX126" s="175"/>
      <c r="AY126" s="176"/>
      <c r="AZ126" s="176"/>
      <c r="BA126" s="175"/>
      <c r="BB126" s="180"/>
      <c r="BC126" s="172"/>
      <c r="BD126" s="172"/>
      <c r="BE126" s="142"/>
      <c r="BF126" s="171"/>
      <c r="BG126" s="56"/>
      <c r="BH126" s="57"/>
      <c r="BI126" s="170"/>
      <c r="BJ126" s="169"/>
      <c r="BK126" s="181"/>
      <c r="BL126" s="36"/>
      <c r="BM126" s="36" t="str">
        <f>IF('[1]V1 V2'!X125="","",'[1]V1 V2'!X125)</f>
        <v/>
      </c>
    </row>
    <row r="127" spans="1:65" ht="16" thickBot="1" x14ac:dyDescent="0.4">
      <c r="A127">
        <v>1</v>
      </c>
      <c r="B127" s="167" t="s">
        <v>319</v>
      </c>
      <c r="C127" s="167"/>
      <c r="D127" s="132"/>
      <c r="E127" s="36">
        <f>VLOOKUP($B127,'[1]V1 V2'!$B$5:$BW$1894,74,0)</f>
        <v>0</v>
      </c>
      <c r="F127" s="168"/>
      <c r="G127" s="169"/>
      <c r="H127" s="170"/>
      <c r="I127" s="168"/>
      <c r="J127" s="56">
        <v>-4</v>
      </c>
      <c r="K127" s="171"/>
      <c r="L127" s="142">
        <v>3.8</v>
      </c>
      <c r="M127" s="172"/>
      <c r="N127" s="173"/>
      <c r="O127" s="174"/>
      <c r="P127" s="175"/>
      <c r="Q127" s="182" t="s">
        <v>100</v>
      </c>
      <c r="R127" s="182" t="s">
        <v>29</v>
      </c>
      <c r="S127" s="175"/>
      <c r="T127" s="173" t="s">
        <v>30</v>
      </c>
      <c r="U127" s="62"/>
      <c r="V127" s="177" t="s">
        <v>320</v>
      </c>
      <c r="W127" s="177" t="s">
        <v>321</v>
      </c>
      <c r="X127" s="177">
        <v>34174.589</v>
      </c>
      <c r="Y127" s="177">
        <v>629.36</v>
      </c>
      <c r="Z127" s="178"/>
      <c r="AA127" s="179" t="s">
        <v>319</v>
      </c>
      <c r="AB127" s="21" t="s">
        <v>2</v>
      </c>
      <c r="AH127" s="63">
        <v>1</v>
      </c>
      <c r="AO127" s="10" t="s">
        <v>3</v>
      </c>
      <c r="AP127" s="179" t="s">
        <v>322</v>
      </c>
      <c r="AQ127" s="178"/>
      <c r="AR127" s="177">
        <v>631.06000000000006</v>
      </c>
      <c r="AS127" s="177">
        <v>34172.889000000003</v>
      </c>
      <c r="AT127" s="177" t="s">
        <v>323</v>
      </c>
      <c r="AU127" s="177" t="s">
        <v>324</v>
      </c>
      <c r="AV127" s="62"/>
      <c r="AW127" s="173" t="s">
        <v>30</v>
      </c>
      <c r="AX127" s="175"/>
      <c r="AY127" s="182" t="s">
        <v>29</v>
      </c>
      <c r="AZ127" s="182" t="s">
        <v>100</v>
      </c>
      <c r="BA127" s="175"/>
      <c r="BB127" s="180"/>
      <c r="BC127" s="172"/>
      <c r="BD127" s="172"/>
      <c r="BE127" s="142">
        <v>3.8</v>
      </c>
      <c r="BF127" s="171"/>
      <c r="BG127" s="56">
        <v>-4</v>
      </c>
      <c r="BH127" s="57"/>
      <c r="BI127" s="170"/>
      <c r="BJ127" s="169"/>
      <c r="BK127" s="181"/>
      <c r="BL127" s="36">
        <f>VLOOKUP($AP127,'[1]V1 V2'!$B$5:$BW$1894,74,0)</f>
        <v>0</v>
      </c>
      <c r="BM127" s="36" t="str">
        <f>IF('[1]V1 V2'!X126="","",'[1]V1 V2'!X126)</f>
        <v/>
      </c>
    </row>
    <row r="128" spans="1:65" ht="16" thickBot="1" x14ac:dyDescent="0.4">
      <c r="A128">
        <v>1</v>
      </c>
      <c r="B128" s="167"/>
      <c r="C128" s="167"/>
      <c r="D128" s="132"/>
      <c r="E128" s="36"/>
      <c r="F128" s="168"/>
      <c r="G128" s="169"/>
      <c r="H128" s="170"/>
      <c r="I128" s="168"/>
      <c r="J128" s="56"/>
      <c r="K128" s="171"/>
      <c r="L128" s="142"/>
      <c r="M128" s="172"/>
      <c r="N128" s="173"/>
      <c r="O128" s="174"/>
      <c r="P128" s="175"/>
      <c r="Q128" s="176"/>
      <c r="R128" s="176"/>
      <c r="S128" s="175"/>
      <c r="T128" s="173"/>
      <c r="U128" s="62"/>
      <c r="V128" s="177" t="s">
        <v>89</v>
      </c>
      <c r="W128" s="177" t="s">
        <v>89</v>
      </c>
      <c r="X128" s="177"/>
      <c r="Y128" s="177"/>
      <c r="Z128" s="178">
        <v>12</v>
      </c>
      <c r="AA128" s="179"/>
      <c r="AB128" s="21" t="s">
        <v>2</v>
      </c>
      <c r="AH128" s="63">
        <v>1</v>
      </c>
      <c r="AO128" s="10" t="s">
        <v>3</v>
      </c>
      <c r="AP128" s="179"/>
      <c r="AQ128" s="178">
        <v>12</v>
      </c>
      <c r="AR128" s="177"/>
      <c r="AS128" s="177"/>
      <c r="AT128" s="177" t="s">
        <v>89</v>
      </c>
      <c r="AU128" s="177" t="s">
        <v>89</v>
      </c>
      <c r="AV128" s="62"/>
      <c r="AW128" s="173"/>
      <c r="AX128" s="175"/>
      <c r="AY128" s="176"/>
      <c r="AZ128" s="176"/>
      <c r="BA128" s="175"/>
      <c r="BB128" s="180"/>
      <c r="BC128" s="172"/>
      <c r="BD128" s="172"/>
      <c r="BE128" s="142"/>
      <c r="BF128" s="171"/>
      <c r="BG128" s="56"/>
      <c r="BH128" s="57"/>
      <c r="BI128" s="170"/>
      <c r="BJ128" s="169"/>
      <c r="BK128" s="181"/>
      <c r="BL128" s="36"/>
      <c r="BM128" s="36" t="str">
        <f>IF('[1]V1 V2'!X127="","",'[1]V1 V2'!X127)</f>
        <v/>
      </c>
    </row>
    <row r="129" spans="1:65" ht="16" thickBot="1" x14ac:dyDescent="0.4">
      <c r="A129">
        <v>1</v>
      </c>
      <c r="B129" s="167" t="s">
        <v>325</v>
      </c>
      <c r="C129" s="167"/>
      <c r="D129" s="132"/>
      <c r="E129" s="36">
        <f>VLOOKUP($B129,'[1]V1 V2'!$B$5:$BW$1894,74,0)</f>
        <v>0</v>
      </c>
      <c r="F129" s="168"/>
      <c r="G129" s="169"/>
      <c r="H129" s="170"/>
      <c r="I129" s="168"/>
      <c r="J129" s="56" t="s">
        <v>113</v>
      </c>
      <c r="K129" s="171"/>
      <c r="L129" s="142">
        <v>3.8</v>
      </c>
      <c r="M129" s="172"/>
      <c r="N129" s="173"/>
      <c r="O129" s="174"/>
      <c r="P129" s="175"/>
      <c r="Q129" s="182" t="s">
        <v>100</v>
      </c>
      <c r="R129" s="182" t="s">
        <v>29</v>
      </c>
      <c r="S129" s="175"/>
      <c r="T129" s="173" t="s">
        <v>30</v>
      </c>
      <c r="U129" s="62"/>
      <c r="V129" s="177" t="s">
        <v>326</v>
      </c>
      <c r="W129" s="177" t="s">
        <v>327</v>
      </c>
      <c r="X129" s="177">
        <v>34162.589</v>
      </c>
      <c r="Y129" s="177">
        <v>641.36</v>
      </c>
      <c r="Z129" s="178"/>
      <c r="AA129" s="179" t="s">
        <v>325</v>
      </c>
      <c r="AB129" s="21" t="s">
        <v>2</v>
      </c>
      <c r="AH129" s="63">
        <v>1</v>
      </c>
      <c r="AO129" s="10" t="s">
        <v>3</v>
      </c>
      <c r="AP129" s="179" t="s">
        <v>328</v>
      </c>
      <c r="AQ129" s="178"/>
      <c r="AR129" s="177">
        <v>643.06000000000006</v>
      </c>
      <c r="AS129" s="177">
        <v>34160.889000000003</v>
      </c>
      <c r="AT129" s="177" t="s">
        <v>329</v>
      </c>
      <c r="AU129" s="177" t="s">
        <v>330</v>
      </c>
      <c r="AV129" s="62"/>
      <c r="AW129" s="173" t="s">
        <v>30</v>
      </c>
      <c r="AX129" s="175"/>
      <c r="AY129" s="182" t="s">
        <v>29</v>
      </c>
      <c r="AZ129" s="182" t="s">
        <v>100</v>
      </c>
      <c r="BA129" s="175"/>
      <c r="BB129" s="180"/>
      <c r="BC129" s="172"/>
      <c r="BD129" s="172"/>
      <c r="BE129" s="142">
        <v>3.8</v>
      </c>
      <c r="BF129" s="171"/>
      <c r="BG129" s="183" t="s">
        <v>113</v>
      </c>
      <c r="BH129" s="57"/>
      <c r="BI129" s="170"/>
      <c r="BJ129" s="169"/>
      <c r="BK129" s="181"/>
      <c r="BL129" s="36">
        <f>VLOOKUP($AP129,'[1]V1 V2'!$B$5:$BW$1894,74,0)</f>
        <v>0</v>
      </c>
      <c r="BM129" s="36" t="str">
        <f>IF('[1]V1 V2'!X128="","",'[1]V1 V2'!X128)</f>
        <v/>
      </c>
    </row>
    <row r="130" spans="1:65" ht="16" thickBot="1" x14ac:dyDescent="0.4">
      <c r="A130">
        <v>1</v>
      </c>
      <c r="B130" s="167"/>
      <c r="C130" s="167"/>
      <c r="D130" s="132"/>
      <c r="E130" s="36"/>
      <c r="F130" s="168"/>
      <c r="G130" s="169"/>
      <c r="H130" s="170"/>
      <c r="I130" s="168"/>
      <c r="J130" s="56"/>
      <c r="K130" s="171"/>
      <c r="L130" s="142"/>
      <c r="M130" s="172"/>
      <c r="N130" s="173"/>
      <c r="O130" s="174"/>
      <c r="P130" s="175"/>
      <c r="Q130" s="176"/>
      <c r="R130" s="176"/>
      <c r="S130" s="175"/>
      <c r="T130" s="173"/>
      <c r="U130" s="62" t="s">
        <v>48</v>
      </c>
      <c r="V130" s="177" t="s">
        <v>89</v>
      </c>
      <c r="W130" s="177" t="s">
        <v>89</v>
      </c>
      <c r="X130" s="177"/>
      <c r="Y130" s="177"/>
      <c r="Z130" s="178">
        <v>12</v>
      </c>
      <c r="AA130" s="179"/>
      <c r="AB130" s="21" t="s">
        <v>2</v>
      </c>
      <c r="AH130" s="63">
        <v>1</v>
      </c>
      <c r="AO130" s="10" t="s">
        <v>3</v>
      </c>
      <c r="AP130" s="179"/>
      <c r="AQ130" s="178">
        <v>12</v>
      </c>
      <c r="AR130" s="177"/>
      <c r="AS130" s="177"/>
      <c r="AT130" s="177" t="s">
        <v>89</v>
      </c>
      <c r="AU130" s="177" t="s">
        <v>89</v>
      </c>
      <c r="AV130" s="62" t="s">
        <v>48</v>
      </c>
      <c r="AW130" s="173"/>
      <c r="AX130" s="175"/>
      <c r="AY130" s="176"/>
      <c r="AZ130" s="176"/>
      <c r="BA130" s="175"/>
      <c r="BB130" s="180"/>
      <c r="BC130" s="172"/>
      <c r="BD130" s="172"/>
      <c r="BE130" s="142"/>
      <c r="BF130" s="171"/>
      <c r="BG130" s="56"/>
      <c r="BH130" s="57"/>
      <c r="BI130" s="170"/>
      <c r="BJ130" s="169"/>
      <c r="BK130" s="181"/>
      <c r="BL130" s="36"/>
      <c r="BM130" s="36" t="str">
        <f>IF('[1]V1 V2'!X129="","",'[1]V1 V2'!X129)</f>
        <v/>
      </c>
    </row>
    <row r="131" spans="1:65" ht="16" thickBot="1" x14ac:dyDescent="0.4">
      <c r="A131">
        <v>1</v>
      </c>
      <c r="B131" s="167" t="s">
        <v>331</v>
      </c>
      <c r="C131" s="167"/>
      <c r="D131" s="132"/>
      <c r="E131" s="36">
        <f>VLOOKUP($B131,'[1]V1 V2'!$B$5:$BW$1894,74,0)</f>
        <v>0</v>
      </c>
      <c r="F131" s="168"/>
      <c r="G131" s="169"/>
      <c r="H131" s="170"/>
      <c r="I131" s="168"/>
      <c r="J131" s="56" t="s">
        <v>120</v>
      </c>
      <c r="K131" s="171"/>
      <c r="L131" s="142">
        <v>3.8</v>
      </c>
      <c r="M131" s="172"/>
      <c r="N131" s="173"/>
      <c r="O131" s="174"/>
      <c r="P131" s="175"/>
      <c r="Q131" s="182" t="s">
        <v>100</v>
      </c>
      <c r="R131" s="182" t="s">
        <v>29</v>
      </c>
      <c r="S131" s="175"/>
      <c r="T131" s="173" t="s">
        <v>30</v>
      </c>
      <c r="U131" s="62" t="s">
        <v>184</v>
      </c>
      <c r="V131" s="177" t="s">
        <v>332</v>
      </c>
      <c r="W131" s="177" t="s">
        <v>333</v>
      </c>
      <c r="X131" s="177">
        <v>34150.589</v>
      </c>
      <c r="Y131" s="177">
        <v>653.36</v>
      </c>
      <c r="Z131" s="178"/>
      <c r="AA131" s="179" t="s">
        <v>331</v>
      </c>
      <c r="AB131" s="21" t="s">
        <v>2</v>
      </c>
      <c r="AH131" s="63">
        <v>1</v>
      </c>
      <c r="AO131" s="10" t="s">
        <v>3</v>
      </c>
      <c r="AP131" s="179" t="s">
        <v>334</v>
      </c>
      <c r="AQ131" s="178"/>
      <c r="AR131" s="177">
        <v>655.06000000000006</v>
      </c>
      <c r="AS131" s="177">
        <v>34148.889000000003</v>
      </c>
      <c r="AT131" s="177" t="s">
        <v>335</v>
      </c>
      <c r="AU131" s="177" t="s">
        <v>336</v>
      </c>
      <c r="AV131" s="62"/>
      <c r="AW131" s="173" t="s">
        <v>30</v>
      </c>
      <c r="AX131" s="175"/>
      <c r="AY131" s="182" t="s">
        <v>29</v>
      </c>
      <c r="AZ131" s="182" t="s">
        <v>100</v>
      </c>
      <c r="BA131" s="175"/>
      <c r="BB131" s="180"/>
      <c r="BC131" s="172"/>
      <c r="BD131" s="172"/>
      <c r="BE131" s="142">
        <v>3.8</v>
      </c>
      <c r="BF131" s="171"/>
      <c r="BG131" s="183" t="s">
        <v>120</v>
      </c>
      <c r="BH131" s="57"/>
      <c r="BI131" s="170"/>
      <c r="BJ131" s="169"/>
      <c r="BK131" s="181"/>
      <c r="BL131" s="36">
        <f>VLOOKUP($AP131,'[1]V1 V2'!$B$5:$BW$1894,74,0)</f>
        <v>0</v>
      </c>
      <c r="BM131" s="36" t="str">
        <f>IF('[1]V1 V2'!X130="","",'[1]V1 V2'!X130)</f>
        <v/>
      </c>
    </row>
    <row r="132" spans="1:65" ht="16" thickBot="1" x14ac:dyDescent="0.4">
      <c r="A132">
        <v>1</v>
      </c>
      <c r="B132" s="167"/>
      <c r="C132" s="167"/>
      <c r="D132" s="132"/>
      <c r="E132" s="36"/>
      <c r="F132" s="168"/>
      <c r="G132" s="169"/>
      <c r="H132" s="170"/>
      <c r="I132" s="168"/>
      <c r="J132" s="56"/>
      <c r="K132" s="171"/>
      <c r="L132" s="142"/>
      <c r="M132" s="172"/>
      <c r="N132" s="173"/>
      <c r="O132" s="174"/>
      <c r="P132" s="175"/>
      <c r="Q132" s="176"/>
      <c r="R132" s="176"/>
      <c r="S132" s="175"/>
      <c r="T132" s="173"/>
      <c r="U132" s="62" t="s">
        <v>48</v>
      </c>
      <c r="V132" s="177" t="s">
        <v>89</v>
      </c>
      <c r="W132" s="177" t="s">
        <v>89</v>
      </c>
      <c r="X132" s="177"/>
      <c r="Y132" s="177"/>
      <c r="Z132" s="178">
        <v>12</v>
      </c>
      <c r="AA132" s="179"/>
      <c r="AB132" s="21" t="s">
        <v>2</v>
      </c>
      <c r="AH132" s="63">
        <v>1</v>
      </c>
      <c r="AO132" s="10" t="s">
        <v>3</v>
      </c>
      <c r="AP132" s="179"/>
      <c r="AQ132" s="178">
        <v>12</v>
      </c>
      <c r="AR132" s="177"/>
      <c r="AS132" s="177"/>
      <c r="AT132" s="177" t="s">
        <v>89</v>
      </c>
      <c r="AU132" s="177" t="s">
        <v>89</v>
      </c>
      <c r="AV132" s="62" t="s">
        <v>48</v>
      </c>
      <c r="AW132" s="173"/>
      <c r="AX132" s="175"/>
      <c r="AY132" s="176"/>
      <c r="AZ132" s="176"/>
      <c r="BA132" s="175"/>
      <c r="BB132" s="180"/>
      <c r="BC132" s="172"/>
      <c r="BD132" s="172"/>
      <c r="BE132" s="142"/>
      <c r="BF132" s="171"/>
      <c r="BG132" s="56"/>
      <c r="BH132" s="57"/>
      <c r="BI132" s="170"/>
      <c r="BJ132" s="169"/>
      <c r="BK132" s="181"/>
      <c r="BL132" s="36"/>
      <c r="BM132" s="36" t="str">
        <f>IF('[1]V1 V2'!X131="","",'[1]V1 V2'!X131)</f>
        <v/>
      </c>
    </row>
    <row r="133" spans="1:65" ht="16" thickBot="1" x14ac:dyDescent="0.4">
      <c r="A133">
        <v>1</v>
      </c>
      <c r="B133" s="167" t="s">
        <v>337</v>
      </c>
      <c r="C133" s="167"/>
      <c r="D133" s="132"/>
      <c r="E133" s="36">
        <f>VLOOKUP($B133,'[1]V1 V2'!$B$5:$BW$1894,74,0)</f>
        <v>0</v>
      </c>
      <c r="F133" s="168"/>
      <c r="G133" s="169"/>
      <c r="H133" s="170"/>
      <c r="I133" s="168"/>
      <c r="J133" s="56" t="s">
        <v>127</v>
      </c>
      <c r="K133" s="171"/>
      <c r="L133" s="142">
        <v>3.8</v>
      </c>
      <c r="M133" s="172"/>
      <c r="N133" s="173"/>
      <c r="O133" s="174"/>
      <c r="P133" s="175"/>
      <c r="Q133" s="182" t="s">
        <v>100</v>
      </c>
      <c r="R133" s="182" t="s">
        <v>29</v>
      </c>
      <c r="S133" s="175"/>
      <c r="T133" s="173" t="s">
        <v>30</v>
      </c>
      <c r="U133" s="62" t="s">
        <v>184</v>
      </c>
      <c r="V133" s="177" t="s">
        <v>338</v>
      </c>
      <c r="W133" s="177" t="s">
        <v>339</v>
      </c>
      <c r="X133" s="177">
        <v>34138.589</v>
      </c>
      <c r="Y133" s="177">
        <v>665.36</v>
      </c>
      <c r="Z133" s="178"/>
      <c r="AA133" s="179" t="s">
        <v>337</v>
      </c>
      <c r="AB133" s="21" t="s">
        <v>2</v>
      </c>
      <c r="AH133" s="63">
        <v>1</v>
      </c>
      <c r="AO133" s="10" t="s">
        <v>3</v>
      </c>
      <c r="AP133" s="179" t="s">
        <v>340</v>
      </c>
      <c r="AQ133" s="178"/>
      <c r="AR133" s="177">
        <v>667.06000000000006</v>
      </c>
      <c r="AS133" s="177">
        <v>34136.889000000003</v>
      </c>
      <c r="AT133" s="177" t="s">
        <v>341</v>
      </c>
      <c r="AU133" s="177" t="s">
        <v>342</v>
      </c>
      <c r="AV133" s="62"/>
      <c r="AW133" s="173" t="s">
        <v>30</v>
      </c>
      <c r="AX133" s="175"/>
      <c r="AY133" s="182" t="s">
        <v>29</v>
      </c>
      <c r="AZ133" s="182" t="s">
        <v>100</v>
      </c>
      <c r="BA133" s="175"/>
      <c r="BB133" s="180"/>
      <c r="BC133" s="172"/>
      <c r="BD133" s="172"/>
      <c r="BE133" s="142">
        <v>3.8</v>
      </c>
      <c r="BF133" s="171"/>
      <c r="BG133" s="183" t="s">
        <v>127</v>
      </c>
      <c r="BH133" s="57"/>
      <c r="BI133" s="170"/>
      <c r="BJ133" s="169"/>
      <c r="BK133" s="181"/>
      <c r="BL133" s="36">
        <f>VLOOKUP($AP133,'[1]V1 V2'!$B$5:$BW$1894,74,0)</f>
        <v>0</v>
      </c>
      <c r="BM133" s="36" t="str">
        <f>IF('[1]V1 V2'!X132="","",'[1]V1 V2'!X132)</f>
        <v/>
      </c>
    </row>
    <row r="134" spans="1:65" ht="16" thickBot="1" x14ac:dyDescent="0.4">
      <c r="A134">
        <v>1</v>
      </c>
      <c r="B134" s="167"/>
      <c r="C134" s="167"/>
      <c r="D134" s="132"/>
      <c r="E134" s="36"/>
      <c r="F134" s="168"/>
      <c r="G134" s="169"/>
      <c r="H134" s="170"/>
      <c r="I134" s="168"/>
      <c r="J134" s="56"/>
      <c r="K134" s="171"/>
      <c r="L134" s="142"/>
      <c r="M134" s="172"/>
      <c r="N134" s="173"/>
      <c r="O134" s="174"/>
      <c r="P134" s="175"/>
      <c r="Q134" s="176"/>
      <c r="R134" s="176"/>
      <c r="S134" s="175"/>
      <c r="T134" s="173"/>
      <c r="U134" s="62" t="s">
        <v>48</v>
      </c>
      <c r="V134" s="177" t="s">
        <v>89</v>
      </c>
      <c r="W134" s="177" t="s">
        <v>89</v>
      </c>
      <c r="X134" s="177"/>
      <c r="Y134" s="177"/>
      <c r="Z134" s="178">
        <v>12</v>
      </c>
      <c r="AA134" s="179"/>
      <c r="AB134" s="21" t="s">
        <v>2</v>
      </c>
      <c r="AH134" s="63">
        <v>1</v>
      </c>
      <c r="AO134" s="10" t="s">
        <v>3</v>
      </c>
      <c r="AP134" s="179"/>
      <c r="AQ134" s="178">
        <v>12</v>
      </c>
      <c r="AR134" s="177"/>
      <c r="AS134" s="177"/>
      <c r="AT134" s="177" t="s">
        <v>89</v>
      </c>
      <c r="AU134" s="177" t="s">
        <v>89</v>
      </c>
      <c r="AV134" s="62" t="s">
        <v>48</v>
      </c>
      <c r="AW134" s="173"/>
      <c r="AX134" s="175"/>
      <c r="AY134" s="176"/>
      <c r="AZ134" s="176"/>
      <c r="BA134" s="175"/>
      <c r="BB134" s="180"/>
      <c r="BC134" s="172"/>
      <c r="BD134" s="172"/>
      <c r="BE134" s="142"/>
      <c r="BF134" s="171"/>
      <c r="BG134" s="56"/>
      <c r="BH134" s="57"/>
      <c r="BI134" s="170"/>
      <c r="BJ134" s="169"/>
      <c r="BK134" s="181"/>
      <c r="BL134" s="36"/>
      <c r="BM134" s="36" t="str">
        <f>IF('[1]V1 V2'!X133="","",'[1]V1 V2'!X133)</f>
        <v/>
      </c>
    </row>
    <row r="135" spans="1:65" ht="16" thickBot="1" x14ac:dyDescent="0.4">
      <c r="A135">
        <v>1</v>
      </c>
      <c r="B135" s="167" t="s">
        <v>343</v>
      </c>
      <c r="C135" s="167"/>
      <c r="D135" s="132"/>
      <c r="E135" s="36">
        <f>VLOOKUP($B135,'[1]V1 V2'!$B$5:$BW$1894,74,0)</f>
        <v>0</v>
      </c>
      <c r="F135" s="168"/>
      <c r="G135" s="169"/>
      <c r="H135" s="170"/>
      <c r="I135" s="168"/>
      <c r="J135" s="56" t="s">
        <v>120</v>
      </c>
      <c r="K135" s="171"/>
      <c r="L135" s="142">
        <v>3.8</v>
      </c>
      <c r="M135" s="172"/>
      <c r="N135" s="173"/>
      <c r="O135" s="174"/>
      <c r="P135" s="175"/>
      <c r="Q135" s="182" t="s">
        <v>100</v>
      </c>
      <c r="R135" s="182" t="s">
        <v>29</v>
      </c>
      <c r="S135" s="175"/>
      <c r="T135" s="173" t="s">
        <v>30</v>
      </c>
      <c r="U135" s="62" t="s">
        <v>184</v>
      </c>
      <c r="V135" s="177" t="s">
        <v>344</v>
      </c>
      <c r="W135" s="177" t="s">
        <v>345</v>
      </c>
      <c r="X135" s="177">
        <v>34126.589</v>
      </c>
      <c r="Y135" s="177">
        <v>677.36</v>
      </c>
      <c r="Z135" s="178"/>
      <c r="AA135" s="179" t="s">
        <v>343</v>
      </c>
      <c r="AB135" s="21" t="s">
        <v>2</v>
      </c>
      <c r="AH135" s="63">
        <v>1</v>
      </c>
      <c r="AO135" s="10" t="s">
        <v>3</v>
      </c>
      <c r="AP135" s="179" t="s">
        <v>346</v>
      </c>
      <c r="AQ135" s="178"/>
      <c r="AR135" s="177">
        <v>679.06000000000006</v>
      </c>
      <c r="AS135" s="177">
        <v>34124.889000000003</v>
      </c>
      <c r="AT135" s="177" t="s">
        <v>347</v>
      </c>
      <c r="AU135" s="177" t="s">
        <v>348</v>
      </c>
      <c r="AV135" s="62"/>
      <c r="AW135" s="173" t="s">
        <v>30</v>
      </c>
      <c r="AX135" s="175"/>
      <c r="AY135" s="182" t="s">
        <v>29</v>
      </c>
      <c r="AZ135" s="182" t="s">
        <v>100</v>
      </c>
      <c r="BA135" s="175"/>
      <c r="BB135" s="180"/>
      <c r="BC135" s="172"/>
      <c r="BD135" s="172"/>
      <c r="BE135" s="142">
        <v>3.8</v>
      </c>
      <c r="BF135" s="171"/>
      <c r="BG135" s="183" t="s">
        <v>120</v>
      </c>
      <c r="BH135" s="57"/>
      <c r="BI135" s="170"/>
      <c r="BJ135" s="169"/>
      <c r="BK135" s="181"/>
      <c r="BL135" s="36">
        <f>VLOOKUP($AP135,'[1]V1 V2'!$B$5:$BW$1894,74,0)</f>
        <v>0</v>
      </c>
      <c r="BM135" s="36" t="str">
        <f>IF('[1]V1 V2'!X134="","",'[1]V1 V2'!X134)</f>
        <v/>
      </c>
    </row>
    <row r="136" spans="1:65" ht="16" thickBot="1" x14ac:dyDescent="0.4">
      <c r="A136">
        <v>1</v>
      </c>
      <c r="B136" s="167"/>
      <c r="C136" s="167"/>
      <c r="D136" s="132"/>
      <c r="E136" s="36"/>
      <c r="F136" s="168"/>
      <c r="G136" s="169"/>
      <c r="H136" s="170"/>
      <c r="I136" s="168"/>
      <c r="J136" s="56"/>
      <c r="K136" s="171"/>
      <c r="L136" s="142"/>
      <c r="M136" s="172"/>
      <c r="N136" s="173"/>
      <c r="O136" s="174"/>
      <c r="P136" s="175"/>
      <c r="Q136" s="176"/>
      <c r="R136" s="176"/>
      <c r="S136" s="175"/>
      <c r="T136" s="173"/>
      <c r="U136" s="62" t="s">
        <v>48</v>
      </c>
      <c r="V136" s="177" t="s">
        <v>89</v>
      </c>
      <c r="W136" s="177" t="s">
        <v>89</v>
      </c>
      <c r="X136" s="177"/>
      <c r="Y136" s="177"/>
      <c r="Z136" s="178">
        <v>12</v>
      </c>
      <c r="AA136" s="179"/>
      <c r="AB136" s="21" t="s">
        <v>2</v>
      </c>
      <c r="AH136" s="63">
        <v>1</v>
      </c>
      <c r="AO136" s="10" t="s">
        <v>3</v>
      </c>
      <c r="AP136" s="179"/>
      <c r="AQ136" s="178">
        <v>12</v>
      </c>
      <c r="AR136" s="177"/>
      <c r="AS136" s="177"/>
      <c r="AT136" s="177" t="s">
        <v>89</v>
      </c>
      <c r="AU136" s="177" t="s">
        <v>89</v>
      </c>
      <c r="AV136" s="62" t="s">
        <v>48</v>
      </c>
      <c r="AW136" s="173"/>
      <c r="AX136" s="175"/>
      <c r="AY136" s="176"/>
      <c r="AZ136" s="176"/>
      <c r="BA136" s="175"/>
      <c r="BB136" s="180"/>
      <c r="BC136" s="172"/>
      <c r="BD136" s="172"/>
      <c r="BE136" s="142"/>
      <c r="BF136" s="171"/>
      <c r="BG136" s="56"/>
      <c r="BH136" s="57"/>
      <c r="BI136" s="170"/>
      <c r="BJ136" s="169"/>
      <c r="BK136" s="181"/>
      <c r="BL136" s="36"/>
      <c r="BM136" s="36" t="str">
        <f>IF('[1]V1 V2'!X135="","",'[1]V1 V2'!X135)</f>
        <v/>
      </c>
    </row>
    <row r="137" spans="1:65" ht="16" thickBot="1" x14ac:dyDescent="0.4">
      <c r="A137">
        <v>1</v>
      </c>
      <c r="B137" s="167" t="s">
        <v>349</v>
      </c>
      <c r="C137" s="167"/>
      <c r="D137" s="132"/>
      <c r="E137" s="36">
        <f>VLOOKUP($B137,'[1]V1 V2'!$B$5:$BW$1894,74,0)</f>
        <v>0</v>
      </c>
      <c r="F137" s="168"/>
      <c r="G137" s="169"/>
      <c r="H137" s="170"/>
      <c r="I137" s="168"/>
      <c r="J137" s="56" t="s">
        <v>113</v>
      </c>
      <c r="K137" s="171"/>
      <c r="L137" s="142">
        <v>3.8</v>
      </c>
      <c r="M137" s="172"/>
      <c r="N137" s="173"/>
      <c r="O137" s="174"/>
      <c r="P137" s="175"/>
      <c r="Q137" s="182" t="s">
        <v>100</v>
      </c>
      <c r="R137" s="182" t="s">
        <v>29</v>
      </c>
      <c r="S137" s="175"/>
      <c r="T137" s="173" t="s">
        <v>30</v>
      </c>
      <c r="U137" s="62" t="s">
        <v>184</v>
      </c>
      <c r="V137" s="177" t="s">
        <v>350</v>
      </c>
      <c r="W137" s="177" t="s">
        <v>351</v>
      </c>
      <c r="X137" s="177">
        <v>34114.589</v>
      </c>
      <c r="Y137" s="177">
        <v>689.36</v>
      </c>
      <c r="Z137" s="178"/>
      <c r="AA137" s="179" t="s">
        <v>349</v>
      </c>
      <c r="AB137" s="21" t="s">
        <v>2</v>
      </c>
      <c r="AH137" s="63">
        <v>1</v>
      </c>
      <c r="AO137" s="10" t="s">
        <v>3</v>
      </c>
      <c r="AP137" s="179" t="s">
        <v>352</v>
      </c>
      <c r="AQ137" s="178"/>
      <c r="AR137" s="177">
        <v>691.06000000000006</v>
      </c>
      <c r="AS137" s="177">
        <v>34112.889000000003</v>
      </c>
      <c r="AT137" s="177" t="s">
        <v>353</v>
      </c>
      <c r="AU137" s="177" t="s">
        <v>354</v>
      </c>
      <c r="AV137" s="62"/>
      <c r="AW137" s="173" t="s">
        <v>30</v>
      </c>
      <c r="AX137" s="175"/>
      <c r="AY137" s="182" t="s">
        <v>29</v>
      </c>
      <c r="AZ137" s="182" t="s">
        <v>100</v>
      </c>
      <c r="BA137" s="175"/>
      <c r="BB137" s="180"/>
      <c r="BC137" s="172"/>
      <c r="BD137" s="172"/>
      <c r="BE137" s="142">
        <v>3.8</v>
      </c>
      <c r="BF137" s="171"/>
      <c r="BG137" s="183" t="s">
        <v>113</v>
      </c>
      <c r="BH137" s="57"/>
      <c r="BI137" s="170"/>
      <c r="BJ137" s="169"/>
      <c r="BK137" s="181"/>
      <c r="BL137" s="36">
        <f>VLOOKUP($AP137,'[1]V1 V2'!$B$5:$BW$1894,74,0)</f>
        <v>0</v>
      </c>
      <c r="BM137" s="36" t="str">
        <f>IF('[1]V1 V2'!X136="","",'[1]V1 V2'!X136)</f>
        <v/>
      </c>
    </row>
    <row r="138" spans="1:65" ht="16" thickBot="1" x14ac:dyDescent="0.4">
      <c r="A138">
        <v>1</v>
      </c>
      <c r="B138" s="167"/>
      <c r="C138" s="167"/>
      <c r="D138" s="132"/>
      <c r="E138" s="36"/>
      <c r="F138" s="168"/>
      <c r="G138" s="169"/>
      <c r="H138" s="170"/>
      <c r="I138" s="168"/>
      <c r="J138" s="56"/>
      <c r="K138" s="171"/>
      <c r="L138" s="142"/>
      <c r="M138" s="172"/>
      <c r="N138" s="173"/>
      <c r="O138" s="174"/>
      <c r="P138" s="175"/>
      <c r="Q138" s="176"/>
      <c r="R138" s="176"/>
      <c r="S138" s="175"/>
      <c r="T138" s="173"/>
      <c r="U138" s="62" t="s">
        <v>48</v>
      </c>
      <c r="V138" s="177" t="s">
        <v>89</v>
      </c>
      <c r="W138" s="177" t="s">
        <v>89</v>
      </c>
      <c r="X138" s="177"/>
      <c r="Y138" s="177"/>
      <c r="Z138" s="178">
        <v>12</v>
      </c>
      <c r="AA138" s="179"/>
      <c r="AB138" s="21" t="s">
        <v>2</v>
      </c>
      <c r="AH138" s="63">
        <v>1</v>
      </c>
      <c r="AO138" s="10" t="s">
        <v>3</v>
      </c>
      <c r="AP138" s="179"/>
      <c r="AQ138" s="178">
        <v>12</v>
      </c>
      <c r="AR138" s="177"/>
      <c r="AS138" s="177"/>
      <c r="AT138" s="177" t="s">
        <v>89</v>
      </c>
      <c r="AU138" s="177" t="s">
        <v>89</v>
      </c>
      <c r="AV138" s="62" t="s">
        <v>48</v>
      </c>
      <c r="AW138" s="173"/>
      <c r="AX138" s="175"/>
      <c r="AY138" s="176"/>
      <c r="AZ138" s="176"/>
      <c r="BA138" s="175"/>
      <c r="BB138" s="180"/>
      <c r="BC138" s="172"/>
      <c r="BD138" s="172"/>
      <c r="BE138" s="142"/>
      <c r="BF138" s="171"/>
      <c r="BG138" s="56"/>
      <c r="BH138" s="57"/>
      <c r="BI138" s="170"/>
      <c r="BJ138" s="169"/>
      <c r="BK138" s="181"/>
      <c r="BL138" s="36"/>
      <c r="BM138" s="36" t="str">
        <f>IF('[1]V1 V2'!X137="","",'[1]V1 V2'!X137)</f>
        <v/>
      </c>
    </row>
    <row r="139" spans="1:65" ht="16" thickBot="1" x14ac:dyDescent="0.4">
      <c r="A139">
        <v>1</v>
      </c>
      <c r="B139" s="167" t="s">
        <v>355</v>
      </c>
      <c r="C139" s="167"/>
      <c r="D139" s="132"/>
      <c r="E139" s="36">
        <f>VLOOKUP($B139,'[1]V1 V2'!$B$5:$BW$1894,74,0)</f>
        <v>0</v>
      </c>
      <c r="F139" s="168"/>
      <c r="G139" s="169"/>
      <c r="H139" s="170"/>
      <c r="I139" s="168"/>
      <c r="J139" s="56">
        <v>-4</v>
      </c>
      <c r="K139" s="171"/>
      <c r="L139" s="142">
        <v>3.8</v>
      </c>
      <c r="M139" s="172"/>
      <c r="N139" s="173"/>
      <c r="O139" s="174"/>
      <c r="P139" s="175"/>
      <c r="Q139" s="182" t="s">
        <v>100</v>
      </c>
      <c r="R139" s="182" t="s">
        <v>29</v>
      </c>
      <c r="S139" s="175"/>
      <c r="T139" s="173" t="s">
        <v>30</v>
      </c>
      <c r="U139" s="62" t="s">
        <v>184</v>
      </c>
      <c r="V139" s="177" t="s">
        <v>356</v>
      </c>
      <c r="W139" s="177" t="s">
        <v>357</v>
      </c>
      <c r="X139" s="177">
        <v>34102.589</v>
      </c>
      <c r="Y139" s="177">
        <v>701.36</v>
      </c>
      <c r="Z139" s="178"/>
      <c r="AA139" s="179" t="s">
        <v>355</v>
      </c>
      <c r="AB139" s="21" t="s">
        <v>2</v>
      </c>
      <c r="AH139" s="63">
        <v>1</v>
      </c>
      <c r="AO139" s="10" t="s">
        <v>3</v>
      </c>
      <c r="AP139" s="179" t="s">
        <v>358</v>
      </c>
      <c r="AQ139" s="178"/>
      <c r="AR139" s="177">
        <v>703.06000000000006</v>
      </c>
      <c r="AS139" s="177">
        <v>34100.889000000003</v>
      </c>
      <c r="AT139" s="177" t="s">
        <v>359</v>
      </c>
      <c r="AU139" s="177" t="s">
        <v>360</v>
      </c>
      <c r="AV139" s="62"/>
      <c r="AW139" s="173" t="s">
        <v>30</v>
      </c>
      <c r="AX139" s="175"/>
      <c r="AY139" s="182" t="s">
        <v>29</v>
      </c>
      <c r="AZ139" s="182" t="s">
        <v>100</v>
      </c>
      <c r="BA139" s="175"/>
      <c r="BB139" s="180"/>
      <c r="BC139" s="172"/>
      <c r="BD139" s="172"/>
      <c r="BE139" s="142">
        <v>3.8</v>
      </c>
      <c r="BF139" s="171"/>
      <c r="BG139" s="56">
        <v>-4</v>
      </c>
      <c r="BH139" s="57"/>
      <c r="BI139" s="170"/>
      <c r="BJ139" s="169"/>
      <c r="BK139" s="181"/>
      <c r="BL139" s="36">
        <f>VLOOKUP($AP139,'[1]V1 V2'!$B$5:$BW$1894,74,0)</f>
        <v>0</v>
      </c>
      <c r="BM139" s="36" t="str">
        <f>IF('[1]V1 V2'!X138="","",'[1]V1 V2'!X138)</f>
        <v/>
      </c>
    </row>
    <row r="140" spans="1:65" ht="16" thickBot="1" x14ac:dyDescent="0.4">
      <c r="A140">
        <v>1</v>
      </c>
      <c r="B140" s="167"/>
      <c r="C140" s="167"/>
      <c r="D140" s="132"/>
      <c r="E140" s="36"/>
      <c r="F140" s="168"/>
      <c r="G140" s="169"/>
      <c r="H140" s="170"/>
      <c r="I140" s="168"/>
      <c r="J140" s="56"/>
      <c r="K140" s="171"/>
      <c r="L140" s="142"/>
      <c r="M140" s="172"/>
      <c r="N140" s="173"/>
      <c r="O140" s="174"/>
      <c r="P140" s="175"/>
      <c r="Q140" s="176"/>
      <c r="R140" s="176"/>
      <c r="S140" s="175"/>
      <c r="T140" s="173"/>
      <c r="U140" s="62">
        <v>345</v>
      </c>
      <c r="V140" s="177" t="s">
        <v>89</v>
      </c>
      <c r="W140" s="177" t="s">
        <v>89</v>
      </c>
      <c r="X140" s="177"/>
      <c r="Y140" s="177"/>
      <c r="Z140" s="178">
        <v>12</v>
      </c>
      <c r="AA140" s="179"/>
      <c r="AB140" s="21" t="s">
        <v>2</v>
      </c>
      <c r="AH140" s="63">
        <v>1</v>
      </c>
      <c r="AO140" s="10" t="s">
        <v>3</v>
      </c>
      <c r="AP140" s="179"/>
      <c r="AQ140" s="178">
        <v>12</v>
      </c>
      <c r="AR140" s="177"/>
      <c r="AS140" s="177"/>
      <c r="AT140" s="177" t="s">
        <v>89</v>
      </c>
      <c r="AU140" s="177" t="s">
        <v>89</v>
      </c>
      <c r="AV140" s="62">
        <v>345</v>
      </c>
      <c r="AW140" s="173"/>
      <c r="AX140" s="175"/>
      <c r="AY140" s="176"/>
      <c r="AZ140" s="176"/>
      <c r="BA140" s="175"/>
      <c r="BB140" s="180"/>
      <c r="BC140" s="172"/>
      <c r="BD140" s="172"/>
      <c r="BE140" s="142"/>
      <c r="BF140" s="171"/>
      <c r="BG140" s="56"/>
      <c r="BH140" s="57"/>
      <c r="BI140" s="170"/>
      <c r="BJ140" s="169"/>
      <c r="BK140" s="181"/>
      <c r="BL140" s="36"/>
      <c r="BM140" s="36" t="str">
        <f>IF('[1]V1 V2'!X139="","",'[1]V1 V2'!X139)</f>
        <v/>
      </c>
    </row>
    <row r="141" spans="1:65" ht="16" thickBot="1" x14ac:dyDescent="0.4">
      <c r="A141">
        <v>1</v>
      </c>
      <c r="B141" s="167" t="s">
        <v>361</v>
      </c>
      <c r="C141" s="167"/>
      <c r="D141" s="132"/>
      <c r="E141" s="36">
        <f>VLOOKUP($B141,'[1]V1 V2'!$B$5:$BW$1894,74,0)</f>
        <v>0</v>
      </c>
      <c r="F141" s="168"/>
      <c r="G141" s="169"/>
      <c r="H141" s="170"/>
      <c r="I141" s="168"/>
      <c r="J141" s="56">
        <v>-12</v>
      </c>
      <c r="K141" s="171"/>
      <c r="L141" s="142">
        <v>3.8</v>
      </c>
      <c r="M141" s="172"/>
      <c r="N141" s="173"/>
      <c r="O141" s="174"/>
      <c r="P141" s="175"/>
      <c r="Q141" s="182" t="s">
        <v>100</v>
      </c>
      <c r="R141" s="182" t="s">
        <v>29</v>
      </c>
      <c r="S141" s="175"/>
      <c r="T141" s="173" t="s">
        <v>30</v>
      </c>
      <c r="U141" s="62" t="s">
        <v>184</v>
      </c>
      <c r="V141" s="177" t="s">
        <v>362</v>
      </c>
      <c r="W141" s="177" t="s">
        <v>363</v>
      </c>
      <c r="X141" s="177">
        <v>34090.589</v>
      </c>
      <c r="Y141" s="177">
        <v>713.36</v>
      </c>
      <c r="Z141" s="178"/>
      <c r="AA141" s="179" t="s">
        <v>361</v>
      </c>
      <c r="AB141" s="21" t="s">
        <v>2</v>
      </c>
      <c r="AH141" s="63">
        <v>1</v>
      </c>
      <c r="AO141" s="10" t="s">
        <v>3</v>
      </c>
      <c r="AP141" s="179" t="s">
        <v>364</v>
      </c>
      <c r="AQ141" s="178"/>
      <c r="AR141" s="177">
        <v>715.06000000000006</v>
      </c>
      <c r="AS141" s="177">
        <v>34088.889000000003</v>
      </c>
      <c r="AT141" s="177" t="s">
        <v>365</v>
      </c>
      <c r="AU141" s="177" t="s">
        <v>366</v>
      </c>
      <c r="AV141" s="62"/>
      <c r="AW141" s="173" t="s">
        <v>30</v>
      </c>
      <c r="AX141" s="175"/>
      <c r="AY141" s="182" t="s">
        <v>29</v>
      </c>
      <c r="AZ141" s="182" t="s">
        <v>100</v>
      </c>
      <c r="BA141" s="175"/>
      <c r="BB141" s="180"/>
      <c r="BC141" s="172"/>
      <c r="BD141" s="172"/>
      <c r="BE141" s="142">
        <v>3.8</v>
      </c>
      <c r="BF141" s="171"/>
      <c r="BG141" s="56">
        <v>-12</v>
      </c>
      <c r="BH141" s="57"/>
      <c r="BI141" s="170"/>
      <c r="BJ141" s="169"/>
      <c r="BK141" s="181"/>
      <c r="BL141" s="36">
        <f>VLOOKUP($AP141,'[1]V1 V2'!$B$5:$BW$1894,74,0)</f>
        <v>0</v>
      </c>
      <c r="BM141" s="36" t="str">
        <f>IF('[1]V1 V2'!X140="","",'[1]V1 V2'!X140)</f>
        <v/>
      </c>
    </row>
    <row r="142" spans="1:65" ht="16" thickBot="1" x14ac:dyDescent="0.4">
      <c r="A142">
        <v>1</v>
      </c>
      <c r="B142" s="167"/>
      <c r="C142" s="167"/>
      <c r="D142" s="132"/>
      <c r="E142" s="36"/>
      <c r="F142" s="168"/>
      <c r="G142" s="169"/>
      <c r="H142" s="170"/>
      <c r="I142" s="168"/>
      <c r="J142" s="56"/>
      <c r="K142" s="171"/>
      <c r="L142" s="142"/>
      <c r="M142" s="172"/>
      <c r="N142" s="173"/>
      <c r="O142" s="174"/>
      <c r="P142" s="175"/>
      <c r="Q142" s="176"/>
      <c r="R142" s="176"/>
      <c r="S142" s="175"/>
      <c r="T142" s="173"/>
      <c r="U142" s="62">
        <v>345</v>
      </c>
      <c r="V142" s="177" t="s">
        <v>89</v>
      </c>
      <c r="W142" s="177" t="s">
        <v>89</v>
      </c>
      <c r="X142" s="177"/>
      <c r="Y142" s="177"/>
      <c r="Z142" s="178">
        <v>12</v>
      </c>
      <c r="AA142" s="179"/>
      <c r="AB142" s="21" t="s">
        <v>2</v>
      </c>
      <c r="AH142" s="63">
        <v>1</v>
      </c>
      <c r="AO142" s="10" t="s">
        <v>3</v>
      </c>
      <c r="AP142" s="179"/>
      <c r="AQ142" s="178">
        <v>12</v>
      </c>
      <c r="AR142" s="177"/>
      <c r="AS142" s="177"/>
      <c r="AT142" s="177" t="s">
        <v>89</v>
      </c>
      <c r="AU142" s="177" t="s">
        <v>89</v>
      </c>
      <c r="AV142" s="62">
        <v>345</v>
      </c>
      <c r="AW142" s="173"/>
      <c r="AX142" s="175"/>
      <c r="AY142" s="176"/>
      <c r="AZ142" s="176"/>
      <c r="BA142" s="175"/>
      <c r="BB142" s="180"/>
      <c r="BC142" s="172"/>
      <c r="BD142" s="172"/>
      <c r="BE142" s="142"/>
      <c r="BF142" s="171"/>
      <c r="BG142" s="56"/>
      <c r="BH142" s="57"/>
      <c r="BI142" s="170"/>
      <c r="BJ142" s="169"/>
      <c r="BK142" s="181"/>
      <c r="BL142" s="36"/>
      <c r="BM142" s="36" t="str">
        <f>IF('[1]V1 V2'!X141="","",'[1]V1 V2'!X141)</f>
        <v/>
      </c>
    </row>
    <row r="143" spans="1:65" ht="16" thickBot="1" x14ac:dyDescent="0.4">
      <c r="A143">
        <v>1</v>
      </c>
      <c r="B143" s="167" t="s">
        <v>367</v>
      </c>
      <c r="C143" s="167"/>
      <c r="D143" s="132"/>
      <c r="E143" s="36">
        <f>VLOOKUP($B143,'[1]V1 V2'!$B$5:$BW$1894,74,0)</f>
        <v>0</v>
      </c>
      <c r="F143" s="168"/>
      <c r="G143" s="169"/>
      <c r="H143" s="170"/>
      <c r="I143" s="168"/>
      <c r="J143" s="56">
        <v>-20</v>
      </c>
      <c r="K143" s="171"/>
      <c r="L143" s="142">
        <v>3.8</v>
      </c>
      <c r="M143" s="172"/>
      <c r="N143" s="173"/>
      <c r="O143" s="174"/>
      <c r="P143" s="175"/>
      <c r="Q143" s="182" t="s">
        <v>100</v>
      </c>
      <c r="R143" s="182" t="s">
        <v>29</v>
      </c>
      <c r="S143" s="175"/>
      <c r="T143" s="173" t="s">
        <v>30</v>
      </c>
      <c r="U143" s="62" t="s">
        <v>184</v>
      </c>
      <c r="V143" s="177" t="s">
        <v>368</v>
      </c>
      <c r="W143" s="177" t="s">
        <v>369</v>
      </c>
      <c r="X143" s="177">
        <v>34078.589</v>
      </c>
      <c r="Y143" s="177">
        <v>725.36</v>
      </c>
      <c r="Z143" s="178"/>
      <c r="AA143" s="179" t="s">
        <v>367</v>
      </c>
      <c r="AB143" s="21" t="s">
        <v>2</v>
      </c>
      <c r="AH143" s="63">
        <v>1</v>
      </c>
      <c r="AO143" s="10" t="s">
        <v>3</v>
      </c>
      <c r="AP143" s="179" t="s">
        <v>370</v>
      </c>
      <c r="AQ143" s="178"/>
      <c r="AR143" s="177">
        <v>727.06000000000006</v>
      </c>
      <c r="AS143" s="177">
        <v>34076.889000000003</v>
      </c>
      <c r="AT143" s="177" t="s">
        <v>371</v>
      </c>
      <c r="AU143" s="177" t="s">
        <v>372</v>
      </c>
      <c r="AV143" s="62"/>
      <c r="AW143" s="173" t="s">
        <v>30</v>
      </c>
      <c r="AX143" s="175"/>
      <c r="AY143" s="182" t="s">
        <v>29</v>
      </c>
      <c r="AZ143" s="182" t="s">
        <v>100</v>
      </c>
      <c r="BA143" s="175"/>
      <c r="BB143" s="180"/>
      <c r="BC143" s="172"/>
      <c r="BD143" s="172"/>
      <c r="BE143" s="142">
        <v>3.8</v>
      </c>
      <c r="BF143" s="171"/>
      <c r="BG143" s="56">
        <v>-20</v>
      </c>
      <c r="BH143" s="57"/>
      <c r="BI143" s="170"/>
      <c r="BJ143" s="169"/>
      <c r="BK143" s="181"/>
      <c r="BL143" s="36">
        <f>VLOOKUP($AP143,'[1]V1 V2'!$B$5:$BW$1894,74,0)</f>
        <v>0</v>
      </c>
      <c r="BM143" s="36" t="str">
        <f>IF('[1]V1 V2'!X142="","",'[1]V1 V2'!X142)</f>
        <v/>
      </c>
    </row>
    <row r="144" spans="1:65" ht="16" thickBot="1" x14ac:dyDescent="0.4">
      <c r="A144">
        <v>1</v>
      </c>
      <c r="B144" s="167"/>
      <c r="C144" s="167"/>
      <c r="D144" s="132"/>
      <c r="E144" s="36"/>
      <c r="F144" s="184"/>
      <c r="G144" s="185"/>
      <c r="H144" s="186"/>
      <c r="I144" s="184"/>
      <c r="J144" s="135"/>
      <c r="K144" s="187"/>
      <c r="L144" s="142"/>
      <c r="M144" s="188"/>
      <c r="N144" s="189"/>
      <c r="O144" s="190"/>
      <c r="P144" s="191"/>
      <c r="Q144" s="176"/>
      <c r="R144" s="176"/>
      <c r="S144" s="191"/>
      <c r="T144" s="173"/>
      <c r="U144" s="132">
        <v>345</v>
      </c>
      <c r="V144" s="177" t="s">
        <v>89</v>
      </c>
      <c r="W144" s="177" t="s">
        <v>89</v>
      </c>
      <c r="X144" s="177"/>
      <c r="Y144" s="177"/>
      <c r="Z144" s="178">
        <v>12</v>
      </c>
      <c r="AA144" s="179"/>
      <c r="AB144" s="21" t="s">
        <v>2</v>
      </c>
      <c r="AH144" s="63">
        <v>1</v>
      </c>
      <c r="AO144" s="10" t="s">
        <v>3</v>
      </c>
      <c r="AP144" s="179"/>
      <c r="AQ144" s="178">
        <v>12</v>
      </c>
      <c r="AR144" s="177"/>
      <c r="AS144" s="177"/>
      <c r="AT144" s="177" t="s">
        <v>89</v>
      </c>
      <c r="AU144" s="177" t="s">
        <v>89</v>
      </c>
      <c r="AV144" s="132">
        <v>345</v>
      </c>
      <c r="AW144" s="173"/>
      <c r="AX144" s="191"/>
      <c r="AY144" s="176"/>
      <c r="AZ144" s="176"/>
      <c r="BA144" s="191"/>
      <c r="BB144" s="192"/>
      <c r="BC144" s="188"/>
      <c r="BD144" s="188"/>
      <c r="BE144" s="142"/>
      <c r="BF144" s="187"/>
      <c r="BG144" s="135"/>
      <c r="BH144" s="136"/>
      <c r="BI144" s="186"/>
      <c r="BJ144" s="185"/>
      <c r="BK144" s="193"/>
      <c r="BL144" s="36"/>
      <c r="BM144" s="36" t="str">
        <f>IF('[1]V1 V2'!X143="","",'[1]V1 V2'!X143)</f>
        <v/>
      </c>
    </row>
    <row r="145" spans="1:65" ht="16" thickBot="1" x14ac:dyDescent="0.4">
      <c r="A145">
        <v>1</v>
      </c>
      <c r="B145" s="167" t="s">
        <v>373</v>
      </c>
      <c r="C145" s="167"/>
      <c r="D145" s="132"/>
      <c r="E145" s="36">
        <f>VLOOKUP($B145,'[1]V1 V2'!$B$5:$BW$1894,74,0)</f>
        <v>0</v>
      </c>
      <c r="F145" s="194"/>
      <c r="G145" s="195"/>
      <c r="H145" s="196"/>
      <c r="I145" s="168"/>
      <c r="J145" s="56">
        <v>-12</v>
      </c>
      <c r="K145" s="171"/>
      <c r="L145" s="142">
        <v>3.8</v>
      </c>
      <c r="M145" s="172"/>
      <c r="N145" s="173"/>
      <c r="O145" s="174"/>
      <c r="P145" s="175"/>
      <c r="Q145" s="182" t="s">
        <v>100</v>
      </c>
      <c r="R145" s="182" t="s">
        <v>29</v>
      </c>
      <c r="S145" s="175"/>
      <c r="T145" s="173" t="s">
        <v>30</v>
      </c>
      <c r="U145" s="62" t="s">
        <v>184</v>
      </c>
      <c r="V145" s="177" t="s">
        <v>374</v>
      </c>
      <c r="W145" s="177" t="s">
        <v>375</v>
      </c>
      <c r="X145" s="177">
        <v>34066.589</v>
      </c>
      <c r="Y145" s="177">
        <v>737.36</v>
      </c>
      <c r="Z145" s="178"/>
      <c r="AA145" s="179" t="s">
        <v>373</v>
      </c>
      <c r="AB145" s="21" t="s">
        <v>2</v>
      </c>
      <c r="AC145" s="163"/>
      <c r="AD145" s="163"/>
      <c r="AE145" s="163"/>
      <c r="AF145" s="163"/>
      <c r="AG145" s="163"/>
      <c r="AH145" s="164">
        <v>1</v>
      </c>
      <c r="AI145" s="163"/>
      <c r="AJ145" s="163"/>
      <c r="AK145" s="163"/>
      <c r="AL145" s="163"/>
      <c r="AM145" s="163"/>
      <c r="AN145" s="163"/>
      <c r="AO145" s="10" t="s">
        <v>3</v>
      </c>
      <c r="AP145" s="179" t="s">
        <v>376</v>
      </c>
      <c r="AQ145" s="178"/>
      <c r="AR145" s="177">
        <v>739.06000000000006</v>
      </c>
      <c r="AS145" s="177">
        <v>34064.889000000003</v>
      </c>
      <c r="AT145" s="177" t="s">
        <v>377</v>
      </c>
      <c r="AU145" s="177" t="s">
        <v>378</v>
      </c>
      <c r="AV145" s="62"/>
      <c r="AW145" s="173" t="s">
        <v>30</v>
      </c>
      <c r="AX145" s="175"/>
      <c r="AY145" s="182" t="s">
        <v>29</v>
      </c>
      <c r="AZ145" s="182" t="s">
        <v>100</v>
      </c>
      <c r="BA145" s="175"/>
      <c r="BB145" s="180"/>
      <c r="BC145" s="172"/>
      <c r="BD145" s="172"/>
      <c r="BE145" s="142">
        <v>3.8</v>
      </c>
      <c r="BF145" s="171"/>
      <c r="BG145" s="56">
        <v>-12</v>
      </c>
      <c r="BH145" s="57"/>
      <c r="BI145" s="196"/>
      <c r="BJ145" s="195"/>
      <c r="BK145" s="197"/>
      <c r="BL145" s="36">
        <f>VLOOKUP($AP145,'[1]V1 V2'!$B$5:$BW$1894,74,0)</f>
        <v>0</v>
      </c>
      <c r="BM145" s="36" t="str">
        <f>IF('[1]V1 V2'!X144="","",'[1]V1 V2'!X144)</f>
        <v/>
      </c>
    </row>
    <row r="146" spans="1:65" ht="16" thickBot="1" x14ac:dyDescent="0.4">
      <c r="A146">
        <v>1</v>
      </c>
      <c r="B146" s="167"/>
      <c r="C146" s="167"/>
      <c r="D146" s="132"/>
      <c r="E146" s="36"/>
      <c r="F146" s="194"/>
      <c r="G146" s="195"/>
      <c r="H146" s="196"/>
      <c r="I146" s="168"/>
      <c r="J146" s="56"/>
      <c r="K146" s="171"/>
      <c r="L146" s="142"/>
      <c r="M146" s="172"/>
      <c r="N146" s="173"/>
      <c r="O146" s="174"/>
      <c r="P146" s="175"/>
      <c r="Q146" s="176"/>
      <c r="R146" s="176"/>
      <c r="S146" s="175"/>
      <c r="T146" s="173"/>
      <c r="U146" s="62" t="s">
        <v>48</v>
      </c>
      <c r="V146" s="177" t="s">
        <v>89</v>
      </c>
      <c r="W146" s="177" t="s">
        <v>89</v>
      </c>
      <c r="X146" s="177"/>
      <c r="Y146" s="177"/>
      <c r="Z146" s="178">
        <v>12</v>
      </c>
      <c r="AA146" s="179"/>
      <c r="AB146" s="21" t="s">
        <v>2</v>
      </c>
      <c r="AC146" s="113"/>
      <c r="AD146" s="113"/>
      <c r="AE146" s="113"/>
      <c r="AF146" s="113"/>
      <c r="AG146" s="113"/>
      <c r="AH146" s="166">
        <f>Y145</f>
        <v>737.36</v>
      </c>
      <c r="AI146" s="113"/>
      <c r="AJ146" s="113"/>
      <c r="AK146" s="113"/>
      <c r="AL146" s="113"/>
      <c r="AM146" s="113"/>
      <c r="AN146" s="113"/>
      <c r="AO146" s="10" t="s">
        <v>3</v>
      </c>
      <c r="AP146" s="179"/>
      <c r="AQ146" s="178">
        <v>12</v>
      </c>
      <c r="AR146" s="177"/>
      <c r="AS146" s="177"/>
      <c r="AT146" s="177" t="s">
        <v>89</v>
      </c>
      <c r="AU146" s="177" t="s">
        <v>89</v>
      </c>
      <c r="AV146" s="62" t="s">
        <v>48</v>
      </c>
      <c r="AW146" s="173"/>
      <c r="AX146" s="175"/>
      <c r="AY146" s="176"/>
      <c r="AZ146" s="176"/>
      <c r="BA146" s="175"/>
      <c r="BB146" s="180"/>
      <c r="BC146" s="172"/>
      <c r="BD146" s="172"/>
      <c r="BE146" s="142"/>
      <c r="BF146" s="171"/>
      <c r="BG146" s="56"/>
      <c r="BH146" s="57"/>
      <c r="BI146" s="196"/>
      <c r="BJ146" s="195"/>
      <c r="BK146" s="197"/>
      <c r="BL146" s="36"/>
      <c r="BM146" s="36" t="str">
        <f>IF('[1]V1 V2'!X145="","",'[1]V1 V2'!X145)</f>
        <v/>
      </c>
    </row>
    <row r="147" spans="1:65" ht="16" thickBot="1" x14ac:dyDescent="0.4">
      <c r="A147">
        <v>1</v>
      </c>
      <c r="B147" s="167" t="s">
        <v>379</v>
      </c>
      <c r="C147" s="167"/>
      <c r="D147" s="132"/>
      <c r="E147" s="36">
        <f>VLOOKUP($B147,'[1]V1 V2'!$B$5:$BW$1894,74,0)</f>
        <v>0</v>
      </c>
      <c r="F147" s="194"/>
      <c r="G147" s="195"/>
      <c r="H147" s="196"/>
      <c r="I147" s="168"/>
      <c r="J147" s="56">
        <v>-4</v>
      </c>
      <c r="K147" s="171"/>
      <c r="L147" s="142">
        <v>3.8</v>
      </c>
      <c r="M147" s="172"/>
      <c r="N147" s="173"/>
      <c r="O147" s="174"/>
      <c r="P147" s="175"/>
      <c r="Q147" s="182" t="s">
        <v>100</v>
      </c>
      <c r="R147" s="182" t="s">
        <v>29</v>
      </c>
      <c r="S147" s="175"/>
      <c r="T147" s="173" t="s">
        <v>30</v>
      </c>
      <c r="U147" s="62" t="s">
        <v>184</v>
      </c>
      <c r="V147" s="177" t="s">
        <v>380</v>
      </c>
      <c r="W147" s="177" t="s">
        <v>381</v>
      </c>
      <c r="X147" s="177">
        <v>34054.589</v>
      </c>
      <c r="Y147" s="177">
        <v>749.36</v>
      </c>
      <c r="Z147" s="178"/>
      <c r="AA147" s="179" t="s">
        <v>379</v>
      </c>
      <c r="AB147" s="21" t="s">
        <v>2</v>
      </c>
      <c r="AH147" s="63">
        <v>1</v>
      </c>
      <c r="AO147" s="10" t="s">
        <v>3</v>
      </c>
      <c r="AP147" s="179" t="s">
        <v>382</v>
      </c>
      <c r="AQ147" s="178"/>
      <c r="AR147" s="177">
        <v>751.06000000000006</v>
      </c>
      <c r="AS147" s="177">
        <v>34052.889000000003</v>
      </c>
      <c r="AT147" s="177" t="s">
        <v>383</v>
      </c>
      <c r="AU147" s="177" t="s">
        <v>384</v>
      </c>
      <c r="AV147" s="62"/>
      <c r="AW147" s="173" t="s">
        <v>30</v>
      </c>
      <c r="AX147" s="175"/>
      <c r="AY147" s="182" t="s">
        <v>29</v>
      </c>
      <c r="AZ147" s="182" t="s">
        <v>100</v>
      </c>
      <c r="BA147" s="175"/>
      <c r="BB147" s="180"/>
      <c r="BC147" s="172"/>
      <c r="BD147" s="172"/>
      <c r="BE147" s="142">
        <v>3.8</v>
      </c>
      <c r="BF147" s="171"/>
      <c r="BG147" s="56">
        <v>-4</v>
      </c>
      <c r="BH147" s="57"/>
      <c r="BI147" s="196"/>
      <c r="BJ147" s="195"/>
      <c r="BK147" s="197"/>
      <c r="BL147" s="36">
        <f>VLOOKUP($AP147,'[1]V1 V2'!$B$5:$BW$1894,74,0)</f>
        <v>0</v>
      </c>
      <c r="BM147" s="36" t="str">
        <f>IF('[1]V1 V2'!X146="","",'[1]V1 V2'!X146)</f>
        <v/>
      </c>
    </row>
    <row r="148" spans="1:65" ht="16" thickBot="1" x14ac:dyDescent="0.4">
      <c r="A148">
        <v>1</v>
      </c>
      <c r="B148" s="167"/>
      <c r="C148" s="167"/>
      <c r="D148" s="132"/>
      <c r="E148" s="36"/>
      <c r="F148" s="194"/>
      <c r="G148" s="195"/>
      <c r="H148" s="196"/>
      <c r="I148" s="168"/>
      <c r="J148" s="56"/>
      <c r="K148" s="171"/>
      <c r="L148" s="142"/>
      <c r="M148" s="172"/>
      <c r="N148" s="173"/>
      <c r="O148" s="174"/>
      <c r="P148" s="175"/>
      <c r="Q148" s="176"/>
      <c r="R148" s="176"/>
      <c r="S148" s="175"/>
      <c r="T148" s="173"/>
      <c r="U148" s="62" t="s">
        <v>48</v>
      </c>
      <c r="V148" s="177" t="s">
        <v>89</v>
      </c>
      <c r="W148" s="177" t="s">
        <v>89</v>
      </c>
      <c r="X148" s="177"/>
      <c r="Y148" s="177"/>
      <c r="Z148" s="178">
        <v>12</v>
      </c>
      <c r="AA148" s="179"/>
      <c r="AB148" s="21" t="s">
        <v>2</v>
      </c>
      <c r="AH148" s="63">
        <v>1</v>
      </c>
      <c r="AO148" s="10" t="s">
        <v>3</v>
      </c>
      <c r="AP148" s="179"/>
      <c r="AQ148" s="178">
        <v>12</v>
      </c>
      <c r="AR148" s="177"/>
      <c r="AS148" s="177"/>
      <c r="AT148" s="177" t="s">
        <v>89</v>
      </c>
      <c r="AU148" s="177" t="s">
        <v>89</v>
      </c>
      <c r="AV148" s="62" t="s">
        <v>48</v>
      </c>
      <c r="AW148" s="173"/>
      <c r="AX148" s="175"/>
      <c r="AY148" s="176"/>
      <c r="AZ148" s="176"/>
      <c r="BA148" s="175"/>
      <c r="BB148" s="180"/>
      <c r="BC148" s="172"/>
      <c r="BD148" s="172"/>
      <c r="BE148" s="142"/>
      <c r="BF148" s="171"/>
      <c r="BG148" s="56"/>
      <c r="BH148" s="57"/>
      <c r="BI148" s="196"/>
      <c r="BJ148" s="195"/>
      <c r="BK148" s="197"/>
      <c r="BL148" s="36"/>
      <c r="BM148" s="36" t="str">
        <f>IF('[1]V1 V2'!X147="","",'[1]V1 V2'!X147)</f>
        <v/>
      </c>
    </row>
    <row r="149" spans="1:65" ht="16" thickBot="1" x14ac:dyDescent="0.4">
      <c r="A149">
        <v>1</v>
      </c>
      <c r="B149" s="167" t="s">
        <v>385</v>
      </c>
      <c r="C149" s="167"/>
      <c r="D149" s="132"/>
      <c r="E149" s="36">
        <f>VLOOKUP($B149,'[1]V1 V2'!$B$5:$BW$1894,74,0)</f>
        <v>0</v>
      </c>
      <c r="F149" s="194"/>
      <c r="G149" s="195"/>
      <c r="H149" s="196"/>
      <c r="I149" s="168"/>
      <c r="J149" s="56" t="s">
        <v>113</v>
      </c>
      <c r="K149" s="171"/>
      <c r="L149" s="142">
        <v>3.8</v>
      </c>
      <c r="M149" s="172"/>
      <c r="N149" s="173"/>
      <c r="O149" s="174"/>
      <c r="P149" s="175"/>
      <c r="Q149" s="182" t="s">
        <v>100</v>
      </c>
      <c r="R149" s="182" t="s">
        <v>29</v>
      </c>
      <c r="S149" s="175"/>
      <c r="T149" s="173" t="s">
        <v>30</v>
      </c>
      <c r="U149" s="62" t="s">
        <v>184</v>
      </c>
      <c r="V149" s="177" t="s">
        <v>386</v>
      </c>
      <c r="W149" s="177" t="s">
        <v>387</v>
      </c>
      <c r="X149" s="177">
        <v>34042.589</v>
      </c>
      <c r="Y149" s="177">
        <v>761.36</v>
      </c>
      <c r="Z149" s="178"/>
      <c r="AA149" s="179" t="s">
        <v>385</v>
      </c>
      <c r="AB149" s="21" t="s">
        <v>2</v>
      </c>
      <c r="AH149" s="63">
        <v>1</v>
      </c>
      <c r="AO149" s="10" t="s">
        <v>3</v>
      </c>
      <c r="AP149" s="179" t="s">
        <v>388</v>
      </c>
      <c r="AQ149" s="178"/>
      <c r="AR149" s="177">
        <v>763.06000000000006</v>
      </c>
      <c r="AS149" s="177">
        <v>34040.889000000003</v>
      </c>
      <c r="AT149" s="177" t="s">
        <v>389</v>
      </c>
      <c r="AU149" s="177" t="s">
        <v>390</v>
      </c>
      <c r="AV149" s="62"/>
      <c r="AW149" s="173" t="s">
        <v>30</v>
      </c>
      <c r="AX149" s="175"/>
      <c r="AY149" s="182" t="s">
        <v>29</v>
      </c>
      <c r="AZ149" s="182" t="s">
        <v>100</v>
      </c>
      <c r="BA149" s="175"/>
      <c r="BB149" s="180"/>
      <c r="BC149" s="172"/>
      <c r="BD149" s="172"/>
      <c r="BE149" s="142">
        <v>3.8</v>
      </c>
      <c r="BF149" s="171"/>
      <c r="BG149" s="183" t="s">
        <v>113</v>
      </c>
      <c r="BH149" s="57"/>
      <c r="BI149" s="196"/>
      <c r="BJ149" s="195"/>
      <c r="BK149" s="197"/>
      <c r="BL149" s="36">
        <f>VLOOKUP($AP149,'[1]V1 V2'!$B$5:$BW$1894,74,0)</f>
        <v>0</v>
      </c>
      <c r="BM149" s="36" t="str">
        <f>IF('[1]V1 V2'!X148="","",'[1]V1 V2'!X148)</f>
        <v/>
      </c>
    </row>
    <row r="150" spans="1:65" ht="16" thickBot="1" x14ac:dyDescent="0.4">
      <c r="A150">
        <v>1</v>
      </c>
      <c r="B150" s="167"/>
      <c r="C150" s="167"/>
      <c r="D150" s="132"/>
      <c r="E150" s="36"/>
      <c r="F150" s="194"/>
      <c r="G150" s="195"/>
      <c r="H150" s="196"/>
      <c r="I150" s="168"/>
      <c r="J150" s="56"/>
      <c r="K150" s="171"/>
      <c r="L150" s="142"/>
      <c r="M150" s="172"/>
      <c r="N150" s="173"/>
      <c r="O150" s="174"/>
      <c r="P150" s="175"/>
      <c r="Q150" s="176"/>
      <c r="R150" s="176"/>
      <c r="S150" s="175"/>
      <c r="T150" s="173"/>
      <c r="U150" s="62" t="s">
        <v>48</v>
      </c>
      <c r="V150" s="177" t="s">
        <v>89</v>
      </c>
      <c r="W150" s="177" t="s">
        <v>89</v>
      </c>
      <c r="X150" s="177"/>
      <c r="Y150" s="177"/>
      <c r="Z150" s="178">
        <v>12</v>
      </c>
      <c r="AA150" s="179"/>
      <c r="AB150" s="21" t="s">
        <v>2</v>
      </c>
      <c r="AH150" s="63">
        <v>1</v>
      </c>
      <c r="AO150" s="10" t="s">
        <v>3</v>
      </c>
      <c r="AP150" s="179"/>
      <c r="AQ150" s="178">
        <v>11.7</v>
      </c>
      <c r="AR150" s="177"/>
      <c r="AS150" s="177"/>
      <c r="AT150" s="177" t="s">
        <v>89</v>
      </c>
      <c r="AU150" s="177" t="s">
        <v>89</v>
      </c>
      <c r="AV150" s="62" t="s">
        <v>48</v>
      </c>
      <c r="AW150" s="173"/>
      <c r="AX150" s="175"/>
      <c r="AY150" s="176"/>
      <c r="AZ150" s="176"/>
      <c r="BA150" s="175"/>
      <c r="BB150" s="180"/>
      <c r="BC150" s="172"/>
      <c r="BD150" s="172"/>
      <c r="BE150" s="142"/>
      <c r="BF150" s="171"/>
      <c r="BG150" s="56"/>
      <c r="BH150" s="57"/>
      <c r="BI150" s="196"/>
      <c r="BJ150" s="195"/>
      <c r="BK150" s="197"/>
      <c r="BL150" s="36"/>
      <c r="BM150" s="36" t="str">
        <f>IF('[1]V1 V2'!X149="","",'[1]V1 V2'!X149)</f>
        <v/>
      </c>
    </row>
    <row r="151" spans="1:65" ht="16" thickBot="1" x14ac:dyDescent="0.4">
      <c r="A151">
        <v>1</v>
      </c>
      <c r="B151" s="143" t="s">
        <v>391</v>
      </c>
      <c r="C151" s="143"/>
      <c r="D151" s="200" t="s">
        <v>392</v>
      </c>
      <c r="E151" s="36">
        <f>VLOOKUP($B151,'[1]V1 V2'!$B$5:$BW$1894,74,0)</f>
        <v>0</v>
      </c>
      <c r="F151" s="144"/>
      <c r="G151" s="145"/>
      <c r="H151" s="69" t="s">
        <v>197</v>
      </c>
      <c r="I151" s="146" t="s">
        <v>120</v>
      </c>
      <c r="J151" s="86">
        <v>-12</v>
      </c>
      <c r="K151" s="147"/>
      <c r="L151" s="148">
        <v>3.8</v>
      </c>
      <c r="M151" s="149"/>
      <c r="N151" s="150"/>
      <c r="O151" s="151"/>
      <c r="P151" s="152"/>
      <c r="Q151" s="153" t="s">
        <v>83</v>
      </c>
      <c r="R151" s="153" t="s">
        <v>29</v>
      </c>
      <c r="S151" s="152"/>
      <c r="T151" s="150" t="s">
        <v>33</v>
      </c>
      <c r="U151" s="80" t="s">
        <v>184</v>
      </c>
      <c r="V151" s="154" t="s">
        <v>393</v>
      </c>
      <c r="W151" s="154" t="s">
        <v>394</v>
      </c>
      <c r="X151" s="154">
        <v>34030.589</v>
      </c>
      <c r="Y151" s="154">
        <v>773.36</v>
      </c>
      <c r="Z151" s="155"/>
      <c r="AA151" s="156" t="s">
        <v>391</v>
      </c>
      <c r="AB151" s="21" t="s">
        <v>2</v>
      </c>
      <c r="AH151" s="63">
        <v>1</v>
      </c>
      <c r="AO151" s="10" t="s">
        <v>3</v>
      </c>
      <c r="AP151" s="156" t="s">
        <v>395</v>
      </c>
      <c r="AQ151" s="155"/>
      <c r="AR151" s="154">
        <v>774.7600000000001</v>
      </c>
      <c r="AS151" s="154">
        <v>34029.188999999998</v>
      </c>
      <c r="AT151" s="154" t="s">
        <v>396</v>
      </c>
      <c r="AU151" s="154" t="s">
        <v>397</v>
      </c>
      <c r="AV151" s="80"/>
      <c r="AW151" s="150" t="s">
        <v>33</v>
      </c>
      <c r="AX151" s="152"/>
      <c r="AY151" s="153" t="s">
        <v>29</v>
      </c>
      <c r="AZ151" s="153" t="s">
        <v>83</v>
      </c>
      <c r="BA151" s="152"/>
      <c r="BB151" s="157"/>
      <c r="BC151" s="149"/>
      <c r="BD151" s="149"/>
      <c r="BE151" s="148">
        <v>3.8</v>
      </c>
      <c r="BF151" s="147"/>
      <c r="BG151" s="86">
        <v>-12</v>
      </c>
      <c r="BH151" s="201" t="s">
        <v>120</v>
      </c>
      <c r="BI151" s="69" t="s">
        <v>203</v>
      </c>
      <c r="BJ151" s="145"/>
      <c r="BK151" s="160"/>
      <c r="BL151" s="36">
        <f>VLOOKUP($AP151,'[1]V1 V2'!$B$5:$BW$1894,74,0)</f>
        <v>0</v>
      </c>
      <c r="BM151" s="202" t="str">
        <f>IF('[1]V1 V2'!X150="","",'[1]V1 V2'!X150)</f>
        <v>FA</v>
      </c>
    </row>
    <row r="152" spans="1:65" ht="16" thickBot="1" x14ac:dyDescent="0.4">
      <c r="A152">
        <v>1</v>
      </c>
      <c r="B152" s="143"/>
      <c r="C152" s="143"/>
      <c r="D152" s="80"/>
      <c r="E152" s="36"/>
      <c r="F152" s="144"/>
      <c r="G152" s="145"/>
      <c r="H152" s="92" t="s">
        <v>8</v>
      </c>
      <c r="I152" s="146"/>
      <c r="J152" s="86"/>
      <c r="K152" s="147"/>
      <c r="L152" s="148"/>
      <c r="M152" s="149"/>
      <c r="N152" s="150"/>
      <c r="O152" s="151"/>
      <c r="P152" s="152"/>
      <c r="Q152" s="153"/>
      <c r="R152" s="153"/>
      <c r="S152" s="152"/>
      <c r="T152" s="150"/>
      <c r="U152" s="80" t="s">
        <v>48</v>
      </c>
      <c r="V152" s="154" t="s">
        <v>89</v>
      </c>
      <c r="W152" s="154" t="s">
        <v>89</v>
      </c>
      <c r="X152" s="154"/>
      <c r="Y152" s="154"/>
      <c r="Z152" s="155">
        <v>6.2</v>
      </c>
      <c r="AA152" s="156"/>
      <c r="AB152" s="21" t="s">
        <v>2</v>
      </c>
      <c r="AH152" s="63">
        <v>1</v>
      </c>
      <c r="AO152" s="10" t="s">
        <v>3</v>
      </c>
      <c r="AP152" s="156"/>
      <c r="AQ152" s="155">
        <v>6.2</v>
      </c>
      <c r="AR152" s="154"/>
      <c r="AS152" s="154"/>
      <c r="AT152" s="154" t="s">
        <v>89</v>
      </c>
      <c r="AU152" s="154" t="s">
        <v>89</v>
      </c>
      <c r="AV152" s="80" t="s">
        <v>48</v>
      </c>
      <c r="AW152" s="150"/>
      <c r="AX152" s="152"/>
      <c r="AY152" s="153"/>
      <c r="AZ152" s="153"/>
      <c r="BA152" s="152"/>
      <c r="BB152" s="157"/>
      <c r="BC152" s="149"/>
      <c r="BD152" s="149"/>
      <c r="BE152" s="148"/>
      <c r="BF152" s="147"/>
      <c r="BG152" s="86"/>
      <c r="BH152" s="87"/>
      <c r="BI152" s="92" t="s">
        <v>8</v>
      </c>
      <c r="BJ152" s="145"/>
      <c r="BK152" s="160"/>
      <c r="BL152" s="36"/>
      <c r="BM152" s="36" t="str">
        <f>IF('[1]V1 V2'!X151="","",'[1]V1 V2'!X151)</f>
        <v/>
      </c>
    </row>
    <row r="153" spans="1:65" ht="16" thickBot="1" x14ac:dyDescent="0.4">
      <c r="A153">
        <v>1</v>
      </c>
      <c r="B153" s="203" t="s">
        <v>398</v>
      </c>
      <c r="C153" s="204"/>
      <c r="D153" s="205"/>
      <c r="E153" s="36"/>
      <c r="F153" s="206" t="s">
        <v>399</v>
      </c>
      <c r="G153" s="207" t="s">
        <v>400</v>
      </c>
      <c r="H153" s="98" t="s">
        <v>401</v>
      </c>
      <c r="I153" s="206" t="s">
        <v>127</v>
      </c>
      <c r="J153" s="117">
        <v>-20</v>
      </c>
      <c r="K153" s="208"/>
      <c r="L153" s="209">
        <v>3.8</v>
      </c>
      <c r="M153" s="210"/>
      <c r="N153" s="211"/>
      <c r="O153" s="212"/>
      <c r="P153" s="213"/>
      <c r="Q153" s="214" t="s">
        <v>83</v>
      </c>
      <c r="R153" s="214" t="s">
        <v>29</v>
      </c>
      <c r="S153" s="213"/>
      <c r="T153" s="211" t="s">
        <v>33</v>
      </c>
      <c r="U153" s="108" t="s">
        <v>184</v>
      </c>
      <c r="V153" s="215" t="s">
        <v>402</v>
      </c>
      <c r="W153" s="215" t="s">
        <v>403</v>
      </c>
      <c r="X153" s="215">
        <v>34024.389000000003</v>
      </c>
      <c r="Y153" s="215">
        <v>779.56000000000006</v>
      </c>
      <c r="Z153" s="216"/>
      <c r="AA153" s="217" t="s">
        <v>398</v>
      </c>
      <c r="AB153" s="21" t="s">
        <v>2</v>
      </c>
      <c r="AH153" s="63">
        <v>1</v>
      </c>
      <c r="AO153" s="10" t="s">
        <v>3</v>
      </c>
      <c r="AP153" s="217" t="s">
        <v>404</v>
      </c>
      <c r="AQ153" s="216"/>
      <c r="AR153" s="215">
        <v>780.96000000000015</v>
      </c>
      <c r="AS153" s="215">
        <v>34022.989000000001</v>
      </c>
      <c r="AT153" s="215" t="s">
        <v>405</v>
      </c>
      <c r="AU153" s="215" t="s">
        <v>406</v>
      </c>
      <c r="AV153" s="108"/>
      <c r="AW153" s="211" t="s">
        <v>33</v>
      </c>
      <c r="AX153" s="213"/>
      <c r="AY153" s="214" t="s">
        <v>29</v>
      </c>
      <c r="AZ153" s="214" t="s">
        <v>83</v>
      </c>
      <c r="BA153" s="213"/>
      <c r="BB153" s="218"/>
      <c r="BC153" s="210"/>
      <c r="BD153" s="210"/>
      <c r="BE153" s="209">
        <v>3.8</v>
      </c>
      <c r="BF153" s="208"/>
      <c r="BG153" s="117">
        <v>-20</v>
      </c>
      <c r="BH153" s="219" t="s">
        <v>127</v>
      </c>
      <c r="BI153" s="98" t="s">
        <v>401</v>
      </c>
      <c r="BJ153" s="207" t="s">
        <v>400</v>
      </c>
      <c r="BK153" s="220" t="s">
        <v>399</v>
      </c>
      <c r="BL153" s="36">
        <f>VLOOKUP($AP153,'[1]V1 V2'!$B$5:$BW$1894,74,0)</f>
        <v>0</v>
      </c>
      <c r="BM153" s="36" t="str">
        <f>IF('[1]V1 V2'!X152="","",'[1]V1 V2'!X152)</f>
        <v/>
      </c>
    </row>
    <row r="154" spans="1:65" ht="16" thickBot="1" x14ac:dyDescent="0.4">
      <c r="A154">
        <v>1</v>
      </c>
      <c r="B154" s="167"/>
      <c r="C154" s="167"/>
      <c r="D154" s="132"/>
      <c r="E154" s="36"/>
      <c r="F154" s="194"/>
      <c r="G154" s="195"/>
      <c r="H154" s="196"/>
      <c r="I154" s="168"/>
      <c r="J154" s="56"/>
      <c r="K154" s="171"/>
      <c r="L154" s="142"/>
      <c r="M154" s="188"/>
      <c r="N154" s="189"/>
      <c r="O154" s="190"/>
      <c r="P154" s="191"/>
      <c r="Q154" s="221"/>
      <c r="R154" s="221"/>
      <c r="S154" s="191"/>
      <c r="T154" s="189"/>
      <c r="U154" s="132" t="s">
        <v>48</v>
      </c>
      <c r="V154" s="222" t="s">
        <v>89</v>
      </c>
      <c r="W154" s="222" t="s">
        <v>89</v>
      </c>
      <c r="X154" s="222"/>
      <c r="Y154" s="222"/>
      <c r="Z154" s="198">
        <v>11.6</v>
      </c>
      <c r="AA154" s="179"/>
      <c r="AB154" s="21" t="s">
        <v>2</v>
      </c>
      <c r="AH154" s="63">
        <v>1</v>
      </c>
      <c r="AO154" s="10" t="s">
        <v>3</v>
      </c>
      <c r="AP154" s="179"/>
      <c r="AQ154" s="178">
        <v>12</v>
      </c>
      <c r="AR154" s="177"/>
      <c r="AS154" s="177"/>
      <c r="AT154" s="177" t="s">
        <v>89</v>
      </c>
      <c r="AU154" s="177" t="s">
        <v>89</v>
      </c>
      <c r="AV154" s="62" t="s">
        <v>48</v>
      </c>
      <c r="AW154" s="173"/>
      <c r="AX154" s="175"/>
      <c r="AY154" s="176"/>
      <c r="AZ154" s="176"/>
      <c r="BA154" s="175"/>
      <c r="BB154" s="180"/>
      <c r="BC154" s="172"/>
      <c r="BD154" s="172"/>
      <c r="BE154" s="142"/>
      <c r="BF154" s="171"/>
      <c r="BG154" s="56"/>
      <c r="BH154" s="57"/>
      <c r="BI154" s="196"/>
      <c r="BJ154" s="195"/>
      <c r="BK154" s="197"/>
      <c r="BL154" s="36"/>
      <c r="BM154" s="36" t="str">
        <f>IF('[1]V1 V2'!X153="","",'[1]V1 V2'!X153)</f>
        <v/>
      </c>
    </row>
    <row r="155" spans="1:65" ht="16" thickBot="1" x14ac:dyDescent="0.4">
      <c r="A155">
        <v>1</v>
      </c>
      <c r="B155" s="167" t="s">
        <v>407</v>
      </c>
      <c r="C155" s="167"/>
      <c r="D155" s="132"/>
      <c r="E155" s="36">
        <f>VLOOKUP($B155,'[1]V1 V2'!$B$5:$BW$1894,74,0)</f>
        <v>0</v>
      </c>
      <c r="F155" s="194"/>
      <c r="G155" s="195"/>
      <c r="H155" s="196"/>
      <c r="I155" s="168"/>
      <c r="J155" s="56">
        <v>-12</v>
      </c>
      <c r="K155" s="171"/>
      <c r="L155" s="142">
        <v>3.8</v>
      </c>
      <c r="M155" s="188"/>
      <c r="N155" s="189"/>
      <c r="O155" s="190"/>
      <c r="P155" s="191"/>
      <c r="Q155" s="223" t="s">
        <v>100</v>
      </c>
      <c r="R155" s="223" t="s">
        <v>29</v>
      </c>
      <c r="S155" s="191"/>
      <c r="T155" s="189" t="s">
        <v>30</v>
      </c>
      <c r="U155" s="132"/>
      <c r="V155" s="222" t="s">
        <v>408</v>
      </c>
      <c r="W155" s="222" t="s">
        <v>409</v>
      </c>
      <c r="X155" s="222">
        <v>34012.788999999997</v>
      </c>
      <c r="Y155" s="222">
        <v>791.16000000000008</v>
      </c>
      <c r="Z155" s="198"/>
      <c r="AA155" s="179" t="s">
        <v>407</v>
      </c>
      <c r="AB155" s="21" t="s">
        <v>2</v>
      </c>
      <c r="AH155" s="63">
        <v>1</v>
      </c>
      <c r="AO155" s="10" t="s">
        <v>3</v>
      </c>
      <c r="AP155" s="179" t="s">
        <v>410</v>
      </c>
      <c r="AQ155" s="178"/>
      <c r="AR155" s="177">
        <v>792.96000000000015</v>
      </c>
      <c r="AS155" s="177">
        <v>34010.989000000001</v>
      </c>
      <c r="AT155" s="177" t="s">
        <v>411</v>
      </c>
      <c r="AU155" s="177" t="s">
        <v>412</v>
      </c>
      <c r="AV155" s="62"/>
      <c r="AW155" s="173" t="s">
        <v>30</v>
      </c>
      <c r="AX155" s="175"/>
      <c r="AY155" s="182" t="s">
        <v>29</v>
      </c>
      <c r="AZ155" s="182" t="s">
        <v>100</v>
      </c>
      <c r="BA155" s="175"/>
      <c r="BB155" s="180"/>
      <c r="BC155" s="172"/>
      <c r="BD155" s="172"/>
      <c r="BE155" s="142">
        <v>3.8</v>
      </c>
      <c r="BF155" s="171"/>
      <c r="BG155" s="56">
        <v>-12</v>
      </c>
      <c r="BH155" s="57"/>
      <c r="BI155" s="196"/>
      <c r="BJ155" s="195"/>
      <c r="BK155" s="197"/>
      <c r="BL155" s="36">
        <f>VLOOKUP($AP155,'[1]V1 V2'!$B$5:$BW$1894,74,0)</f>
        <v>0</v>
      </c>
      <c r="BM155" s="36" t="str">
        <f>IF('[1]V1 V2'!X154="","",'[1]V1 V2'!X154)</f>
        <v/>
      </c>
    </row>
    <row r="156" spans="1:65" ht="16" thickBot="1" x14ac:dyDescent="0.4">
      <c r="A156">
        <v>1</v>
      </c>
      <c r="B156" s="167"/>
      <c r="C156" s="167"/>
      <c r="D156" s="132"/>
      <c r="E156" s="36"/>
      <c r="F156" s="194"/>
      <c r="G156" s="195"/>
      <c r="H156" s="196"/>
      <c r="I156" s="168"/>
      <c r="J156" s="56"/>
      <c r="K156" s="171"/>
      <c r="L156" s="142"/>
      <c r="M156" s="188"/>
      <c r="N156" s="189"/>
      <c r="O156" s="190"/>
      <c r="P156" s="191"/>
      <c r="Q156" s="221"/>
      <c r="R156" s="221"/>
      <c r="S156" s="191"/>
      <c r="T156" s="189"/>
      <c r="U156" s="132"/>
      <c r="V156" s="222" t="s">
        <v>89</v>
      </c>
      <c r="W156" s="222" t="s">
        <v>89</v>
      </c>
      <c r="X156" s="222"/>
      <c r="Y156" s="222"/>
      <c r="Z156" s="198">
        <v>12</v>
      </c>
      <c r="AA156" s="179"/>
      <c r="AB156" s="21" t="s">
        <v>2</v>
      </c>
      <c r="AH156" s="63">
        <v>1</v>
      </c>
      <c r="AO156" s="10" t="s">
        <v>3</v>
      </c>
      <c r="AP156" s="179"/>
      <c r="AQ156" s="198">
        <v>12</v>
      </c>
      <c r="AR156" s="177"/>
      <c r="AS156" s="177"/>
      <c r="AT156" s="177" t="s">
        <v>89</v>
      </c>
      <c r="AU156" s="177" t="s">
        <v>89</v>
      </c>
      <c r="AV156" s="62"/>
      <c r="AW156" s="173"/>
      <c r="AX156" s="175"/>
      <c r="AY156" s="176"/>
      <c r="AZ156" s="176"/>
      <c r="BA156" s="175"/>
      <c r="BB156" s="180"/>
      <c r="BC156" s="172"/>
      <c r="BD156" s="172"/>
      <c r="BE156" s="142"/>
      <c r="BF156" s="171"/>
      <c r="BG156" s="56"/>
      <c r="BH156" s="57"/>
      <c r="BI156" s="196"/>
      <c r="BJ156" s="195"/>
      <c r="BK156" s="197"/>
      <c r="BL156" s="36"/>
      <c r="BM156" s="36" t="str">
        <f>IF('[1]V1 V2'!X155="","",'[1]V1 V2'!X155)</f>
        <v/>
      </c>
    </row>
    <row r="157" spans="1:65" ht="16" thickBot="1" x14ac:dyDescent="0.4">
      <c r="A157">
        <v>1</v>
      </c>
      <c r="B157" s="167" t="s">
        <v>413</v>
      </c>
      <c r="C157" s="167"/>
      <c r="D157" s="132"/>
      <c r="E157" s="36">
        <f>VLOOKUP($B157,'[1]V1 V2'!$B$5:$BW$1894,74,0)</f>
        <v>0</v>
      </c>
      <c r="F157" s="194"/>
      <c r="G157" s="195"/>
      <c r="H157" s="196"/>
      <c r="I157" s="168"/>
      <c r="J157" s="56">
        <v>-4</v>
      </c>
      <c r="K157" s="171"/>
      <c r="L157" s="142">
        <v>3.8</v>
      </c>
      <c r="M157" s="188"/>
      <c r="N157" s="189"/>
      <c r="O157" s="190"/>
      <c r="P157" s="191"/>
      <c r="Q157" s="223" t="s">
        <v>100</v>
      </c>
      <c r="R157" s="223" t="s">
        <v>29</v>
      </c>
      <c r="S157" s="191"/>
      <c r="T157" s="189" t="s">
        <v>30</v>
      </c>
      <c r="U157" s="132"/>
      <c r="V157" s="222" t="s">
        <v>414</v>
      </c>
      <c r="W157" s="222" t="s">
        <v>415</v>
      </c>
      <c r="X157" s="222">
        <v>34000.788999999997</v>
      </c>
      <c r="Y157" s="222">
        <v>803.16000000000008</v>
      </c>
      <c r="Z157" s="198"/>
      <c r="AA157" s="179" t="s">
        <v>413</v>
      </c>
      <c r="AB157" s="21" t="s">
        <v>2</v>
      </c>
      <c r="AH157" s="63">
        <v>1</v>
      </c>
      <c r="AO157" s="10" t="s">
        <v>3</v>
      </c>
      <c r="AP157" s="179" t="s">
        <v>416</v>
      </c>
      <c r="AQ157" s="178"/>
      <c r="AR157" s="177">
        <v>804.96000000000015</v>
      </c>
      <c r="AS157" s="177">
        <v>33998.989000000001</v>
      </c>
      <c r="AT157" s="177" t="s">
        <v>417</v>
      </c>
      <c r="AU157" s="177" t="s">
        <v>418</v>
      </c>
      <c r="AV157" s="62"/>
      <c r="AW157" s="173" t="s">
        <v>30</v>
      </c>
      <c r="AX157" s="175"/>
      <c r="AY157" s="182" t="s">
        <v>29</v>
      </c>
      <c r="AZ157" s="182" t="s">
        <v>100</v>
      </c>
      <c r="BA157" s="175"/>
      <c r="BB157" s="180"/>
      <c r="BC157" s="172"/>
      <c r="BD157" s="172"/>
      <c r="BE157" s="142">
        <v>3.8</v>
      </c>
      <c r="BF157" s="171"/>
      <c r="BG157" s="56">
        <v>-4</v>
      </c>
      <c r="BH157" s="57"/>
      <c r="BI157" s="196"/>
      <c r="BJ157" s="195"/>
      <c r="BK157" s="197"/>
      <c r="BL157" s="36">
        <f>VLOOKUP($AP157,'[1]V1 V2'!$B$5:$BW$1894,74,0)</f>
        <v>0</v>
      </c>
      <c r="BM157" s="36" t="str">
        <f>IF('[1]V1 V2'!X156="","",'[1]V1 V2'!X156)</f>
        <v/>
      </c>
    </row>
    <row r="158" spans="1:65" ht="16" thickBot="1" x14ac:dyDescent="0.4">
      <c r="A158">
        <v>1</v>
      </c>
      <c r="B158" s="167"/>
      <c r="C158" s="167"/>
      <c r="D158" s="132"/>
      <c r="E158" s="36"/>
      <c r="F158" s="194"/>
      <c r="G158" s="195"/>
      <c r="H158" s="196"/>
      <c r="I158" s="168"/>
      <c r="J158" s="56"/>
      <c r="K158" s="171"/>
      <c r="L158" s="142"/>
      <c r="M158" s="188"/>
      <c r="N158" s="189"/>
      <c r="O158" s="190"/>
      <c r="P158" s="191"/>
      <c r="Q158" s="221"/>
      <c r="R158" s="221"/>
      <c r="S158" s="191"/>
      <c r="T158" s="189"/>
      <c r="U158" s="132"/>
      <c r="V158" s="222" t="s">
        <v>89</v>
      </c>
      <c r="W158" s="222" t="s">
        <v>89</v>
      </c>
      <c r="X158" s="222"/>
      <c r="Y158" s="222"/>
      <c r="Z158" s="198">
        <v>12</v>
      </c>
      <c r="AA158" s="179"/>
      <c r="AB158" s="21" t="s">
        <v>2</v>
      </c>
      <c r="AH158" s="63">
        <v>1</v>
      </c>
      <c r="AO158" s="10" t="s">
        <v>3</v>
      </c>
      <c r="AP158" s="179"/>
      <c r="AQ158" s="178">
        <v>12</v>
      </c>
      <c r="AR158" s="177"/>
      <c r="AS158" s="177"/>
      <c r="AT158" s="177" t="s">
        <v>89</v>
      </c>
      <c r="AU158" s="177" t="s">
        <v>89</v>
      </c>
      <c r="AV158" s="62"/>
      <c r="AW158" s="173"/>
      <c r="AX158" s="175"/>
      <c r="AY158" s="176"/>
      <c r="AZ158" s="176"/>
      <c r="BA158" s="175"/>
      <c r="BB158" s="180"/>
      <c r="BC158" s="172"/>
      <c r="BD158" s="172"/>
      <c r="BE158" s="142"/>
      <c r="BF158" s="171"/>
      <c r="BG158" s="56"/>
      <c r="BH158" s="57"/>
      <c r="BI158" s="196"/>
      <c r="BJ158" s="195"/>
      <c r="BK158" s="197"/>
      <c r="BL158" s="36"/>
      <c r="BM158" s="36" t="str">
        <f>IF('[1]V1 V2'!X157="","",'[1]V1 V2'!X157)</f>
        <v/>
      </c>
    </row>
    <row r="159" spans="1:65" ht="16" thickBot="1" x14ac:dyDescent="0.4">
      <c r="A159">
        <v>1</v>
      </c>
      <c r="B159" s="167" t="s">
        <v>419</v>
      </c>
      <c r="C159" s="167"/>
      <c r="D159" s="132"/>
      <c r="E159" s="36">
        <f>VLOOKUP($B159,'[1]V1 V2'!$B$5:$BW$1894,74,0)</f>
        <v>0</v>
      </c>
      <c r="F159" s="194"/>
      <c r="G159" s="195"/>
      <c r="H159" s="196"/>
      <c r="I159" s="168"/>
      <c r="J159" s="56" t="s">
        <v>113</v>
      </c>
      <c r="K159" s="171"/>
      <c r="L159" s="142">
        <v>3.8</v>
      </c>
      <c r="M159" s="188"/>
      <c r="N159" s="189"/>
      <c r="O159" s="190"/>
      <c r="P159" s="191"/>
      <c r="Q159" s="223" t="s">
        <v>100</v>
      </c>
      <c r="R159" s="223" t="s">
        <v>29</v>
      </c>
      <c r="S159" s="191"/>
      <c r="T159" s="189" t="s">
        <v>30</v>
      </c>
      <c r="U159" s="132"/>
      <c r="V159" s="222" t="s">
        <v>420</v>
      </c>
      <c r="W159" s="222" t="s">
        <v>421</v>
      </c>
      <c r="X159" s="222">
        <v>33988.788999999997</v>
      </c>
      <c r="Y159" s="222">
        <v>815.16000000000008</v>
      </c>
      <c r="Z159" s="198"/>
      <c r="AA159" s="179" t="s">
        <v>419</v>
      </c>
      <c r="AB159" s="21" t="s">
        <v>2</v>
      </c>
      <c r="AH159" s="63">
        <v>1</v>
      </c>
      <c r="AO159" s="10" t="s">
        <v>3</v>
      </c>
      <c r="AP159" s="179" t="s">
        <v>422</v>
      </c>
      <c r="AQ159" s="178"/>
      <c r="AR159" s="177">
        <v>816.96000000000015</v>
      </c>
      <c r="AS159" s="177">
        <v>33986.989000000001</v>
      </c>
      <c r="AT159" s="177" t="s">
        <v>423</v>
      </c>
      <c r="AU159" s="177" t="s">
        <v>424</v>
      </c>
      <c r="AV159" s="62"/>
      <c r="AW159" s="173" t="s">
        <v>30</v>
      </c>
      <c r="AX159" s="175"/>
      <c r="AY159" s="182" t="s">
        <v>29</v>
      </c>
      <c r="AZ159" s="182" t="s">
        <v>100</v>
      </c>
      <c r="BA159" s="175"/>
      <c r="BB159" s="180"/>
      <c r="BC159" s="172"/>
      <c r="BD159" s="172"/>
      <c r="BE159" s="142">
        <v>3.8</v>
      </c>
      <c r="BF159" s="171"/>
      <c r="BG159" s="183" t="s">
        <v>113</v>
      </c>
      <c r="BH159" s="57"/>
      <c r="BI159" s="196"/>
      <c r="BJ159" s="195"/>
      <c r="BK159" s="197"/>
      <c r="BL159" s="36">
        <f>VLOOKUP($AP159,'[1]V1 V2'!$B$5:$BW$1894,74,0)</f>
        <v>0</v>
      </c>
      <c r="BM159" s="36" t="str">
        <f>IF('[1]V1 V2'!X158="","",'[1]V1 V2'!X158)</f>
        <v/>
      </c>
    </row>
    <row r="160" spans="1:65" ht="16" thickBot="1" x14ac:dyDescent="0.4">
      <c r="A160">
        <v>1</v>
      </c>
      <c r="B160" s="167"/>
      <c r="C160" s="167"/>
      <c r="D160" s="132"/>
      <c r="E160" s="36"/>
      <c r="F160" s="194"/>
      <c r="G160" s="195"/>
      <c r="H160" s="196"/>
      <c r="I160" s="168"/>
      <c r="J160" s="56"/>
      <c r="K160" s="171"/>
      <c r="L160" s="142"/>
      <c r="M160" s="188"/>
      <c r="N160" s="189"/>
      <c r="O160" s="190"/>
      <c r="P160" s="191"/>
      <c r="Q160" s="221"/>
      <c r="R160" s="221"/>
      <c r="S160" s="191"/>
      <c r="T160" s="189"/>
      <c r="U160" s="132"/>
      <c r="V160" s="222" t="s">
        <v>89</v>
      </c>
      <c r="W160" s="222" t="s">
        <v>89</v>
      </c>
      <c r="X160" s="222"/>
      <c r="Y160" s="222"/>
      <c r="Z160" s="198">
        <v>12</v>
      </c>
      <c r="AA160" s="179"/>
      <c r="AB160" s="21" t="s">
        <v>2</v>
      </c>
      <c r="AH160" s="63">
        <v>1</v>
      </c>
      <c r="AO160" s="10" t="s">
        <v>3</v>
      </c>
      <c r="AP160" s="179"/>
      <c r="AQ160" s="198">
        <v>12</v>
      </c>
      <c r="AR160" s="177"/>
      <c r="AS160" s="177"/>
      <c r="AT160" s="177" t="s">
        <v>89</v>
      </c>
      <c r="AU160" s="177" t="s">
        <v>89</v>
      </c>
      <c r="AV160" s="62"/>
      <c r="AW160" s="173"/>
      <c r="AX160" s="175"/>
      <c r="AY160" s="176"/>
      <c r="AZ160" s="176"/>
      <c r="BA160" s="175"/>
      <c r="BB160" s="180"/>
      <c r="BC160" s="172"/>
      <c r="BD160" s="172"/>
      <c r="BE160" s="142"/>
      <c r="BF160" s="171"/>
      <c r="BG160" s="56"/>
      <c r="BH160" s="57"/>
      <c r="BI160" s="196"/>
      <c r="BJ160" s="195"/>
      <c r="BK160" s="197"/>
      <c r="BL160" s="36"/>
      <c r="BM160" s="36" t="str">
        <f>IF('[1]V1 V2'!X159="","",'[1]V1 V2'!X159)</f>
        <v/>
      </c>
    </row>
    <row r="161" spans="1:65" ht="16" thickBot="1" x14ac:dyDescent="0.4">
      <c r="A161">
        <v>1</v>
      </c>
      <c r="B161" s="167" t="s">
        <v>425</v>
      </c>
      <c r="C161" s="167"/>
      <c r="D161" s="132"/>
      <c r="E161" s="36">
        <f>VLOOKUP($B161,'[1]V1 V2'!$B$5:$BW$1894,74,0)</f>
        <v>0</v>
      </c>
      <c r="F161" s="168"/>
      <c r="G161" s="169"/>
      <c r="H161" s="170"/>
      <c r="I161" s="168"/>
      <c r="J161" s="56" t="s">
        <v>120</v>
      </c>
      <c r="K161" s="171"/>
      <c r="L161" s="142">
        <v>3.8</v>
      </c>
      <c r="M161" s="188"/>
      <c r="N161" s="189"/>
      <c r="O161" s="190"/>
      <c r="P161" s="191"/>
      <c r="Q161" s="223" t="s">
        <v>100</v>
      </c>
      <c r="R161" s="223" t="s">
        <v>29</v>
      </c>
      <c r="S161" s="191"/>
      <c r="T161" s="189" t="s">
        <v>30</v>
      </c>
      <c r="U161" s="132"/>
      <c r="V161" s="222" t="s">
        <v>426</v>
      </c>
      <c r="W161" s="222" t="s">
        <v>427</v>
      </c>
      <c r="X161" s="222">
        <v>33976.788999999997</v>
      </c>
      <c r="Y161" s="222">
        <v>827.16000000000008</v>
      </c>
      <c r="Z161" s="198"/>
      <c r="AA161" s="179" t="s">
        <v>425</v>
      </c>
      <c r="AB161" s="21" t="s">
        <v>2</v>
      </c>
      <c r="AH161" s="63">
        <v>1</v>
      </c>
      <c r="AO161" s="10" t="s">
        <v>3</v>
      </c>
      <c r="AP161" s="179" t="s">
        <v>428</v>
      </c>
      <c r="AQ161" s="178"/>
      <c r="AR161" s="177">
        <v>828.96000000000015</v>
      </c>
      <c r="AS161" s="177">
        <v>33974.989000000001</v>
      </c>
      <c r="AT161" s="177" t="s">
        <v>429</v>
      </c>
      <c r="AU161" s="177" t="s">
        <v>430</v>
      </c>
      <c r="AV161" s="62"/>
      <c r="AW161" s="173" t="s">
        <v>30</v>
      </c>
      <c r="AX161" s="175"/>
      <c r="AY161" s="182" t="s">
        <v>29</v>
      </c>
      <c r="AZ161" s="182" t="s">
        <v>100</v>
      </c>
      <c r="BA161" s="175"/>
      <c r="BB161" s="180"/>
      <c r="BC161" s="172"/>
      <c r="BD161" s="172"/>
      <c r="BE161" s="142">
        <v>3.8</v>
      </c>
      <c r="BF161" s="171"/>
      <c r="BG161" s="183" t="s">
        <v>120</v>
      </c>
      <c r="BH161" s="57"/>
      <c r="BI161" s="170"/>
      <c r="BJ161" s="169"/>
      <c r="BK161" s="181"/>
      <c r="BL161" s="36">
        <f>VLOOKUP($AP161,'[1]V1 V2'!$B$5:$BW$1894,74,0)</f>
        <v>0</v>
      </c>
      <c r="BM161" s="36" t="str">
        <f>IF('[1]V1 V2'!X160="","",'[1]V1 V2'!X160)</f>
        <v/>
      </c>
    </row>
    <row r="162" spans="1:65" ht="16" thickBot="1" x14ac:dyDescent="0.4">
      <c r="A162">
        <v>1</v>
      </c>
      <c r="B162" s="167"/>
      <c r="C162" s="167"/>
      <c r="D162" s="132"/>
      <c r="E162" s="36"/>
      <c r="F162" s="168"/>
      <c r="G162" s="169"/>
      <c r="H162" s="170"/>
      <c r="I162" s="168"/>
      <c r="J162" s="56"/>
      <c r="K162" s="171"/>
      <c r="L162" s="142"/>
      <c r="M162" s="188"/>
      <c r="N162" s="189"/>
      <c r="O162" s="190"/>
      <c r="P162" s="191"/>
      <c r="Q162" s="221"/>
      <c r="R162" s="221"/>
      <c r="S162" s="191"/>
      <c r="T162" s="189"/>
      <c r="U162" s="132"/>
      <c r="V162" s="222" t="s">
        <v>89</v>
      </c>
      <c r="W162" s="222" t="s">
        <v>89</v>
      </c>
      <c r="X162" s="222"/>
      <c r="Y162" s="222"/>
      <c r="Z162" s="198">
        <v>12</v>
      </c>
      <c r="AA162" s="179"/>
      <c r="AB162" s="21" t="s">
        <v>2</v>
      </c>
      <c r="AH162" s="63">
        <v>1</v>
      </c>
      <c r="AO162" s="10" t="s">
        <v>3</v>
      </c>
      <c r="AP162" s="179"/>
      <c r="AQ162" s="178">
        <v>12</v>
      </c>
      <c r="AR162" s="177"/>
      <c r="AS162" s="177"/>
      <c r="AT162" s="177" t="s">
        <v>89</v>
      </c>
      <c r="AU162" s="177" t="s">
        <v>89</v>
      </c>
      <c r="AV162" s="62"/>
      <c r="AW162" s="173"/>
      <c r="AX162" s="175"/>
      <c r="AY162" s="176"/>
      <c r="AZ162" s="176"/>
      <c r="BA162" s="175"/>
      <c r="BB162" s="180"/>
      <c r="BC162" s="172"/>
      <c r="BD162" s="172"/>
      <c r="BE162" s="142"/>
      <c r="BF162" s="171"/>
      <c r="BG162" s="56"/>
      <c r="BH162" s="57"/>
      <c r="BI162" s="170"/>
      <c r="BJ162" s="169"/>
      <c r="BK162" s="181"/>
      <c r="BL162" s="36"/>
      <c r="BM162" s="36" t="str">
        <f>IF('[1]V1 V2'!X161="","",'[1]V1 V2'!X161)</f>
        <v/>
      </c>
    </row>
    <row r="163" spans="1:65" ht="16" thickBot="1" x14ac:dyDescent="0.4">
      <c r="A163">
        <v>1</v>
      </c>
      <c r="B163" s="167" t="s">
        <v>431</v>
      </c>
      <c r="C163" s="167"/>
      <c r="D163" s="132"/>
      <c r="E163" s="36">
        <f>VLOOKUP($B163,'[1]V1 V2'!$B$5:$BW$1894,74,0)</f>
        <v>0</v>
      </c>
      <c r="F163" s="168"/>
      <c r="G163" s="169"/>
      <c r="H163" s="170"/>
      <c r="I163" s="168"/>
      <c r="J163" s="56" t="s">
        <v>127</v>
      </c>
      <c r="K163" s="171"/>
      <c r="L163" s="142">
        <v>3.8</v>
      </c>
      <c r="M163" s="188"/>
      <c r="N163" s="189"/>
      <c r="O163" s="190"/>
      <c r="P163" s="191"/>
      <c r="Q163" s="223" t="s">
        <v>100</v>
      </c>
      <c r="R163" s="223" t="s">
        <v>29</v>
      </c>
      <c r="S163" s="191"/>
      <c r="T163" s="189" t="s">
        <v>30</v>
      </c>
      <c r="U163" s="132"/>
      <c r="V163" s="222" t="s">
        <v>432</v>
      </c>
      <c r="W163" s="222" t="s">
        <v>433</v>
      </c>
      <c r="X163" s="222">
        <v>33964.788999999997</v>
      </c>
      <c r="Y163" s="222">
        <v>839.16000000000008</v>
      </c>
      <c r="Z163" s="198"/>
      <c r="AA163" s="179" t="s">
        <v>431</v>
      </c>
      <c r="AB163" s="21" t="s">
        <v>2</v>
      </c>
      <c r="AH163" s="63">
        <v>1</v>
      </c>
      <c r="AO163" s="10" t="s">
        <v>3</v>
      </c>
      <c r="AP163" s="179" t="s">
        <v>434</v>
      </c>
      <c r="AQ163" s="178"/>
      <c r="AR163" s="177">
        <v>840.96000000000015</v>
      </c>
      <c r="AS163" s="177">
        <v>33962.989000000001</v>
      </c>
      <c r="AT163" s="177" t="s">
        <v>435</v>
      </c>
      <c r="AU163" s="177" t="s">
        <v>436</v>
      </c>
      <c r="AV163" s="62"/>
      <c r="AW163" s="173" t="s">
        <v>30</v>
      </c>
      <c r="AX163" s="175"/>
      <c r="AY163" s="182" t="s">
        <v>29</v>
      </c>
      <c r="AZ163" s="182" t="s">
        <v>100</v>
      </c>
      <c r="BA163" s="175"/>
      <c r="BB163" s="180"/>
      <c r="BC163" s="172"/>
      <c r="BD163" s="172"/>
      <c r="BE163" s="142">
        <v>3.8</v>
      </c>
      <c r="BF163" s="171"/>
      <c r="BG163" s="183" t="s">
        <v>127</v>
      </c>
      <c r="BH163" s="57"/>
      <c r="BI163" s="170"/>
      <c r="BJ163" s="169"/>
      <c r="BK163" s="181"/>
      <c r="BL163" s="36">
        <f>VLOOKUP($AP163,'[1]V1 V2'!$B$5:$BW$1894,74,0)</f>
        <v>0</v>
      </c>
      <c r="BM163" s="36" t="str">
        <f>IF('[1]V1 V2'!X162="","",'[1]V1 V2'!X162)</f>
        <v/>
      </c>
    </row>
    <row r="164" spans="1:65" ht="16" thickBot="1" x14ac:dyDescent="0.4">
      <c r="A164">
        <v>1</v>
      </c>
      <c r="B164" s="167"/>
      <c r="C164" s="167"/>
      <c r="D164" s="132"/>
      <c r="E164" s="36"/>
      <c r="F164" s="168"/>
      <c r="G164" s="169"/>
      <c r="H164" s="170"/>
      <c r="I164" s="168"/>
      <c r="J164" s="56"/>
      <c r="K164" s="171"/>
      <c r="L164" s="142"/>
      <c r="M164" s="188"/>
      <c r="N164" s="189"/>
      <c r="O164" s="190"/>
      <c r="P164" s="191"/>
      <c r="Q164" s="221"/>
      <c r="R164" s="221"/>
      <c r="S164" s="191"/>
      <c r="T164" s="189"/>
      <c r="U164" s="132"/>
      <c r="V164" s="222" t="s">
        <v>89</v>
      </c>
      <c r="W164" s="222" t="s">
        <v>89</v>
      </c>
      <c r="X164" s="222"/>
      <c r="Y164" s="222"/>
      <c r="Z164" s="198">
        <v>12</v>
      </c>
      <c r="AA164" s="179"/>
      <c r="AB164" s="21" t="s">
        <v>2</v>
      </c>
      <c r="AH164" s="63">
        <v>1</v>
      </c>
      <c r="AO164" s="10" t="s">
        <v>3</v>
      </c>
      <c r="AP164" s="179"/>
      <c r="AQ164" s="198">
        <v>12</v>
      </c>
      <c r="AR164" s="222"/>
      <c r="AS164" s="222"/>
      <c r="AT164" s="222" t="s">
        <v>89</v>
      </c>
      <c r="AU164" s="222" t="s">
        <v>89</v>
      </c>
      <c r="AV164" s="132"/>
      <c r="AW164" s="189"/>
      <c r="AX164" s="191"/>
      <c r="AY164" s="221"/>
      <c r="AZ164" s="221"/>
      <c r="BA164" s="191"/>
      <c r="BB164" s="192"/>
      <c r="BC164" s="188"/>
      <c r="BD164" s="188"/>
      <c r="BE164" s="224"/>
      <c r="BF164" s="187"/>
      <c r="BG164" s="135"/>
      <c r="BH164" s="136"/>
      <c r="BI164" s="186"/>
      <c r="BJ164" s="185"/>
      <c r="BK164" s="193"/>
      <c r="BL164" s="36"/>
      <c r="BM164" s="36" t="str">
        <f>IF('[1]V1 V2'!X163="","",'[1]V1 V2'!X163)</f>
        <v/>
      </c>
    </row>
    <row r="165" spans="1:65" ht="16" thickBot="1" x14ac:dyDescent="0.4">
      <c r="A165">
        <v>1</v>
      </c>
      <c r="B165" s="167" t="s">
        <v>437</v>
      </c>
      <c r="C165" s="167"/>
      <c r="D165" s="132"/>
      <c r="E165" s="36">
        <f>VLOOKUP($B165,'[1]V1 V2'!$B$5:$BW$1894,74,0)</f>
        <v>0</v>
      </c>
      <c r="F165" s="168"/>
      <c r="G165" s="169"/>
      <c r="H165" s="170"/>
      <c r="I165" s="168"/>
      <c r="J165" s="56" t="s">
        <v>120</v>
      </c>
      <c r="K165" s="171"/>
      <c r="L165" s="142">
        <v>3.8</v>
      </c>
      <c r="M165" s="188"/>
      <c r="N165" s="189"/>
      <c r="O165" s="190"/>
      <c r="P165" s="191"/>
      <c r="Q165" s="223" t="s">
        <v>100</v>
      </c>
      <c r="R165" s="223" t="s">
        <v>29</v>
      </c>
      <c r="S165" s="191"/>
      <c r="T165" s="189" t="s">
        <v>30</v>
      </c>
      <c r="U165" s="132"/>
      <c r="V165" s="222" t="s">
        <v>438</v>
      </c>
      <c r="W165" s="222" t="s">
        <v>439</v>
      </c>
      <c r="X165" s="222">
        <v>33952.788999999997</v>
      </c>
      <c r="Y165" s="222">
        <v>851.16000000000008</v>
      </c>
      <c r="Z165" s="198"/>
      <c r="AA165" s="179" t="s">
        <v>437</v>
      </c>
      <c r="AB165" s="21" t="s">
        <v>2</v>
      </c>
      <c r="AH165" s="63">
        <v>1</v>
      </c>
      <c r="AO165" s="10" t="s">
        <v>3</v>
      </c>
      <c r="AP165" s="179" t="s">
        <v>440</v>
      </c>
      <c r="AQ165" s="198"/>
      <c r="AR165" s="222">
        <v>852.96000000000015</v>
      </c>
      <c r="AS165" s="222">
        <v>33950.989000000001</v>
      </c>
      <c r="AT165" s="222" t="s">
        <v>441</v>
      </c>
      <c r="AU165" s="222" t="s">
        <v>442</v>
      </c>
      <c r="AV165" s="132"/>
      <c r="AW165" s="189" t="s">
        <v>30</v>
      </c>
      <c r="AX165" s="191"/>
      <c r="AY165" s="223" t="s">
        <v>29</v>
      </c>
      <c r="AZ165" s="223" t="s">
        <v>100</v>
      </c>
      <c r="BA165" s="191"/>
      <c r="BB165" s="192"/>
      <c r="BC165" s="188"/>
      <c r="BD165" s="188"/>
      <c r="BE165" s="224">
        <v>3.8</v>
      </c>
      <c r="BF165" s="187"/>
      <c r="BG165" s="225" t="s">
        <v>120</v>
      </c>
      <c r="BH165" s="136"/>
      <c r="BI165" s="186"/>
      <c r="BJ165" s="185"/>
      <c r="BK165" s="193"/>
      <c r="BL165" s="36">
        <f>VLOOKUP($AP165,'[1]V1 V2'!$B$5:$BW$1894,74,0)</f>
        <v>0</v>
      </c>
      <c r="BM165" s="36" t="str">
        <f>IF('[1]V1 V2'!X164="","",'[1]V1 V2'!X164)</f>
        <v/>
      </c>
    </row>
    <row r="166" spans="1:65" ht="16" thickBot="1" x14ac:dyDescent="0.4">
      <c r="A166">
        <v>1</v>
      </c>
      <c r="B166" s="167"/>
      <c r="C166" s="167"/>
      <c r="D166" s="132"/>
      <c r="E166" s="36"/>
      <c r="F166" s="168"/>
      <c r="G166" s="169"/>
      <c r="H166" s="170"/>
      <c r="I166" s="168"/>
      <c r="J166" s="56"/>
      <c r="K166" s="171"/>
      <c r="L166" s="142"/>
      <c r="M166" s="188"/>
      <c r="N166" s="189"/>
      <c r="O166" s="190"/>
      <c r="P166" s="191"/>
      <c r="Q166" s="221"/>
      <c r="R166" s="221"/>
      <c r="S166" s="191"/>
      <c r="T166" s="189"/>
      <c r="U166" s="132"/>
      <c r="V166" s="222" t="s">
        <v>89</v>
      </c>
      <c r="W166" s="222" t="s">
        <v>89</v>
      </c>
      <c r="X166" s="222"/>
      <c r="Y166" s="222"/>
      <c r="Z166" s="198">
        <v>12</v>
      </c>
      <c r="AA166" s="179"/>
      <c r="AB166" s="21" t="s">
        <v>2</v>
      </c>
      <c r="AH166" s="63">
        <v>1</v>
      </c>
      <c r="AO166" s="10" t="s">
        <v>3</v>
      </c>
      <c r="AP166" s="179"/>
      <c r="AQ166" s="198">
        <v>12</v>
      </c>
      <c r="AR166" s="222"/>
      <c r="AS166" s="222"/>
      <c r="AT166" s="222" t="s">
        <v>89</v>
      </c>
      <c r="AU166" s="222" t="s">
        <v>89</v>
      </c>
      <c r="AV166" s="132"/>
      <c r="AW166" s="189"/>
      <c r="AX166" s="191"/>
      <c r="AY166" s="221"/>
      <c r="AZ166" s="221"/>
      <c r="BA166" s="191"/>
      <c r="BB166" s="192"/>
      <c r="BC166" s="188"/>
      <c r="BD166" s="188"/>
      <c r="BE166" s="224"/>
      <c r="BF166" s="187"/>
      <c r="BG166" s="135"/>
      <c r="BH166" s="136"/>
      <c r="BI166" s="186"/>
      <c r="BJ166" s="185"/>
      <c r="BK166" s="193"/>
      <c r="BL166" s="36"/>
      <c r="BM166" s="36" t="str">
        <f>IF('[1]V1 V2'!X165="","",'[1]V1 V2'!X165)</f>
        <v/>
      </c>
    </row>
    <row r="167" spans="1:65" ht="16" thickBot="1" x14ac:dyDescent="0.4">
      <c r="A167">
        <v>1</v>
      </c>
      <c r="B167" s="167" t="s">
        <v>443</v>
      </c>
      <c r="C167" s="167"/>
      <c r="D167" s="132"/>
      <c r="E167" s="36">
        <f>VLOOKUP($B167,'[1]V1 V2'!$B$5:$BW$1894,74,0)</f>
        <v>0</v>
      </c>
      <c r="F167" s="168"/>
      <c r="G167" s="169"/>
      <c r="H167" s="170"/>
      <c r="I167" s="168"/>
      <c r="J167" s="56" t="s">
        <v>113</v>
      </c>
      <c r="K167" s="171"/>
      <c r="L167" s="142">
        <v>3.8</v>
      </c>
      <c r="M167" s="188"/>
      <c r="N167" s="189"/>
      <c r="O167" s="190"/>
      <c r="P167" s="191"/>
      <c r="Q167" s="223" t="s">
        <v>100</v>
      </c>
      <c r="R167" s="223" t="s">
        <v>29</v>
      </c>
      <c r="S167" s="191"/>
      <c r="T167" s="189" t="s">
        <v>30</v>
      </c>
      <c r="U167" s="132"/>
      <c r="V167" s="222" t="s">
        <v>444</v>
      </c>
      <c r="W167" s="222" t="s">
        <v>445</v>
      </c>
      <c r="X167" s="222">
        <v>33940.788999999997</v>
      </c>
      <c r="Y167" s="222">
        <v>863.16000000000008</v>
      </c>
      <c r="Z167" s="198"/>
      <c r="AA167" s="179" t="s">
        <v>443</v>
      </c>
      <c r="AB167" s="21" t="s">
        <v>2</v>
      </c>
      <c r="AH167" s="63">
        <v>1</v>
      </c>
      <c r="AO167" s="10" t="s">
        <v>3</v>
      </c>
      <c r="AP167" s="179" t="s">
        <v>446</v>
      </c>
      <c r="AQ167" s="198"/>
      <c r="AR167" s="222">
        <v>864.96000000000015</v>
      </c>
      <c r="AS167" s="222">
        <v>33938.989000000001</v>
      </c>
      <c r="AT167" s="222" t="s">
        <v>447</v>
      </c>
      <c r="AU167" s="222" t="s">
        <v>448</v>
      </c>
      <c r="AV167" s="132"/>
      <c r="AW167" s="189" t="s">
        <v>30</v>
      </c>
      <c r="AX167" s="191"/>
      <c r="AY167" s="223" t="s">
        <v>29</v>
      </c>
      <c r="AZ167" s="223" t="s">
        <v>100</v>
      </c>
      <c r="BA167" s="191"/>
      <c r="BB167" s="192"/>
      <c r="BC167" s="188"/>
      <c r="BD167" s="188"/>
      <c r="BE167" s="224">
        <v>3.8</v>
      </c>
      <c r="BF167" s="187"/>
      <c r="BG167" s="225" t="s">
        <v>113</v>
      </c>
      <c r="BH167" s="136"/>
      <c r="BI167" s="186"/>
      <c r="BJ167" s="185"/>
      <c r="BK167" s="193"/>
      <c r="BL167" s="36">
        <f>VLOOKUP($AP167,'[1]V1 V2'!$B$5:$BW$1894,74,0)</f>
        <v>0</v>
      </c>
      <c r="BM167" s="36" t="str">
        <f>IF('[1]V1 V2'!X166="","",'[1]V1 V2'!X166)</f>
        <v/>
      </c>
    </row>
    <row r="168" spans="1:65" ht="16" thickBot="1" x14ac:dyDescent="0.4">
      <c r="A168">
        <v>1</v>
      </c>
      <c r="B168" s="167"/>
      <c r="C168" s="167"/>
      <c r="D168" s="132"/>
      <c r="E168" s="36"/>
      <c r="F168" s="168"/>
      <c r="G168" s="169"/>
      <c r="H168" s="170"/>
      <c r="I168" s="168"/>
      <c r="J168" s="56"/>
      <c r="K168" s="171"/>
      <c r="L168" s="142"/>
      <c r="M168" s="188"/>
      <c r="N168" s="189"/>
      <c r="O168" s="190"/>
      <c r="P168" s="191"/>
      <c r="Q168" s="221"/>
      <c r="R168" s="221"/>
      <c r="S168" s="191"/>
      <c r="T168" s="189"/>
      <c r="U168" s="132"/>
      <c r="V168" s="222" t="s">
        <v>89</v>
      </c>
      <c r="W168" s="222" t="s">
        <v>89</v>
      </c>
      <c r="X168" s="222"/>
      <c r="Y168" s="222"/>
      <c r="Z168" s="198">
        <v>12</v>
      </c>
      <c r="AA168" s="179"/>
      <c r="AB168" s="21" t="s">
        <v>2</v>
      </c>
      <c r="AH168" s="63">
        <v>1</v>
      </c>
      <c r="AO168" s="10" t="s">
        <v>3</v>
      </c>
      <c r="AP168" s="179"/>
      <c r="AQ168" s="198">
        <v>12</v>
      </c>
      <c r="AR168" s="222"/>
      <c r="AS168" s="222"/>
      <c r="AT168" s="222" t="s">
        <v>89</v>
      </c>
      <c r="AU168" s="222" t="s">
        <v>89</v>
      </c>
      <c r="AV168" s="132"/>
      <c r="AW168" s="189"/>
      <c r="AX168" s="191"/>
      <c r="AY168" s="221"/>
      <c r="AZ168" s="221"/>
      <c r="BA168" s="191"/>
      <c r="BB168" s="192"/>
      <c r="BC168" s="188"/>
      <c r="BD168" s="188"/>
      <c r="BE168" s="224"/>
      <c r="BF168" s="187"/>
      <c r="BG168" s="135"/>
      <c r="BH168" s="136"/>
      <c r="BI168" s="186"/>
      <c r="BJ168" s="185"/>
      <c r="BK168" s="193"/>
      <c r="BL168" s="36"/>
      <c r="BM168" s="36" t="str">
        <f>IF('[1]V1 V2'!X167="","",'[1]V1 V2'!X167)</f>
        <v/>
      </c>
    </row>
    <row r="169" spans="1:65" ht="16" thickBot="1" x14ac:dyDescent="0.4">
      <c r="A169">
        <v>1</v>
      </c>
      <c r="B169" s="167" t="s">
        <v>449</v>
      </c>
      <c r="C169" s="167"/>
      <c r="D169" s="132"/>
      <c r="E169" s="36">
        <f>VLOOKUP($B169,'[1]V1 V2'!$B$5:$BW$1894,74,0)</f>
        <v>0</v>
      </c>
      <c r="F169" s="168"/>
      <c r="G169" s="169"/>
      <c r="H169" s="170"/>
      <c r="I169" s="168"/>
      <c r="J169" s="56">
        <v>-4</v>
      </c>
      <c r="K169" s="171"/>
      <c r="L169" s="142">
        <v>3.8</v>
      </c>
      <c r="M169" s="188"/>
      <c r="N169" s="189"/>
      <c r="O169" s="190"/>
      <c r="P169" s="191"/>
      <c r="Q169" s="223" t="s">
        <v>100</v>
      </c>
      <c r="R169" s="223" t="s">
        <v>29</v>
      </c>
      <c r="S169" s="191"/>
      <c r="T169" s="189" t="s">
        <v>30</v>
      </c>
      <c r="U169" s="132"/>
      <c r="V169" s="222" t="s">
        <v>450</v>
      </c>
      <c r="W169" s="222" t="s">
        <v>451</v>
      </c>
      <c r="X169" s="222">
        <v>33928.788999999997</v>
      </c>
      <c r="Y169" s="222">
        <v>875.16000000000008</v>
      </c>
      <c r="Z169" s="198"/>
      <c r="AA169" s="179" t="s">
        <v>449</v>
      </c>
      <c r="AB169" s="21" t="s">
        <v>2</v>
      </c>
      <c r="AH169" s="63">
        <v>1</v>
      </c>
      <c r="AO169" s="10" t="s">
        <v>3</v>
      </c>
      <c r="AP169" s="179" t="s">
        <v>452</v>
      </c>
      <c r="AQ169" s="198"/>
      <c r="AR169" s="222">
        <v>876.96000000000015</v>
      </c>
      <c r="AS169" s="222">
        <v>33926.989000000001</v>
      </c>
      <c r="AT169" s="222" t="s">
        <v>453</v>
      </c>
      <c r="AU169" s="222" t="s">
        <v>454</v>
      </c>
      <c r="AV169" s="132"/>
      <c r="AW169" s="189" t="s">
        <v>30</v>
      </c>
      <c r="AX169" s="191"/>
      <c r="AY169" s="223" t="s">
        <v>29</v>
      </c>
      <c r="AZ169" s="223" t="s">
        <v>100</v>
      </c>
      <c r="BA169" s="191"/>
      <c r="BB169" s="192"/>
      <c r="BC169" s="188"/>
      <c r="BD169" s="188"/>
      <c r="BE169" s="224">
        <v>3.8</v>
      </c>
      <c r="BF169" s="187"/>
      <c r="BG169" s="135">
        <v>-4</v>
      </c>
      <c r="BH169" s="136"/>
      <c r="BI169" s="186"/>
      <c r="BJ169" s="185"/>
      <c r="BK169" s="193"/>
      <c r="BL169" s="36">
        <f>VLOOKUP($AP169,'[1]V1 V2'!$B$5:$BW$1894,74,0)</f>
        <v>0</v>
      </c>
      <c r="BM169" s="36" t="str">
        <f>IF('[1]V1 V2'!X168="","",'[1]V1 V2'!X168)</f>
        <v/>
      </c>
    </row>
    <row r="170" spans="1:65" ht="16" thickBot="1" x14ac:dyDescent="0.4">
      <c r="A170">
        <v>1</v>
      </c>
      <c r="B170" s="167"/>
      <c r="C170" s="167"/>
      <c r="D170" s="132"/>
      <c r="E170" s="36"/>
      <c r="F170" s="168"/>
      <c r="G170" s="169"/>
      <c r="H170" s="170"/>
      <c r="I170" s="168"/>
      <c r="J170" s="56"/>
      <c r="K170" s="171"/>
      <c r="L170" s="142"/>
      <c r="M170" s="188"/>
      <c r="N170" s="189"/>
      <c r="O170" s="190"/>
      <c r="P170" s="191"/>
      <c r="Q170" s="221"/>
      <c r="R170" s="221"/>
      <c r="S170" s="191"/>
      <c r="T170" s="189"/>
      <c r="U170" s="132"/>
      <c r="V170" s="222" t="s">
        <v>89</v>
      </c>
      <c r="W170" s="222" t="s">
        <v>89</v>
      </c>
      <c r="X170" s="222"/>
      <c r="Y170" s="222"/>
      <c r="Z170" s="198">
        <v>12</v>
      </c>
      <c r="AA170" s="179"/>
      <c r="AB170" s="21" t="s">
        <v>2</v>
      </c>
      <c r="AH170" s="63">
        <v>1</v>
      </c>
      <c r="AO170" s="10" t="s">
        <v>3</v>
      </c>
      <c r="AP170" s="179"/>
      <c r="AQ170" s="198">
        <v>12</v>
      </c>
      <c r="AR170" s="222"/>
      <c r="AS170" s="222"/>
      <c r="AT170" s="222" t="s">
        <v>89</v>
      </c>
      <c r="AU170" s="222" t="s">
        <v>89</v>
      </c>
      <c r="AV170" s="132"/>
      <c r="AW170" s="189"/>
      <c r="AX170" s="191"/>
      <c r="AY170" s="221"/>
      <c r="AZ170" s="221"/>
      <c r="BA170" s="191"/>
      <c r="BB170" s="192"/>
      <c r="BC170" s="188"/>
      <c r="BD170" s="188"/>
      <c r="BE170" s="224"/>
      <c r="BF170" s="187"/>
      <c r="BG170" s="135"/>
      <c r="BH170" s="136"/>
      <c r="BI170" s="186"/>
      <c r="BJ170" s="185"/>
      <c r="BK170" s="193"/>
      <c r="BL170" s="36"/>
      <c r="BM170" s="36" t="str">
        <f>IF('[1]V1 V2'!X169="","",'[1]V1 V2'!X169)</f>
        <v/>
      </c>
    </row>
    <row r="171" spans="1:65" ht="16" thickBot="1" x14ac:dyDescent="0.4">
      <c r="A171">
        <v>1</v>
      </c>
      <c r="B171" s="167" t="s">
        <v>455</v>
      </c>
      <c r="C171" s="167"/>
      <c r="D171" s="132"/>
      <c r="E171" s="36">
        <f>VLOOKUP($B171,'[1]V1 V2'!$B$5:$BW$1894,74,0)</f>
        <v>0</v>
      </c>
      <c r="F171" s="168"/>
      <c r="G171" s="169"/>
      <c r="H171" s="170"/>
      <c r="I171" s="168"/>
      <c r="J171" s="56">
        <v>-12</v>
      </c>
      <c r="K171" s="171"/>
      <c r="L171" s="142">
        <v>3.8</v>
      </c>
      <c r="M171" s="188"/>
      <c r="N171" s="189"/>
      <c r="O171" s="190"/>
      <c r="P171" s="191"/>
      <c r="Q171" s="223" t="s">
        <v>100</v>
      </c>
      <c r="R171" s="223" t="s">
        <v>29</v>
      </c>
      <c r="S171" s="191"/>
      <c r="T171" s="189" t="s">
        <v>30</v>
      </c>
      <c r="U171" s="132"/>
      <c r="V171" s="222" t="s">
        <v>456</v>
      </c>
      <c r="W171" s="222" t="s">
        <v>457</v>
      </c>
      <c r="X171" s="222">
        <v>33916.788999999997</v>
      </c>
      <c r="Y171" s="222">
        <v>887.16000000000008</v>
      </c>
      <c r="Z171" s="198"/>
      <c r="AA171" s="179" t="s">
        <v>455</v>
      </c>
      <c r="AB171" s="21" t="s">
        <v>2</v>
      </c>
      <c r="AH171" s="63">
        <v>1</v>
      </c>
      <c r="AO171" s="10" t="s">
        <v>3</v>
      </c>
      <c r="AP171" s="179" t="s">
        <v>458</v>
      </c>
      <c r="AQ171" s="198"/>
      <c r="AR171" s="222">
        <v>888.96000000000015</v>
      </c>
      <c r="AS171" s="222">
        <v>33914.989000000001</v>
      </c>
      <c r="AT171" s="222" t="s">
        <v>459</v>
      </c>
      <c r="AU171" s="222" t="s">
        <v>460</v>
      </c>
      <c r="AV171" s="132"/>
      <c r="AW171" s="189" t="s">
        <v>30</v>
      </c>
      <c r="AX171" s="191"/>
      <c r="AY171" s="223" t="s">
        <v>29</v>
      </c>
      <c r="AZ171" s="223" t="s">
        <v>100</v>
      </c>
      <c r="BA171" s="191"/>
      <c r="BB171" s="192"/>
      <c r="BC171" s="188"/>
      <c r="BD171" s="188"/>
      <c r="BE171" s="224">
        <v>3.8</v>
      </c>
      <c r="BF171" s="187"/>
      <c r="BG171" s="135">
        <v>-12</v>
      </c>
      <c r="BH171" s="136"/>
      <c r="BI171" s="186"/>
      <c r="BJ171" s="185"/>
      <c r="BK171" s="193"/>
      <c r="BL171" s="36">
        <f>VLOOKUP($AP171,'[1]V1 V2'!$B$5:$BW$1894,74,0)</f>
        <v>0</v>
      </c>
      <c r="BM171" s="36" t="str">
        <f>IF('[1]V1 V2'!X170="","",'[1]V1 V2'!X170)</f>
        <v/>
      </c>
    </row>
    <row r="172" spans="1:65" ht="16" thickBot="1" x14ac:dyDescent="0.4">
      <c r="A172">
        <v>1</v>
      </c>
      <c r="B172" s="167"/>
      <c r="C172" s="167"/>
      <c r="D172" s="132"/>
      <c r="E172" s="36"/>
      <c r="F172" s="168"/>
      <c r="G172" s="169"/>
      <c r="H172" s="170"/>
      <c r="I172" s="168"/>
      <c r="J172" s="56"/>
      <c r="K172" s="171"/>
      <c r="L172" s="142"/>
      <c r="M172" s="188"/>
      <c r="N172" s="189"/>
      <c r="O172" s="190"/>
      <c r="P172" s="191"/>
      <c r="Q172" s="221"/>
      <c r="R172" s="221"/>
      <c r="S172" s="191"/>
      <c r="T172" s="189"/>
      <c r="U172" s="132"/>
      <c r="V172" s="222" t="s">
        <v>89</v>
      </c>
      <c r="W172" s="222" t="s">
        <v>89</v>
      </c>
      <c r="X172" s="222"/>
      <c r="Y172" s="222"/>
      <c r="Z172" s="198">
        <v>12</v>
      </c>
      <c r="AA172" s="179"/>
      <c r="AB172" s="21" t="s">
        <v>2</v>
      </c>
      <c r="AH172" s="63">
        <v>1</v>
      </c>
      <c r="AO172" s="10" t="s">
        <v>3</v>
      </c>
      <c r="AP172" s="179"/>
      <c r="AQ172" s="198">
        <v>12</v>
      </c>
      <c r="AR172" s="222"/>
      <c r="AS172" s="222"/>
      <c r="AT172" s="222" t="s">
        <v>89</v>
      </c>
      <c r="AU172" s="222" t="s">
        <v>89</v>
      </c>
      <c r="AV172" s="132"/>
      <c r="AW172" s="189"/>
      <c r="AX172" s="191"/>
      <c r="AY172" s="221"/>
      <c r="AZ172" s="221"/>
      <c r="BA172" s="191"/>
      <c r="BB172" s="192"/>
      <c r="BC172" s="188"/>
      <c r="BD172" s="188"/>
      <c r="BE172" s="224"/>
      <c r="BF172" s="187"/>
      <c r="BG172" s="135"/>
      <c r="BH172" s="136"/>
      <c r="BI172" s="186"/>
      <c r="BJ172" s="185"/>
      <c r="BK172" s="193"/>
      <c r="BL172" s="36"/>
      <c r="BM172" s="36" t="str">
        <f>IF('[1]V1 V2'!X171="","",'[1]V1 V2'!X171)</f>
        <v/>
      </c>
    </row>
    <row r="173" spans="1:65" ht="16" thickBot="1" x14ac:dyDescent="0.4">
      <c r="A173">
        <v>1</v>
      </c>
      <c r="B173" s="167" t="s">
        <v>461</v>
      </c>
      <c r="C173" s="167"/>
      <c r="D173" s="132"/>
      <c r="E173" s="36">
        <f>VLOOKUP($B173,'[1]V1 V2'!$B$5:$BW$1894,74,0)</f>
        <v>0</v>
      </c>
      <c r="F173" s="168"/>
      <c r="G173" s="169"/>
      <c r="H173" s="170"/>
      <c r="I173" s="168"/>
      <c r="J173" s="56">
        <v>-20</v>
      </c>
      <c r="K173" s="171"/>
      <c r="L173" s="142">
        <v>3.8</v>
      </c>
      <c r="M173" s="188"/>
      <c r="N173" s="189"/>
      <c r="O173" s="190"/>
      <c r="P173" s="191"/>
      <c r="Q173" s="223" t="s">
        <v>100</v>
      </c>
      <c r="R173" s="223" t="s">
        <v>29</v>
      </c>
      <c r="S173" s="191"/>
      <c r="T173" s="189" t="s">
        <v>30</v>
      </c>
      <c r="U173" s="132"/>
      <c r="V173" s="222" t="s">
        <v>462</v>
      </c>
      <c r="W173" s="222" t="s">
        <v>463</v>
      </c>
      <c r="X173" s="222">
        <v>33904.788999999997</v>
      </c>
      <c r="Y173" s="222">
        <v>899.16000000000008</v>
      </c>
      <c r="Z173" s="198"/>
      <c r="AA173" s="179" t="s">
        <v>461</v>
      </c>
      <c r="AB173" s="21" t="s">
        <v>2</v>
      </c>
      <c r="AH173" s="63">
        <v>1</v>
      </c>
      <c r="AO173" s="10" t="s">
        <v>3</v>
      </c>
      <c r="AP173" s="179" t="s">
        <v>464</v>
      </c>
      <c r="AQ173" s="198"/>
      <c r="AR173" s="222">
        <v>900.96000000000015</v>
      </c>
      <c r="AS173" s="222">
        <v>33902.989000000001</v>
      </c>
      <c r="AT173" s="222" t="s">
        <v>465</v>
      </c>
      <c r="AU173" s="222" t="s">
        <v>466</v>
      </c>
      <c r="AV173" s="132"/>
      <c r="AW173" s="189" t="s">
        <v>30</v>
      </c>
      <c r="AX173" s="191"/>
      <c r="AY173" s="223" t="s">
        <v>29</v>
      </c>
      <c r="AZ173" s="223" t="s">
        <v>100</v>
      </c>
      <c r="BA173" s="191"/>
      <c r="BB173" s="192"/>
      <c r="BC173" s="188"/>
      <c r="BD173" s="188"/>
      <c r="BE173" s="224">
        <v>3.8</v>
      </c>
      <c r="BF173" s="187"/>
      <c r="BG173" s="135">
        <v>-20</v>
      </c>
      <c r="BH173" s="136"/>
      <c r="BI173" s="186"/>
      <c r="BJ173" s="185"/>
      <c r="BK173" s="193"/>
      <c r="BL173" s="36">
        <f>VLOOKUP($AP173,'[1]V1 V2'!$B$5:$BW$1894,74,0)</f>
        <v>0</v>
      </c>
      <c r="BM173" s="36" t="str">
        <f>IF('[1]V1 V2'!X172="","",'[1]V1 V2'!X172)</f>
        <v/>
      </c>
    </row>
    <row r="174" spans="1:65" ht="16" thickBot="1" x14ac:dyDescent="0.4">
      <c r="A174">
        <v>1</v>
      </c>
      <c r="B174" s="167"/>
      <c r="C174" s="167"/>
      <c r="D174" s="132"/>
      <c r="E174" s="36"/>
      <c r="F174" s="168"/>
      <c r="G174" s="169"/>
      <c r="H174" s="170"/>
      <c r="I174" s="168"/>
      <c r="J174" s="56"/>
      <c r="K174" s="171"/>
      <c r="L174" s="142"/>
      <c r="M174" s="188"/>
      <c r="N174" s="189"/>
      <c r="O174" s="190"/>
      <c r="P174" s="191"/>
      <c r="Q174" s="221"/>
      <c r="R174" s="221"/>
      <c r="S174" s="191"/>
      <c r="T174" s="189"/>
      <c r="U174" s="132"/>
      <c r="V174" s="222" t="s">
        <v>89</v>
      </c>
      <c r="W174" s="222" t="s">
        <v>89</v>
      </c>
      <c r="X174" s="222"/>
      <c r="Y174" s="222"/>
      <c r="Z174" s="198">
        <v>12</v>
      </c>
      <c r="AA174" s="179"/>
      <c r="AB174" s="21" t="s">
        <v>2</v>
      </c>
      <c r="AH174" s="63">
        <v>1</v>
      </c>
      <c r="AO174" s="10" t="s">
        <v>3</v>
      </c>
      <c r="AP174" s="179"/>
      <c r="AQ174" s="198">
        <v>12</v>
      </c>
      <c r="AR174" s="222"/>
      <c r="AS174" s="222"/>
      <c r="AT174" s="222" t="s">
        <v>89</v>
      </c>
      <c r="AU174" s="222" t="s">
        <v>89</v>
      </c>
      <c r="AV174" s="132"/>
      <c r="AW174" s="189"/>
      <c r="AX174" s="191"/>
      <c r="AY174" s="221"/>
      <c r="AZ174" s="221"/>
      <c r="BA174" s="191"/>
      <c r="BB174" s="192"/>
      <c r="BC174" s="188"/>
      <c r="BD174" s="188"/>
      <c r="BE174" s="224"/>
      <c r="BF174" s="187"/>
      <c r="BG174" s="135"/>
      <c r="BH174" s="136"/>
      <c r="BI174" s="186"/>
      <c r="BJ174" s="185"/>
      <c r="BK174" s="193"/>
      <c r="BL174" s="36"/>
      <c r="BM174" s="36" t="str">
        <f>IF('[1]V1 V2'!X173="","",'[1]V1 V2'!X173)</f>
        <v/>
      </c>
    </row>
    <row r="175" spans="1:65" ht="16" thickBot="1" x14ac:dyDescent="0.4">
      <c r="A175">
        <v>1</v>
      </c>
      <c r="B175" s="167" t="s">
        <v>467</v>
      </c>
      <c r="C175" s="167"/>
      <c r="D175" s="132"/>
      <c r="E175" s="36">
        <f>VLOOKUP($B175,'[1]V1 V2'!$B$5:$BW$1894,74,0)</f>
        <v>0</v>
      </c>
      <c r="F175" s="168"/>
      <c r="G175" s="169"/>
      <c r="H175" s="170"/>
      <c r="I175" s="168"/>
      <c r="J175" s="56">
        <v>-12</v>
      </c>
      <c r="K175" s="171"/>
      <c r="L175" s="142">
        <v>3.8</v>
      </c>
      <c r="M175" s="188"/>
      <c r="N175" s="189"/>
      <c r="O175" s="190"/>
      <c r="P175" s="191"/>
      <c r="Q175" s="223" t="s">
        <v>100</v>
      </c>
      <c r="R175" s="223" t="s">
        <v>29</v>
      </c>
      <c r="S175" s="191"/>
      <c r="T175" s="189" t="s">
        <v>30</v>
      </c>
      <c r="U175" s="132"/>
      <c r="V175" s="222" t="s">
        <v>468</v>
      </c>
      <c r="W175" s="222" t="s">
        <v>469</v>
      </c>
      <c r="X175" s="222">
        <v>33892.788999999997</v>
      </c>
      <c r="Y175" s="222">
        <v>911.16000000000008</v>
      </c>
      <c r="Z175" s="198"/>
      <c r="AA175" s="179" t="s">
        <v>467</v>
      </c>
      <c r="AB175" s="21" t="s">
        <v>2</v>
      </c>
      <c r="AH175" s="63">
        <v>1</v>
      </c>
      <c r="AO175" s="10" t="s">
        <v>3</v>
      </c>
      <c r="AP175" s="179" t="s">
        <v>470</v>
      </c>
      <c r="AQ175" s="198"/>
      <c r="AR175" s="222">
        <v>912.96000000000015</v>
      </c>
      <c r="AS175" s="222">
        <v>33890.989000000001</v>
      </c>
      <c r="AT175" s="222" t="s">
        <v>471</v>
      </c>
      <c r="AU175" s="222" t="s">
        <v>472</v>
      </c>
      <c r="AV175" s="132"/>
      <c r="AW175" s="189" t="s">
        <v>30</v>
      </c>
      <c r="AX175" s="191"/>
      <c r="AY175" s="223" t="s">
        <v>29</v>
      </c>
      <c r="AZ175" s="223" t="s">
        <v>100</v>
      </c>
      <c r="BA175" s="191"/>
      <c r="BB175" s="192"/>
      <c r="BC175" s="188"/>
      <c r="BD175" s="188"/>
      <c r="BE175" s="224">
        <v>3.8</v>
      </c>
      <c r="BF175" s="187"/>
      <c r="BG175" s="135">
        <v>-12</v>
      </c>
      <c r="BH175" s="136"/>
      <c r="BI175" s="186"/>
      <c r="BJ175" s="185"/>
      <c r="BK175" s="193"/>
      <c r="BL175" s="36">
        <f>VLOOKUP($AP175,'[1]V1 V2'!$B$5:$BW$1894,74,0)</f>
        <v>0</v>
      </c>
      <c r="BM175" s="36" t="str">
        <f>IF('[1]V1 V2'!X174="","",'[1]V1 V2'!X174)</f>
        <v/>
      </c>
    </row>
    <row r="176" spans="1:65" ht="16" thickBot="1" x14ac:dyDescent="0.4">
      <c r="A176">
        <v>1</v>
      </c>
      <c r="B176" s="167"/>
      <c r="C176" s="167"/>
      <c r="D176" s="132"/>
      <c r="E176" s="36"/>
      <c r="F176" s="168"/>
      <c r="G176" s="169"/>
      <c r="H176" s="170"/>
      <c r="I176" s="168"/>
      <c r="J176" s="56"/>
      <c r="K176" s="171"/>
      <c r="L176" s="142"/>
      <c r="M176" s="188"/>
      <c r="N176" s="189"/>
      <c r="O176" s="190"/>
      <c r="P176" s="191"/>
      <c r="Q176" s="221"/>
      <c r="R176" s="221"/>
      <c r="S176" s="191"/>
      <c r="T176" s="189"/>
      <c r="U176" s="132"/>
      <c r="V176" s="222" t="s">
        <v>89</v>
      </c>
      <c r="W176" s="222" t="s">
        <v>89</v>
      </c>
      <c r="X176" s="222"/>
      <c r="Y176" s="222"/>
      <c r="Z176" s="198">
        <v>12</v>
      </c>
      <c r="AA176" s="179"/>
      <c r="AB176" s="21" t="s">
        <v>2</v>
      </c>
      <c r="AH176" s="63">
        <v>1</v>
      </c>
      <c r="AO176" s="10" t="s">
        <v>3</v>
      </c>
      <c r="AP176" s="179"/>
      <c r="AQ176" s="198">
        <v>12</v>
      </c>
      <c r="AR176" s="222"/>
      <c r="AS176" s="222"/>
      <c r="AT176" s="222" t="s">
        <v>89</v>
      </c>
      <c r="AU176" s="222" t="s">
        <v>89</v>
      </c>
      <c r="AV176" s="132"/>
      <c r="AW176" s="189"/>
      <c r="AX176" s="191"/>
      <c r="AY176" s="221"/>
      <c r="AZ176" s="221"/>
      <c r="BA176" s="191"/>
      <c r="BB176" s="192"/>
      <c r="BC176" s="188"/>
      <c r="BD176" s="188"/>
      <c r="BE176" s="224"/>
      <c r="BF176" s="187"/>
      <c r="BG176" s="135"/>
      <c r="BH176" s="136"/>
      <c r="BI176" s="186"/>
      <c r="BJ176" s="185"/>
      <c r="BK176" s="193"/>
      <c r="BL176" s="36"/>
      <c r="BM176" s="36" t="str">
        <f>IF('[1]V1 V2'!X175="","",'[1]V1 V2'!X175)</f>
        <v/>
      </c>
    </row>
    <row r="177" spans="1:65" ht="16" thickBot="1" x14ac:dyDescent="0.4">
      <c r="A177">
        <v>1</v>
      </c>
      <c r="B177" s="167" t="s">
        <v>473</v>
      </c>
      <c r="C177" s="167"/>
      <c r="D177" s="132"/>
      <c r="E177" s="36">
        <f>VLOOKUP($B177,'[1]V1 V2'!$B$5:$BW$1894,74,0)</f>
        <v>0</v>
      </c>
      <c r="F177" s="168"/>
      <c r="G177" s="169"/>
      <c r="H177" s="170"/>
      <c r="I177" s="168"/>
      <c r="J177" s="56">
        <v>-4</v>
      </c>
      <c r="K177" s="171"/>
      <c r="L177" s="142">
        <v>3.8</v>
      </c>
      <c r="M177" s="188"/>
      <c r="N177" s="189"/>
      <c r="O177" s="190"/>
      <c r="P177" s="191"/>
      <c r="Q177" s="223" t="s">
        <v>140</v>
      </c>
      <c r="R177" s="223" t="s">
        <v>29</v>
      </c>
      <c r="S177" s="191"/>
      <c r="T177" s="189" t="s">
        <v>141</v>
      </c>
      <c r="U177" s="132"/>
      <c r="V177" s="222" t="s">
        <v>474</v>
      </c>
      <c r="W177" s="222" t="s">
        <v>475</v>
      </c>
      <c r="X177" s="222">
        <v>33880.788999999997</v>
      </c>
      <c r="Y177" s="222">
        <v>923.16000000000008</v>
      </c>
      <c r="Z177" s="198"/>
      <c r="AA177" s="179" t="s">
        <v>473</v>
      </c>
      <c r="AB177" s="21" t="s">
        <v>2</v>
      </c>
      <c r="AH177" s="63">
        <v>1</v>
      </c>
      <c r="AO177" s="10" t="s">
        <v>3</v>
      </c>
      <c r="AP177" s="179" t="s">
        <v>476</v>
      </c>
      <c r="AQ177" s="198"/>
      <c r="AR177" s="222">
        <v>924.96000000000015</v>
      </c>
      <c r="AS177" s="222">
        <v>33878.989000000001</v>
      </c>
      <c r="AT177" s="222" t="s">
        <v>477</v>
      </c>
      <c r="AU177" s="222" t="s">
        <v>478</v>
      </c>
      <c r="AV177" s="132"/>
      <c r="AW177" s="189" t="s">
        <v>141</v>
      </c>
      <c r="AX177" s="191"/>
      <c r="AY177" s="223" t="s">
        <v>29</v>
      </c>
      <c r="AZ177" s="223" t="s">
        <v>140</v>
      </c>
      <c r="BA177" s="191"/>
      <c r="BB177" s="192"/>
      <c r="BC177" s="188"/>
      <c r="BD177" s="188"/>
      <c r="BE177" s="224">
        <v>3.8</v>
      </c>
      <c r="BF177" s="187"/>
      <c r="BG177" s="135">
        <v>-4</v>
      </c>
      <c r="BH177" s="136"/>
      <c r="BI177" s="186"/>
      <c r="BJ177" s="185"/>
      <c r="BK177" s="193"/>
      <c r="BL177" s="36">
        <f>VLOOKUP($AP177,'[1]V1 V2'!$B$5:$BW$1894,74,0)</f>
        <v>0</v>
      </c>
      <c r="BM177" s="36" t="str">
        <f>IF('[1]V1 V2'!X176="","",'[1]V1 V2'!X176)</f>
        <v/>
      </c>
    </row>
    <row r="178" spans="1:65" ht="16" thickBot="1" x14ac:dyDescent="0.4">
      <c r="A178">
        <v>1</v>
      </c>
      <c r="B178" s="167"/>
      <c r="C178" s="167"/>
      <c r="D178" s="132"/>
      <c r="E178" s="36"/>
      <c r="F178" s="168"/>
      <c r="G178" s="169"/>
      <c r="H178" s="170"/>
      <c r="I178" s="168"/>
      <c r="J178" s="56"/>
      <c r="K178" s="171"/>
      <c r="L178" s="142"/>
      <c r="M178" s="188"/>
      <c r="N178" s="189"/>
      <c r="O178" s="190"/>
      <c r="P178" s="191"/>
      <c r="Q178" s="221"/>
      <c r="R178" s="221"/>
      <c r="S178" s="191"/>
      <c r="T178" s="189"/>
      <c r="U178" s="132"/>
      <c r="V178" s="222" t="s">
        <v>89</v>
      </c>
      <c r="W178" s="222" t="s">
        <v>89</v>
      </c>
      <c r="X178" s="222"/>
      <c r="Y178" s="222"/>
      <c r="Z178" s="198">
        <v>12</v>
      </c>
      <c r="AA178" s="179"/>
      <c r="AB178" s="21" t="s">
        <v>2</v>
      </c>
      <c r="AH178" s="63">
        <v>1</v>
      </c>
      <c r="AO178" s="10" t="s">
        <v>3</v>
      </c>
      <c r="AP178" s="179"/>
      <c r="AQ178" s="198">
        <v>12</v>
      </c>
      <c r="AR178" s="222"/>
      <c r="AS178" s="222"/>
      <c r="AT178" s="222" t="s">
        <v>89</v>
      </c>
      <c r="AU178" s="222" t="s">
        <v>89</v>
      </c>
      <c r="AV178" s="132"/>
      <c r="AW178" s="189"/>
      <c r="AX178" s="191"/>
      <c r="AY178" s="221"/>
      <c r="AZ178" s="221"/>
      <c r="BA178" s="191"/>
      <c r="BB178" s="192"/>
      <c r="BC178" s="188"/>
      <c r="BD178" s="188"/>
      <c r="BE178" s="224"/>
      <c r="BF178" s="187"/>
      <c r="BG178" s="135"/>
      <c r="BH178" s="136"/>
      <c r="BI178" s="186"/>
      <c r="BJ178" s="185"/>
      <c r="BK178" s="193"/>
      <c r="BL178" s="36"/>
      <c r="BM178" s="36" t="str">
        <f>IF('[1]V1 V2'!X177="","",'[1]V1 V2'!X177)</f>
        <v/>
      </c>
    </row>
    <row r="179" spans="1:65" ht="16" thickBot="1" x14ac:dyDescent="0.4">
      <c r="A179">
        <v>1</v>
      </c>
      <c r="B179" s="167" t="s">
        <v>479</v>
      </c>
      <c r="C179" s="167"/>
      <c r="D179" s="132"/>
      <c r="E179" s="36">
        <f>VLOOKUP($B179,'[1]V1 V2'!$B$5:$BW$1894,74,0)</f>
        <v>0</v>
      </c>
      <c r="F179" s="168"/>
      <c r="G179" s="169"/>
      <c r="H179" s="170"/>
      <c r="I179" s="168"/>
      <c r="J179" s="56" t="s">
        <v>113</v>
      </c>
      <c r="K179" s="171"/>
      <c r="L179" s="142">
        <v>3.8</v>
      </c>
      <c r="M179" s="188"/>
      <c r="N179" s="189"/>
      <c r="O179" s="190"/>
      <c r="P179" s="191"/>
      <c r="Q179" s="223" t="s">
        <v>100</v>
      </c>
      <c r="R179" s="223" t="s">
        <v>29</v>
      </c>
      <c r="S179" s="191"/>
      <c r="T179" s="189" t="s">
        <v>30</v>
      </c>
      <c r="U179" s="132"/>
      <c r="V179" s="222" t="s">
        <v>480</v>
      </c>
      <c r="W179" s="222" t="s">
        <v>481</v>
      </c>
      <c r="X179" s="222">
        <v>33868.788999999997</v>
      </c>
      <c r="Y179" s="222">
        <v>935.16000000000008</v>
      </c>
      <c r="Z179" s="198"/>
      <c r="AA179" s="179" t="s">
        <v>479</v>
      </c>
      <c r="AB179" s="21" t="s">
        <v>2</v>
      </c>
      <c r="AH179" s="63">
        <v>1</v>
      </c>
      <c r="AO179" s="10" t="s">
        <v>3</v>
      </c>
      <c r="AP179" s="179" t="s">
        <v>482</v>
      </c>
      <c r="AQ179" s="198"/>
      <c r="AR179" s="222">
        <v>936.96000000000015</v>
      </c>
      <c r="AS179" s="222">
        <v>33866.989000000001</v>
      </c>
      <c r="AT179" s="222" t="s">
        <v>483</v>
      </c>
      <c r="AU179" s="222" t="s">
        <v>484</v>
      </c>
      <c r="AV179" s="132"/>
      <c r="AW179" s="189" t="s">
        <v>30</v>
      </c>
      <c r="AX179" s="191"/>
      <c r="AY179" s="223" t="s">
        <v>29</v>
      </c>
      <c r="AZ179" s="223" t="s">
        <v>100</v>
      </c>
      <c r="BA179" s="191"/>
      <c r="BB179" s="192"/>
      <c r="BC179" s="188"/>
      <c r="BD179" s="188"/>
      <c r="BE179" s="224">
        <v>3.8</v>
      </c>
      <c r="BF179" s="187"/>
      <c r="BG179" s="225" t="s">
        <v>113</v>
      </c>
      <c r="BH179" s="136"/>
      <c r="BI179" s="186"/>
      <c r="BJ179" s="185"/>
      <c r="BK179" s="193"/>
      <c r="BL179" s="36">
        <f>VLOOKUP($AP179,'[1]V1 V2'!$B$5:$BW$1894,74,0)</f>
        <v>0</v>
      </c>
      <c r="BM179" s="36" t="str">
        <f>IF('[1]V1 V2'!X178="","",'[1]V1 V2'!X178)</f>
        <v/>
      </c>
    </row>
    <row r="180" spans="1:65" ht="16" thickBot="1" x14ac:dyDescent="0.4">
      <c r="A180">
        <v>1</v>
      </c>
      <c r="B180" s="167"/>
      <c r="C180" s="167"/>
      <c r="D180" s="132"/>
      <c r="E180" s="36"/>
      <c r="F180" s="168"/>
      <c r="G180" s="169"/>
      <c r="H180" s="170"/>
      <c r="I180" s="168"/>
      <c r="J180" s="56"/>
      <c r="K180" s="171"/>
      <c r="L180" s="142"/>
      <c r="M180" s="188"/>
      <c r="N180" s="189"/>
      <c r="O180" s="190"/>
      <c r="P180" s="191"/>
      <c r="Q180" s="221"/>
      <c r="R180" s="221"/>
      <c r="S180" s="191"/>
      <c r="T180" s="189"/>
      <c r="U180" s="132" t="s">
        <v>89</v>
      </c>
      <c r="V180" s="222" t="s">
        <v>89</v>
      </c>
      <c r="W180" s="222" t="s">
        <v>89</v>
      </c>
      <c r="X180" s="222"/>
      <c r="Y180" s="222"/>
      <c r="Z180" s="198">
        <v>12</v>
      </c>
      <c r="AA180" s="179"/>
      <c r="AB180" s="21" t="s">
        <v>2</v>
      </c>
      <c r="AH180" s="63">
        <v>1</v>
      </c>
      <c r="AO180" s="10" t="s">
        <v>3</v>
      </c>
      <c r="AP180" s="179"/>
      <c r="AQ180" s="198">
        <v>12</v>
      </c>
      <c r="AR180" s="222"/>
      <c r="AS180" s="222"/>
      <c r="AT180" s="222" t="s">
        <v>89</v>
      </c>
      <c r="AU180" s="222" t="s">
        <v>89</v>
      </c>
      <c r="AV180" s="132"/>
      <c r="AW180" s="189"/>
      <c r="AX180" s="191"/>
      <c r="AY180" s="221"/>
      <c r="AZ180" s="221"/>
      <c r="BA180" s="191"/>
      <c r="BB180" s="192"/>
      <c r="BC180" s="188"/>
      <c r="BD180" s="188"/>
      <c r="BE180" s="224"/>
      <c r="BF180" s="187"/>
      <c r="BG180" s="135"/>
      <c r="BH180" s="136"/>
      <c r="BI180" s="186"/>
      <c r="BJ180" s="185"/>
      <c r="BK180" s="193"/>
      <c r="BL180" s="36"/>
      <c r="BM180" s="36" t="str">
        <f>IF('[1]V1 V2'!X179="","",'[1]V1 V2'!X179)</f>
        <v/>
      </c>
    </row>
    <row r="181" spans="1:65" ht="16" thickBot="1" x14ac:dyDescent="0.4">
      <c r="A181">
        <v>1</v>
      </c>
      <c r="B181" s="167" t="s">
        <v>485</v>
      </c>
      <c r="C181" s="167"/>
      <c r="D181" s="132"/>
      <c r="E181" s="36">
        <f>VLOOKUP($B181,'[1]V1 V2'!$B$5:$BW$1894,74,0)</f>
        <v>0</v>
      </c>
      <c r="F181" s="168"/>
      <c r="G181" s="169"/>
      <c r="H181" s="170"/>
      <c r="I181" s="168"/>
      <c r="J181" s="56" t="s">
        <v>120</v>
      </c>
      <c r="K181" s="171"/>
      <c r="L181" s="142">
        <v>3.8</v>
      </c>
      <c r="M181" s="172"/>
      <c r="N181" s="173"/>
      <c r="O181" s="174"/>
      <c r="P181" s="175"/>
      <c r="Q181" s="182" t="s">
        <v>100</v>
      </c>
      <c r="R181" s="182" t="s">
        <v>29</v>
      </c>
      <c r="S181" s="175"/>
      <c r="T181" s="173" t="s">
        <v>30</v>
      </c>
      <c r="U181" s="62"/>
      <c r="V181" s="177" t="s">
        <v>486</v>
      </c>
      <c r="W181" s="177" t="s">
        <v>487</v>
      </c>
      <c r="X181" s="177">
        <v>33856.788999999997</v>
      </c>
      <c r="Y181" s="177">
        <v>947.16000000000008</v>
      </c>
      <c r="Z181" s="178"/>
      <c r="AA181" s="179" t="s">
        <v>485</v>
      </c>
      <c r="AB181" s="21" t="s">
        <v>2</v>
      </c>
      <c r="AH181" s="63">
        <v>1</v>
      </c>
      <c r="AO181" s="10" t="s">
        <v>3</v>
      </c>
      <c r="AP181" s="179" t="s">
        <v>488</v>
      </c>
      <c r="AQ181" s="198"/>
      <c r="AR181" s="222">
        <v>948.96000000000015</v>
      </c>
      <c r="AS181" s="222">
        <v>33854.989000000001</v>
      </c>
      <c r="AT181" s="222" t="s">
        <v>489</v>
      </c>
      <c r="AU181" s="222" t="s">
        <v>490</v>
      </c>
      <c r="AV181" s="132"/>
      <c r="AW181" s="189" t="s">
        <v>30</v>
      </c>
      <c r="AX181" s="191"/>
      <c r="AY181" s="223" t="s">
        <v>29</v>
      </c>
      <c r="AZ181" s="223" t="s">
        <v>100</v>
      </c>
      <c r="BA181" s="191"/>
      <c r="BB181" s="192"/>
      <c r="BC181" s="188"/>
      <c r="BD181" s="188"/>
      <c r="BE181" s="224">
        <v>3.8</v>
      </c>
      <c r="BF181" s="187"/>
      <c r="BG181" s="225" t="s">
        <v>120</v>
      </c>
      <c r="BH181" s="136"/>
      <c r="BI181" s="186"/>
      <c r="BJ181" s="185"/>
      <c r="BK181" s="193"/>
      <c r="BL181" s="36">
        <f>VLOOKUP($AP181,'[1]V1 V2'!$B$5:$BW$1894,74,0)</f>
        <v>0</v>
      </c>
      <c r="BM181" s="36" t="str">
        <f>IF('[1]V1 V2'!X180="","",'[1]V1 V2'!X180)</f>
        <v/>
      </c>
    </row>
    <row r="182" spans="1:65" ht="16" thickBot="1" x14ac:dyDescent="0.4">
      <c r="A182">
        <v>1</v>
      </c>
      <c r="B182" s="167"/>
      <c r="C182" s="167"/>
      <c r="D182" s="132"/>
      <c r="E182" s="36"/>
      <c r="F182" s="168"/>
      <c r="G182" s="169"/>
      <c r="H182" s="170"/>
      <c r="I182" s="168"/>
      <c r="J182" s="56"/>
      <c r="K182" s="171"/>
      <c r="L182" s="142"/>
      <c r="M182" s="172"/>
      <c r="N182" s="173"/>
      <c r="O182" s="174"/>
      <c r="P182" s="175"/>
      <c r="Q182" s="176"/>
      <c r="R182" s="176"/>
      <c r="S182" s="175"/>
      <c r="T182" s="173"/>
      <c r="U182" s="62"/>
      <c r="V182" s="177" t="s">
        <v>89</v>
      </c>
      <c r="W182" s="177" t="s">
        <v>89</v>
      </c>
      <c r="X182" s="177"/>
      <c r="Y182" s="177"/>
      <c r="Z182" s="178">
        <v>12</v>
      </c>
      <c r="AA182" s="179"/>
      <c r="AB182" s="21" t="s">
        <v>2</v>
      </c>
      <c r="AH182" s="63">
        <v>1</v>
      </c>
      <c r="AO182" s="10" t="s">
        <v>3</v>
      </c>
      <c r="AP182" s="179"/>
      <c r="AQ182" s="198">
        <v>12</v>
      </c>
      <c r="AR182" s="222"/>
      <c r="AS182" s="222"/>
      <c r="AT182" s="222" t="s">
        <v>89</v>
      </c>
      <c r="AU182" s="222" t="s">
        <v>89</v>
      </c>
      <c r="AV182" s="132"/>
      <c r="AW182" s="189"/>
      <c r="AX182" s="191"/>
      <c r="AY182" s="221"/>
      <c r="AZ182" s="221"/>
      <c r="BA182" s="191"/>
      <c r="BB182" s="192"/>
      <c r="BC182" s="188"/>
      <c r="BD182" s="188"/>
      <c r="BE182" s="224"/>
      <c r="BF182" s="187"/>
      <c r="BG182" s="135"/>
      <c r="BH182" s="136"/>
      <c r="BI182" s="186"/>
      <c r="BJ182" s="185"/>
      <c r="BK182" s="193"/>
      <c r="BL182" s="36"/>
      <c r="BM182" s="36" t="str">
        <f>IF('[1]V1 V2'!X181="","",'[1]V1 V2'!X181)</f>
        <v/>
      </c>
    </row>
    <row r="183" spans="1:65" ht="16" thickBot="1" x14ac:dyDescent="0.4">
      <c r="A183">
        <v>1</v>
      </c>
      <c r="B183" s="167" t="s">
        <v>491</v>
      </c>
      <c r="C183" s="167"/>
      <c r="D183" s="132"/>
      <c r="E183" s="36">
        <f>VLOOKUP($B183,'[1]V1 V2'!$B$5:$BW$1894,74,0)</f>
        <v>0</v>
      </c>
      <c r="F183" s="184"/>
      <c r="G183" s="185"/>
      <c r="H183" s="186"/>
      <c r="I183" s="184"/>
      <c r="J183" s="135" t="s">
        <v>127</v>
      </c>
      <c r="K183" s="187"/>
      <c r="L183" s="142">
        <v>3.8</v>
      </c>
      <c r="M183" s="188"/>
      <c r="N183" s="189"/>
      <c r="O183" s="190"/>
      <c r="P183" s="191"/>
      <c r="Q183" s="182" t="s">
        <v>100</v>
      </c>
      <c r="R183" s="182" t="s">
        <v>29</v>
      </c>
      <c r="S183" s="191"/>
      <c r="T183" s="173" t="s">
        <v>30</v>
      </c>
      <c r="U183" s="62"/>
      <c r="V183" s="177" t="s">
        <v>492</v>
      </c>
      <c r="W183" s="177" t="s">
        <v>493</v>
      </c>
      <c r="X183" s="177">
        <v>33844.788999999997</v>
      </c>
      <c r="Y183" s="177">
        <v>959.16000000000008</v>
      </c>
      <c r="Z183" s="178"/>
      <c r="AA183" s="179" t="s">
        <v>491</v>
      </c>
      <c r="AB183" s="21" t="s">
        <v>2</v>
      </c>
      <c r="AH183" s="63">
        <v>1</v>
      </c>
      <c r="AO183" s="10" t="s">
        <v>3</v>
      </c>
      <c r="AP183" s="179" t="s">
        <v>494</v>
      </c>
      <c r="AQ183" s="198"/>
      <c r="AR183" s="222">
        <v>960.96000000000015</v>
      </c>
      <c r="AS183" s="222">
        <f>AS179-AQ184</f>
        <v>33856.989000000001</v>
      </c>
      <c r="AT183" s="226" t="s">
        <v>495</v>
      </c>
      <c r="AU183" s="222" t="s">
        <v>496</v>
      </c>
      <c r="AV183" s="132"/>
      <c r="AW183" s="189" t="s">
        <v>30</v>
      </c>
      <c r="AX183" s="191"/>
      <c r="AY183" s="223" t="s">
        <v>29</v>
      </c>
      <c r="AZ183" s="223" t="s">
        <v>100</v>
      </c>
      <c r="BA183" s="191"/>
      <c r="BB183" s="192"/>
      <c r="BC183" s="188"/>
      <c r="BD183" s="188"/>
      <c r="BE183" s="224">
        <v>3.8</v>
      </c>
      <c r="BF183" s="187"/>
      <c r="BG183" s="225" t="s">
        <v>127</v>
      </c>
      <c r="BH183" s="136"/>
      <c r="BI183" s="186"/>
      <c r="BJ183" s="185"/>
      <c r="BK183" s="193"/>
      <c r="BL183" s="36">
        <f>VLOOKUP($AP183,'[1]V1 V2'!$B$5:$BW$1894,74,0)</f>
        <v>0</v>
      </c>
      <c r="BM183" s="36" t="str">
        <f>IF('[1]V1 V2'!X182="","",'[1]V1 V2'!X182)</f>
        <v/>
      </c>
    </row>
    <row r="184" spans="1:65" ht="29.5" thickBot="1" x14ac:dyDescent="0.4">
      <c r="A184">
        <v>1</v>
      </c>
      <c r="B184" s="227" t="s">
        <v>497</v>
      </c>
      <c r="C184" s="228"/>
      <c r="D184" s="229"/>
      <c r="E184" s="36">
        <f>VLOOKUP($B184,'[1]V1 V2'!$B$5:$BW$1894,74,0)</f>
        <v>0</v>
      </c>
      <c r="F184" s="168"/>
      <c r="G184" s="169"/>
      <c r="H184" s="170"/>
      <c r="I184" s="168"/>
      <c r="J184" s="56"/>
      <c r="K184" s="171"/>
      <c r="L184" s="142"/>
      <c r="M184" s="172"/>
      <c r="N184" s="173"/>
      <c r="O184" s="174"/>
      <c r="P184" s="175"/>
      <c r="Q184" s="176"/>
      <c r="R184" s="176"/>
      <c r="S184" s="175"/>
      <c r="T184" s="173"/>
      <c r="U184" s="62"/>
      <c r="V184" s="177"/>
      <c r="W184" s="226"/>
      <c r="X184" s="230"/>
      <c r="Y184" s="177"/>
      <c r="Z184" s="178">
        <v>10</v>
      </c>
      <c r="AA184" s="231" t="s">
        <v>497</v>
      </c>
      <c r="AB184" s="21" t="s">
        <v>2</v>
      </c>
      <c r="AC184" s="163"/>
      <c r="AD184" s="163"/>
      <c r="AE184" s="163"/>
      <c r="AF184" s="163"/>
      <c r="AG184" s="163"/>
      <c r="AH184" s="164">
        <v>1</v>
      </c>
      <c r="AI184" s="163"/>
      <c r="AJ184" s="163"/>
      <c r="AK184" s="163"/>
      <c r="AL184" s="163"/>
      <c r="AM184" s="163"/>
      <c r="AN184" s="163"/>
      <c r="AO184" s="10" t="s">
        <v>3</v>
      </c>
      <c r="AP184" s="231" t="s">
        <v>497</v>
      </c>
      <c r="AQ184" s="198">
        <v>10</v>
      </c>
      <c r="AR184" s="222"/>
      <c r="AS184" s="222"/>
      <c r="AT184" s="226"/>
      <c r="AU184" s="222"/>
      <c r="AV184" s="132"/>
      <c r="AW184" s="189"/>
      <c r="AX184" s="191"/>
      <c r="AY184" s="221"/>
      <c r="AZ184" s="221"/>
      <c r="BA184" s="191"/>
      <c r="BB184" s="192"/>
      <c r="BC184" s="188"/>
      <c r="BD184" s="188"/>
      <c r="BE184" s="224"/>
      <c r="BF184" s="187"/>
      <c r="BG184" s="135"/>
      <c r="BH184" s="136"/>
      <c r="BI184" s="186"/>
      <c r="BJ184" s="185"/>
      <c r="BK184" s="193"/>
      <c r="BL184" s="36">
        <f>VLOOKUP($AP184,'[1]V1 V2'!$B$5:$BW$1894,74,0)</f>
        <v>0</v>
      </c>
      <c r="BM184" s="36" t="str">
        <f>IF('[1]V1 V2'!X183="","",'[1]V1 V2'!X183)</f>
        <v/>
      </c>
    </row>
    <row r="185" spans="1:65" ht="16" thickBot="1" x14ac:dyDescent="0.4">
      <c r="A185">
        <v>1</v>
      </c>
      <c r="B185" s="232" t="s">
        <v>498</v>
      </c>
      <c r="C185" s="233"/>
      <c r="D185" s="234"/>
      <c r="E185" s="36">
        <f>VLOOKUP($B185,'[1]V1 V2'!$B$5:$BW$1894,74,0)</f>
        <v>0</v>
      </c>
      <c r="F185" s="235"/>
      <c r="G185" s="236"/>
      <c r="H185" s="237"/>
      <c r="I185" s="184"/>
      <c r="J185" s="135" t="s">
        <v>120</v>
      </c>
      <c r="K185" s="187"/>
      <c r="L185" s="224">
        <v>3.8</v>
      </c>
      <c r="M185" s="188"/>
      <c r="N185" s="189"/>
      <c r="O185" s="190"/>
      <c r="P185" s="191"/>
      <c r="Q185" s="223" t="s">
        <v>100</v>
      </c>
      <c r="R185" s="223" t="s">
        <v>29</v>
      </c>
      <c r="S185" s="191"/>
      <c r="T185" s="189" t="s">
        <v>30</v>
      </c>
      <c r="U185" s="132"/>
      <c r="V185" s="132" t="s">
        <v>499</v>
      </c>
      <c r="W185" s="226">
        <v>-4198153</v>
      </c>
      <c r="X185" s="222">
        <f>X181-Z184</f>
        <v>33846.788999999997</v>
      </c>
      <c r="Y185" s="222">
        <v>969.2</v>
      </c>
      <c r="Z185" s="198"/>
      <c r="AA185" s="238" t="s">
        <v>498</v>
      </c>
      <c r="AB185" s="21" t="s">
        <v>2</v>
      </c>
      <c r="AC185" s="113"/>
      <c r="AD185" s="113"/>
      <c r="AE185" s="113"/>
      <c r="AF185" s="113"/>
      <c r="AG185" s="113"/>
      <c r="AH185" s="166">
        <f>Y184</f>
        <v>0</v>
      </c>
      <c r="AI185" s="113"/>
      <c r="AJ185" s="113"/>
      <c r="AK185" s="113"/>
      <c r="AL185" s="113"/>
      <c r="AM185" s="113"/>
      <c r="AN185" s="113"/>
      <c r="AO185" s="10" t="s">
        <v>3</v>
      </c>
      <c r="AP185" s="239" t="s">
        <v>500</v>
      </c>
      <c r="AQ185" s="198"/>
      <c r="AR185" s="222">
        <v>971</v>
      </c>
      <c r="AS185" s="222">
        <f>AS181-AQ186</f>
        <v>33844.989000000001</v>
      </c>
      <c r="AT185" s="226" t="s">
        <v>501</v>
      </c>
      <c r="AU185" s="222" t="s">
        <v>502</v>
      </c>
      <c r="AV185" s="132"/>
      <c r="AW185" s="189" t="s">
        <v>30</v>
      </c>
      <c r="AX185" s="191"/>
      <c r="AY185" s="223" t="s">
        <v>29</v>
      </c>
      <c r="AZ185" s="223" t="s">
        <v>100</v>
      </c>
      <c r="BA185" s="191"/>
      <c r="BB185" s="192"/>
      <c r="BC185" s="188"/>
      <c r="BD185" s="188"/>
      <c r="BE185" s="224">
        <v>3.8</v>
      </c>
      <c r="BF185" s="187"/>
      <c r="BG185" s="225" t="s">
        <v>120</v>
      </c>
      <c r="BH185" s="136"/>
      <c r="BI185" s="237"/>
      <c r="BJ185" s="236"/>
      <c r="BK185" s="240"/>
      <c r="BL185" s="36">
        <f>VLOOKUP($AP185,'[1]V1 V2'!$B$5:$BW$1894,74,0)</f>
        <v>0</v>
      </c>
      <c r="BM185" s="36" t="str">
        <f>IF('[1]V1 V2'!X184="","",'[1]V1 V2'!X184)</f>
        <v/>
      </c>
    </row>
    <row r="186" spans="1:65" ht="16" thickBot="1" x14ac:dyDescent="0.4">
      <c r="A186">
        <v>1</v>
      </c>
      <c r="B186" s="241"/>
      <c r="C186" s="242"/>
      <c r="D186" s="234"/>
      <c r="E186" s="36"/>
      <c r="F186" s="235"/>
      <c r="G186" s="236"/>
      <c r="H186" s="237"/>
      <c r="I186" s="184"/>
      <c r="J186" s="135"/>
      <c r="K186" s="187"/>
      <c r="L186" s="224"/>
      <c r="M186" s="188"/>
      <c r="N186" s="189"/>
      <c r="O186" s="190"/>
      <c r="P186" s="191"/>
      <c r="Q186" s="221" t="s">
        <v>89</v>
      </c>
      <c r="R186" s="221"/>
      <c r="S186" s="191"/>
      <c r="T186" s="189"/>
      <c r="U186" s="132"/>
      <c r="V186" s="132" t="s">
        <v>89</v>
      </c>
      <c r="W186" s="226" t="s">
        <v>89</v>
      </c>
      <c r="X186" s="226"/>
      <c r="Y186" s="222"/>
      <c r="Z186" s="198">
        <v>10</v>
      </c>
      <c r="AA186" s="239"/>
      <c r="AB186" s="21" t="s">
        <v>2</v>
      </c>
      <c r="AH186" s="63">
        <v>1</v>
      </c>
      <c r="AO186" s="10" t="s">
        <v>3</v>
      </c>
      <c r="AP186" s="239"/>
      <c r="AQ186" s="198">
        <v>10</v>
      </c>
      <c r="AR186" s="222"/>
      <c r="AS186" s="222"/>
      <c r="AT186" s="226" t="s">
        <v>89</v>
      </c>
      <c r="AU186" s="222" t="s">
        <v>89</v>
      </c>
      <c r="AV186" s="132"/>
      <c r="AW186" s="189"/>
      <c r="AX186" s="191"/>
      <c r="AY186" s="221"/>
      <c r="AZ186" s="221"/>
      <c r="BA186" s="191"/>
      <c r="BB186" s="192"/>
      <c r="BC186" s="188"/>
      <c r="BD186" s="188"/>
      <c r="BE186" s="224"/>
      <c r="BF186" s="187"/>
      <c r="BG186" s="135"/>
      <c r="BH186" s="136"/>
      <c r="BI186" s="237"/>
      <c r="BJ186" s="236"/>
      <c r="BK186" s="240"/>
      <c r="BL186" s="36"/>
      <c r="BM186" s="36" t="str">
        <f>IF('[1]V1 V2'!X185="","",'[1]V1 V2'!X185)</f>
        <v/>
      </c>
    </row>
    <row r="187" spans="1:65" ht="16" thickBot="1" x14ac:dyDescent="0.4">
      <c r="A187">
        <v>1</v>
      </c>
      <c r="B187" s="232" t="s">
        <v>503</v>
      </c>
      <c r="C187" s="233"/>
      <c r="D187" s="234"/>
      <c r="E187" s="36">
        <f>VLOOKUP($B187,'[1]V1 V2'!$B$5:$BW$1894,74,0)</f>
        <v>0</v>
      </c>
      <c r="F187" s="235"/>
      <c r="G187" s="236"/>
      <c r="H187" s="237"/>
      <c r="I187" s="184"/>
      <c r="J187" s="135" t="s">
        <v>113</v>
      </c>
      <c r="K187" s="187"/>
      <c r="L187" s="224">
        <v>3.8</v>
      </c>
      <c r="M187" s="188"/>
      <c r="N187" s="189"/>
      <c r="O187" s="190"/>
      <c r="P187" s="191"/>
      <c r="Q187" s="223" t="s">
        <v>100</v>
      </c>
      <c r="R187" s="223" t="s">
        <v>29</v>
      </c>
      <c r="S187" s="191"/>
      <c r="T187" s="189" t="s">
        <v>30</v>
      </c>
      <c r="U187" s="222"/>
      <c r="V187" s="222" t="s">
        <v>504</v>
      </c>
      <c r="W187" s="226" t="s">
        <v>505</v>
      </c>
      <c r="X187" s="222">
        <f>X183-Z186</f>
        <v>33834.788999999997</v>
      </c>
      <c r="Y187" s="222">
        <v>979.2</v>
      </c>
      <c r="Z187" s="198"/>
      <c r="AA187" s="238" t="s">
        <v>503</v>
      </c>
      <c r="AB187" s="21" t="s">
        <v>2</v>
      </c>
      <c r="AH187" s="63">
        <v>1</v>
      </c>
      <c r="AO187" s="10" t="s">
        <v>3</v>
      </c>
      <c r="AP187" s="238" t="s">
        <v>506</v>
      </c>
      <c r="AQ187" s="198"/>
      <c r="AR187" s="222">
        <v>981</v>
      </c>
      <c r="AS187" s="222">
        <f>AS183-AQ188</f>
        <v>33846.989000000001</v>
      </c>
      <c r="AT187" s="226" t="s">
        <v>507</v>
      </c>
      <c r="AU187" s="222" t="s">
        <v>508</v>
      </c>
      <c r="AV187" s="132"/>
      <c r="AW187" s="189" t="s">
        <v>30</v>
      </c>
      <c r="AX187" s="191"/>
      <c r="AY187" s="223" t="s">
        <v>29</v>
      </c>
      <c r="AZ187" s="223" t="s">
        <v>100</v>
      </c>
      <c r="BA187" s="191"/>
      <c r="BB187" s="192"/>
      <c r="BC187" s="188"/>
      <c r="BD187" s="188"/>
      <c r="BE187" s="224">
        <v>3.8</v>
      </c>
      <c r="BF187" s="187"/>
      <c r="BG187" s="225" t="s">
        <v>113</v>
      </c>
      <c r="BH187" s="136"/>
      <c r="BI187" s="237"/>
      <c r="BJ187" s="236"/>
      <c r="BK187" s="240"/>
      <c r="BL187" s="36">
        <f>VLOOKUP($AP187,'[1]V1 V2'!$B$5:$BW$1894,74,0)</f>
        <v>0</v>
      </c>
      <c r="BM187" s="36" t="str">
        <f>IF('[1]V1 V2'!X186="","",'[1]V1 V2'!X186)</f>
        <v/>
      </c>
    </row>
    <row r="188" spans="1:65" ht="29.5" thickBot="1" x14ac:dyDescent="0.4">
      <c r="A188">
        <v>1</v>
      </c>
      <c r="B188" s="227" t="s">
        <v>509</v>
      </c>
      <c r="C188" s="228"/>
      <c r="D188" s="229"/>
      <c r="E188" s="36">
        <f>VLOOKUP($B188,'[1]V1 V2'!$B$5:$BW$1894,74,0)</f>
        <v>0</v>
      </c>
      <c r="F188" s="235"/>
      <c r="G188" s="236"/>
      <c r="H188" s="237"/>
      <c r="I188" s="184"/>
      <c r="J188" s="135"/>
      <c r="K188" s="187"/>
      <c r="L188" s="224"/>
      <c r="M188" s="188"/>
      <c r="N188" s="189"/>
      <c r="O188" s="190"/>
      <c r="P188" s="191"/>
      <c r="Q188" s="221" t="s">
        <v>89</v>
      </c>
      <c r="R188" s="221"/>
      <c r="S188" s="191"/>
      <c r="T188" s="189"/>
      <c r="U188" s="132"/>
      <c r="V188" s="132"/>
      <c r="W188" s="226"/>
      <c r="X188" s="226"/>
      <c r="Y188" s="222"/>
      <c r="Z188" s="198">
        <v>10</v>
      </c>
      <c r="AA188" s="231" t="s">
        <v>509</v>
      </c>
      <c r="AB188" s="21" t="s">
        <v>2</v>
      </c>
      <c r="AH188" s="63">
        <v>1</v>
      </c>
      <c r="AO188" s="10" t="s">
        <v>3</v>
      </c>
      <c r="AP188" s="231" t="s">
        <v>509</v>
      </c>
      <c r="AQ188" s="198">
        <v>10</v>
      </c>
      <c r="AR188" s="222"/>
      <c r="AS188" s="222"/>
      <c r="AT188" s="226" t="s">
        <v>89</v>
      </c>
      <c r="AU188" s="222" t="s">
        <v>89</v>
      </c>
      <c r="AV188" s="132"/>
      <c r="AW188" s="189"/>
      <c r="AX188" s="191"/>
      <c r="AY188" s="221"/>
      <c r="AZ188" s="221"/>
      <c r="BA188" s="191"/>
      <c r="BB188" s="192"/>
      <c r="BC188" s="188"/>
      <c r="BD188" s="188"/>
      <c r="BE188" s="224"/>
      <c r="BF188" s="187"/>
      <c r="BG188" s="135"/>
      <c r="BH188" s="136"/>
      <c r="BI188" s="237"/>
      <c r="BJ188" s="236"/>
      <c r="BK188" s="240"/>
      <c r="BL188" s="36">
        <f>VLOOKUP($AP188,'[1]V1 V2'!$B$5:$BW$1894,74,0)</f>
        <v>0</v>
      </c>
      <c r="BM188" s="36" t="str">
        <f>IF('[1]V1 V2'!X187="","",'[1]V1 V2'!X187)</f>
        <v/>
      </c>
    </row>
    <row r="189" spans="1:65" ht="16" thickBot="1" x14ac:dyDescent="0.4">
      <c r="A189">
        <v>1</v>
      </c>
      <c r="B189" s="232" t="s">
        <v>510</v>
      </c>
      <c r="C189" s="233"/>
      <c r="D189" s="234"/>
      <c r="E189" s="36">
        <f>VLOOKUP($B189,'[1]V1 V2'!$B$5:$BW$1894,74,0)</f>
        <v>0</v>
      </c>
      <c r="F189" s="235"/>
      <c r="G189" s="236"/>
      <c r="H189" s="237"/>
      <c r="I189" s="184"/>
      <c r="J189" s="135">
        <v>-4</v>
      </c>
      <c r="K189" s="187"/>
      <c r="L189" s="224">
        <v>3.8</v>
      </c>
      <c r="M189" s="188"/>
      <c r="N189" s="189"/>
      <c r="O189" s="190"/>
      <c r="P189" s="191"/>
      <c r="Q189" s="223" t="s">
        <v>511</v>
      </c>
      <c r="R189" s="223" t="s">
        <v>29</v>
      </c>
      <c r="S189" s="191"/>
      <c r="T189" s="189" t="s">
        <v>30</v>
      </c>
      <c r="U189" s="132"/>
      <c r="V189" s="132" t="s">
        <v>512</v>
      </c>
      <c r="W189" s="226" t="s">
        <v>513</v>
      </c>
      <c r="X189" s="222">
        <f>X185-Z188</f>
        <v>33836.788999999997</v>
      </c>
      <c r="Y189" s="222">
        <v>989.2</v>
      </c>
      <c r="Z189" s="198"/>
      <c r="AA189" s="238" t="s">
        <v>510</v>
      </c>
      <c r="AB189" s="21" t="s">
        <v>2</v>
      </c>
      <c r="AH189" s="63">
        <v>1</v>
      </c>
      <c r="AO189" s="10" t="s">
        <v>3</v>
      </c>
      <c r="AP189" s="238" t="s">
        <v>514</v>
      </c>
      <c r="AQ189" s="198"/>
      <c r="AR189" s="222">
        <v>991</v>
      </c>
      <c r="AS189" s="222">
        <f>AS185-AQ190</f>
        <v>33834.989000000001</v>
      </c>
      <c r="AT189" s="226" t="s">
        <v>515</v>
      </c>
      <c r="AU189" s="222" t="s">
        <v>516</v>
      </c>
      <c r="AV189" s="132"/>
      <c r="AW189" s="189" t="s">
        <v>30</v>
      </c>
      <c r="AX189" s="191"/>
      <c r="AY189" s="223" t="s">
        <v>29</v>
      </c>
      <c r="AZ189" s="223" t="s">
        <v>511</v>
      </c>
      <c r="BA189" s="191"/>
      <c r="BB189" s="192"/>
      <c r="BC189" s="188"/>
      <c r="BD189" s="188"/>
      <c r="BE189" s="224">
        <v>3.8</v>
      </c>
      <c r="BF189" s="187"/>
      <c r="BG189" s="135">
        <v>-4</v>
      </c>
      <c r="BH189" s="136"/>
      <c r="BI189" s="237"/>
      <c r="BJ189" s="236"/>
      <c r="BK189" s="240"/>
      <c r="BL189" s="36">
        <f>VLOOKUP($AP189,'[1]V1 V2'!$B$5:$BW$1894,74,0)</f>
        <v>0</v>
      </c>
      <c r="BM189" s="36" t="str">
        <f>IF('[1]V1 V2'!X188="","",'[1]V1 V2'!X188)</f>
        <v/>
      </c>
    </row>
    <row r="190" spans="1:65" ht="16" thickBot="1" x14ac:dyDescent="0.4">
      <c r="A190">
        <v>1</v>
      </c>
      <c r="B190" s="232"/>
      <c r="C190" s="233"/>
      <c r="D190" s="234"/>
      <c r="E190" s="36"/>
      <c r="F190" s="235"/>
      <c r="G190" s="236"/>
      <c r="H190" s="237"/>
      <c r="I190" s="184"/>
      <c r="J190" s="135"/>
      <c r="K190" s="187"/>
      <c r="L190" s="224"/>
      <c r="M190" s="188"/>
      <c r="N190" s="189"/>
      <c r="O190" s="190"/>
      <c r="P190" s="191"/>
      <c r="Q190" s="221"/>
      <c r="R190" s="221"/>
      <c r="S190" s="191"/>
      <c r="T190" s="189"/>
      <c r="U190" s="132"/>
      <c r="V190" s="132" t="s">
        <v>89</v>
      </c>
      <c r="W190" s="226" t="s">
        <v>89</v>
      </c>
      <c r="X190" s="226"/>
      <c r="Y190" s="222"/>
      <c r="Z190" s="198">
        <v>10</v>
      </c>
      <c r="AA190" s="238"/>
      <c r="AB190" s="21" t="s">
        <v>2</v>
      </c>
      <c r="AH190" s="63">
        <v>1</v>
      </c>
      <c r="AO190" s="10" t="s">
        <v>3</v>
      </c>
      <c r="AP190" s="243"/>
      <c r="AQ190" s="198">
        <v>10</v>
      </c>
      <c r="AR190" s="222"/>
      <c r="AS190" s="222"/>
      <c r="AT190" s="226"/>
      <c r="AU190" s="222"/>
      <c r="AV190" s="132"/>
      <c r="AW190" s="189"/>
      <c r="AX190" s="191"/>
      <c r="AY190" s="221"/>
      <c r="AZ190" s="221"/>
      <c r="BA190" s="191"/>
      <c r="BB190" s="192"/>
      <c r="BC190" s="188"/>
      <c r="BD190" s="188"/>
      <c r="BE190" s="224"/>
      <c r="BF190" s="187"/>
      <c r="BG190" s="135"/>
      <c r="BH190" s="136"/>
      <c r="BI190" s="237"/>
      <c r="BJ190" s="236"/>
      <c r="BK190" s="240"/>
      <c r="BL190" s="36"/>
      <c r="BM190" s="36" t="str">
        <f>IF('[1]V1 V2'!X189="","",'[1]V1 V2'!X189)</f>
        <v/>
      </c>
    </row>
    <row r="191" spans="1:65" ht="16" thickBot="1" x14ac:dyDescent="0.4">
      <c r="A191">
        <v>1</v>
      </c>
      <c r="B191" s="232" t="s">
        <v>517</v>
      </c>
      <c r="C191" s="233"/>
      <c r="D191" s="234"/>
      <c r="E191" s="36">
        <f>VLOOKUP($B191,'[1]V1 V2'!$B$5:$BW$1894,74,0)</f>
        <v>0</v>
      </c>
      <c r="F191" s="235"/>
      <c r="G191" s="236"/>
      <c r="H191" s="237"/>
      <c r="I191" s="184"/>
      <c r="J191" s="135">
        <v>-12</v>
      </c>
      <c r="K191" s="187"/>
      <c r="L191" s="224">
        <v>3.8</v>
      </c>
      <c r="M191" s="188"/>
      <c r="N191" s="189"/>
      <c r="O191" s="190"/>
      <c r="P191" s="191"/>
      <c r="Q191" s="223" t="s">
        <v>511</v>
      </c>
      <c r="R191" s="223" t="s">
        <v>29</v>
      </c>
      <c r="S191" s="191"/>
      <c r="T191" s="189" t="s">
        <v>30</v>
      </c>
      <c r="U191" s="132"/>
      <c r="V191" s="132" t="s">
        <v>518</v>
      </c>
      <c r="W191" s="226" t="s">
        <v>519</v>
      </c>
      <c r="X191" s="222">
        <f>X187-Z190</f>
        <v>33824.788999999997</v>
      </c>
      <c r="Y191" s="222">
        <v>999.16</v>
      </c>
      <c r="Z191" s="198"/>
      <c r="AA191" s="238" t="s">
        <v>517</v>
      </c>
      <c r="AB191" s="21" t="s">
        <v>2</v>
      </c>
      <c r="AH191" s="63">
        <v>1</v>
      </c>
      <c r="AO191" s="10" t="s">
        <v>3</v>
      </c>
      <c r="AP191" s="238" t="s">
        <v>520</v>
      </c>
      <c r="AQ191" s="198"/>
      <c r="AR191" s="222">
        <v>1001</v>
      </c>
      <c r="AS191" s="222">
        <f>AS187-AQ192</f>
        <v>33836.989000000001</v>
      </c>
      <c r="AT191" s="226" t="s">
        <v>521</v>
      </c>
      <c r="AU191" s="222" t="s">
        <v>522</v>
      </c>
      <c r="AV191" s="132"/>
      <c r="AW191" s="189" t="s">
        <v>30</v>
      </c>
      <c r="AX191" s="191"/>
      <c r="AY191" s="223" t="s">
        <v>29</v>
      </c>
      <c r="AZ191" s="223" t="s">
        <v>511</v>
      </c>
      <c r="BA191" s="191"/>
      <c r="BB191" s="192"/>
      <c r="BC191" s="188"/>
      <c r="BD191" s="188"/>
      <c r="BE191" s="224">
        <v>3.8</v>
      </c>
      <c r="BF191" s="187"/>
      <c r="BG191" s="135">
        <v>-12</v>
      </c>
      <c r="BH191" s="136"/>
      <c r="BI191" s="237"/>
      <c r="BJ191" s="236"/>
      <c r="BK191" s="240"/>
      <c r="BL191" s="36">
        <f>VLOOKUP($AP191,'[1]V1 V2'!$B$5:$BW$1894,74,0)</f>
        <v>0</v>
      </c>
      <c r="BM191" s="36" t="str">
        <f>IF('[1]V1 V2'!X190="","",'[1]V1 V2'!X190)</f>
        <v/>
      </c>
    </row>
    <row r="192" spans="1:65" ht="16" thickBot="1" x14ac:dyDescent="0.4">
      <c r="A192">
        <v>1</v>
      </c>
      <c r="B192" s="232"/>
      <c r="C192" s="233"/>
      <c r="D192" s="234"/>
      <c r="E192" s="36"/>
      <c r="F192" s="235"/>
      <c r="G192" s="236"/>
      <c r="H192" s="237"/>
      <c r="I192" s="184"/>
      <c r="J192" s="135"/>
      <c r="K192" s="187"/>
      <c r="L192" s="224"/>
      <c r="M192" s="188"/>
      <c r="N192" s="189"/>
      <c r="O192" s="190"/>
      <c r="P192" s="191"/>
      <c r="Q192" s="221"/>
      <c r="R192" s="221"/>
      <c r="S192" s="191"/>
      <c r="T192" s="189"/>
      <c r="U192" s="132"/>
      <c r="V192" s="132" t="s">
        <v>89</v>
      </c>
      <c r="W192" s="226" t="s">
        <v>89</v>
      </c>
      <c r="X192" s="226"/>
      <c r="Y192" s="222"/>
      <c r="Z192" s="198">
        <v>10</v>
      </c>
      <c r="AA192" s="238"/>
      <c r="AB192" s="21" t="s">
        <v>2</v>
      </c>
      <c r="AH192" s="63">
        <v>1</v>
      </c>
      <c r="AO192" s="10" t="s">
        <v>3</v>
      </c>
      <c r="AP192" s="239"/>
      <c r="AQ192" s="198">
        <v>10</v>
      </c>
      <c r="AR192" s="222"/>
      <c r="AS192" s="222"/>
      <c r="AT192" s="226" t="s">
        <v>89</v>
      </c>
      <c r="AU192" s="222" t="s">
        <v>89</v>
      </c>
      <c r="AV192" s="132"/>
      <c r="AW192" s="189"/>
      <c r="AX192" s="191"/>
      <c r="AY192" s="221"/>
      <c r="AZ192" s="221"/>
      <c r="BA192" s="191"/>
      <c r="BB192" s="192"/>
      <c r="BC192" s="188"/>
      <c r="BD192" s="188"/>
      <c r="BE192" s="224"/>
      <c r="BF192" s="187"/>
      <c r="BG192" s="135"/>
      <c r="BH192" s="136"/>
      <c r="BI192" s="237"/>
      <c r="BJ192" s="236"/>
      <c r="BK192" s="240"/>
      <c r="BL192" s="36"/>
      <c r="BM192" s="36" t="str">
        <f>IF('[1]V1 V2'!X191="","",'[1]V1 V2'!X191)</f>
        <v/>
      </c>
    </row>
    <row r="193" spans="1:65" ht="16" thickBot="1" x14ac:dyDescent="0.4">
      <c r="A193">
        <v>1</v>
      </c>
      <c r="B193" s="232" t="s">
        <v>523</v>
      </c>
      <c r="C193" s="233"/>
      <c r="D193" s="234"/>
      <c r="E193" s="36">
        <f>VLOOKUP($B193,'[1]V1 V2'!$B$5:$BW$1894,74,0)</f>
        <v>0</v>
      </c>
      <c r="F193" s="235"/>
      <c r="G193" s="236"/>
      <c r="H193" s="237"/>
      <c r="I193" s="184"/>
      <c r="J193" s="135">
        <v>-20</v>
      </c>
      <c r="K193" s="187"/>
      <c r="L193" s="224">
        <v>3.8</v>
      </c>
      <c r="M193" s="188"/>
      <c r="N193" s="189"/>
      <c r="O193" s="190"/>
      <c r="P193" s="191"/>
      <c r="Q193" s="223" t="s">
        <v>511</v>
      </c>
      <c r="R193" s="223" t="s">
        <v>29</v>
      </c>
      <c r="S193" s="191"/>
      <c r="T193" s="189" t="s">
        <v>30</v>
      </c>
      <c r="U193" s="132"/>
      <c r="V193" s="132" t="s">
        <v>524</v>
      </c>
      <c r="W193" s="226" t="s">
        <v>525</v>
      </c>
      <c r="X193" s="222">
        <f>X189-Z192</f>
        <v>33826.788999999997</v>
      </c>
      <c r="Y193" s="222">
        <v>1009.16</v>
      </c>
      <c r="Z193" s="198"/>
      <c r="AA193" s="238" t="s">
        <v>523</v>
      </c>
      <c r="AB193" s="21" t="s">
        <v>2</v>
      </c>
      <c r="AH193" s="63">
        <v>1</v>
      </c>
      <c r="AO193" s="10" t="s">
        <v>3</v>
      </c>
      <c r="AP193" s="238" t="s">
        <v>526</v>
      </c>
      <c r="AQ193" s="198"/>
      <c r="AR193" s="222">
        <v>1011</v>
      </c>
      <c r="AS193" s="222">
        <f>AS189-AQ194</f>
        <v>33824.989000000001</v>
      </c>
      <c r="AT193" s="226" t="s">
        <v>527</v>
      </c>
      <c r="AU193" s="222" t="s">
        <v>528</v>
      </c>
      <c r="AV193" s="132"/>
      <c r="AW193" s="189" t="s">
        <v>30</v>
      </c>
      <c r="AX193" s="191"/>
      <c r="AY193" s="223" t="s">
        <v>29</v>
      </c>
      <c r="AZ193" s="223" t="s">
        <v>511</v>
      </c>
      <c r="BA193" s="191"/>
      <c r="BB193" s="192"/>
      <c r="BC193" s="188"/>
      <c r="BD193" s="188"/>
      <c r="BE193" s="224">
        <v>3.8</v>
      </c>
      <c r="BF193" s="187"/>
      <c r="BG193" s="135">
        <v>-20</v>
      </c>
      <c r="BH193" s="136"/>
      <c r="BI193" s="237"/>
      <c r="BJ193" s="236"/>
      <c r="BK193" s="240"/>
      <c r="BL193" s="36">
        <f>VLOOKUP($AP193,'[1]V1 V2'!$B$5:$BW$1894,74,0)</f>
        <v>0</v>
      </c>
      <c r="BM193" s="36" t="str">
        <f>IF('[1]V1 V2'!X192="","",'[1]V1 V2'!X192)</f>
        <v/>
      </c>
    </row>
    <row r="194" spans="1:65" ht="16" thickBot="1" x14ac:dyDescent="0.4">
      <c r="A194">
        <v>1</v>
      </c>
      <c r="B194" s="232"/>
      <c r="C194" s="233"/>
      <c r="D194" s="234"/>
      <c r="E194" s="36"/>
      <c r="F194" s="235"/>
      <c r="G194" s="236"/>
      <c r="H194" s="237"/>
      <c r="I194" s="184"/>
      <c r="J194" s="135"/>
      <c r="K194" s="187"/>
      <c r="L194" s="224"/>
      <c r="M194" s="188"/>
      <c r="N194" s="189"/>
      <c r="O194" s="190"/>
      <c r="P194" s="191"/>
      <c r="Q194" s="221"/>
      <c r="R194" s="221"/>
      <c r="S194" s="191"/>
      <c r="T194" s="189"/>
      <c r="U194" s="132"/>
      <c r="V194" s="132" t="s">
        <v>89</v>
      </c>
      <c r="W194" s="226" t="s">
        <v>89</v>
      </c>
      <c r="X194" s="226"/>
      <c r="Y194" s="222"/>
      <c r="Z194" s="198">
        <v>10</v>
      </c>
      <c r="AA194" s="238"/>
      <c r="AB194" s="21" t="s">
        <v>2</v>
      </c>
      <c r="AH194" s="63">
        <v>1</v>
      </c>
      <c r="AO194" s="10" t="s">
        <v>3</v>
      </c>
      <c r="AP194" s="239"/>
      <c r="AQ194" s="198">
        <v>10</v>
      </c>
      <c r="AR194" s="222"/>
      <c r="AS194" s="222"/>
      <c r="AT194" s="226" t="s">
        <v>89</v>
      </c>
      <c r="AU194" s="222" t="s">
        <v>89</v>
      </c>
      <c r="AV194" s="132"/>
      <c r="AW194" s="189"/>
      <c r="AX194" s="191"/>
      <c r="AY194" s="221"/>
      <c r="AZ194" s="221"/>
      <c r="BA194" s="191"/>
      <c r="BB194" s="192"/>
      <c r="BC194" s="188"/>
      <c r="BD194" s="188"/>
      <c r="BE194" s="224"/>
      <c r="BF194" s="187"/>
      <c r="BG194" s="135"/>
      <c r="BH194" s="136"/>
      <c r="BI194" s="237"/>
      <c r="BJ194" s="236"/>
      <c r="BK194" s="240"/>
      <c r="BL194" s="36"/>
      <c r="BM194" s="36" t="str">
        <f>IF('[1]V1 V2'!X193="","",'[1]V1 V2'!X193)</f>
        <v/>
      </c>
    </row>
    <row r="195" spans="1:65" ht="16" thickBot="1" x14ac:dyDescent="0.4">
      <c r="A195">
        <v>1</v>
      </c>
      <c r="B195" s="232" t="s">
        <v>529</v>
      </c>
      <c r="C195" s="233"/>
      <c r="D195" s="234"/>
      <c r="E195" s="36">
        <f>VLOOKUP($B195,'[1]V1 V2'!$B$5:$BW$1894,74,0)</f>
        <v>0</v>
      </c>
      <c r="F195" s="235"/>
      <c r="G195" s="236"/>
      <c r="H195" s="237"/>
      <c r="I195" s="184"/>
      <c r="J195" s="135">
        <v>-12</v>
      </c>
      <c r="K195" s="187"/>
      <c r="L195" s="224">
        <v>3.8</v>
      </c>
      <c r="M195" s="188"/>
      <c r="N195" s="189"/>
      <c r="O195" s="190"/>
      <c r="P195" s="191"/>
      <c r="Q195" s="223" t="s">
        <v>511</v>
      </c>
      <c r="R195" s="223" t="s">
        <v>29</v>
      </c>
      <c r="S195" s="191"/>
      <c r="T195" s="189" t="s">
        <v>30</v>
      </c>
      <c r="U195" s="132"/>
      <c r="V195" s="132" t="s">
        <v>530</v>
      </c>
      <c r="W195" s="226" t="s">
        <v>531</v>
      </c>
      <c r="X195" s="222">
        <f>X191-Z194</f>
        <v>33814.788999999997</v>
      </c>
      <c r="Y195" s="222">
        <v>1019.16</v>
      </c>
      <c r="Z195" s="198"/>
      <c r="AA195" s="238" t="s">
        <v>529</v>
      </c>
      <c r="AB195" s="21" t="s">
        <v>2</v>
      </c>
      <c r="AH195" s="63">
        <v>1</v>
      </c>
      <c r="AO195" s="10" t="s">
        <v>3</v>
      </c>
      <c r="AP195" s="238" t="s">
        <v>532</v>
      </c>
      <c r="AQ195" s="198"/>
      <c r="AR195" s="222">
        <v>1020.9600000000002</v>
      </c>
      <c r="AS195" s="222">
        <f>AS191-AQ196</f>
        <v>33826.989000000001</v>
      </c>
      <c r="AT195" s="226" t="s">
        <v>533</v>
      </c>
      <c r="AU195" s="222" t="s">
        <v>534</v>
      </c>
      <c r="AV195" s="132"/>
      <c r="AW195" s="189" t="s">
        <v>30</v>
      </c>
      <c r="AX195" s="191"/>
      <c r="AY195" s="223" t="s">
        <v>29</v>
      </c>
      <c r="AZ195" s="223" t="s">
        <v>511</v>
      </c>
      <c r="BA195" s="191"/>
      <c r="BB195" s="192"/>
      <c r="BC195" s="188"/>
      <c r="BD195" s="188"/>
      <c r="BE195" s="224">
        <v>3.8</v>
      </c>
      <c r="BF195" s="187"/>
      <c r="BG195" s="135">
        <v>-12</v>
      </c>
      <c r="BH195" s="136"/>
      <c r="BI195" s="237"/>
      <c r="BJ195" s="236"/>
      <c r="BK195" s="240"/>
      <c r="BL195" s="36">
        <f>VLOOKUP($AP195,'[1]V1 V2'!$B$5:$BW$1894,74,0)</f>
        <v>0</v>
      </c>
      <c r="BM195" s="36" t="str">
        <f>IF('[1]V1 V2'!X194="","",'[1]V1 V2'!X194)</f>
        <v/>
      </c>
    </row>
    <row r="196" spans="1:65" ht="16" thickBot="1" x14ac:dyDescent="0.4">
      <c r="A196">
        <v>1</v>
      </c>
      <c r="B196" s="232"/>
      <c r="C196" s="233"/>
      <c r="D196" s="234"/>
      <c r="E196" s="36"/>
      <c r="F196" s="235"/>
      <c r="G196" s="236"/>
      <c r="H196" s="237"/>
      <c r="I196" s="184"/>
      <c r="J196" s="135"/>
      <c r="K196" s="187"/>
      <c r="L196" s="224"/>
      <c r="M196" s="188"/>
      <c r="N196" s="189"/>
      <c r="O196" s="190"/>
      <c r="P196" s="191"/>
      <c r="Q196" s="221"/>
      <c r="R196" s="221"/>
      <c r="S196" s="191"/>
      <c r="T196" s="189"/>
      <c r="U196" s="132"/>
      <c r="V196" s="132" t="s">
        <v>89</v>
      </c>
      <c r="W196" s="226" t="s">
        <v>89</v>
      </c>
      <c r="X196" s="226"/>
      <c r="Y196" s="222"/>
      <c r="Z196" s="198">
        <v>10</v>
      </c>
      <c r="AA196" s="238"/>
      <c r="AB196" s="21" t="s">
        <v>2</v>
      </c>
      <c r="AH196" s="63">
        <v>1</v>
      </c>
      <c r="AO196" s="10" t="s">
        <v>3</v>
      </c>
      <c r="AP196" s="239"/>
      <c r="AQ196" s="198">
        <v>10</v>
      </c>
      <c r="AR196" s="222"/>
      <c r="AS196" s="222"/>
      <c r="AT196" s="226" t="s">
        <v>89</v>
      </c>
      <c r="AU196" s="222" t="s">
        <v>89</v>
      </c>
      <c r="AV196" s="132"/>
      <c r="AW196" s="189"/>
      <c r="AX196" s="191"/>
      <c r="AY196" s="221"/>
      <c r="AZ196" s="221"/>
      <c r="BA196" s="191"/>
      <c r="BB196" s="192"/>
      <c r="BC196" s="188"/>
      <c r="BD196" s="188"/>
      <c r="BE196" s="224"/>
      <c r="BF196" s="187"/>
      <c r="BG196" s="135"/>
      <c r="BH196" s="136"/>
      <c r="BI196" s="237"/>
      <c r="BJ196" s="236"/>
      <c r="BK196" s="240"/>
      <c r="BL196" s="36"/>
      <c r="BM196" s="36" t="str">
        <f>IF('[1]V1 V2'!X195="","",'[1]V1 V2'!X195)</f>
        <v/>
      </c>
    </row>
    <row r="197" spans="1:65" ht="16" thickBot="1" x14ac:dyDescent="0.4">
      <c r="A197">
        <v>1</v>
      </c>
      <c r="B197" s="232" t="s">
        <v>535</v>
      </c>
      <c r="C197" s="233"/>
      <c r="D197" s="234"/>
      <c r="E197" s="36">
        <f>VLOOKUP($B197,'[1]V1 V2'!$B$5:$BW$1894,74,0)</f>
        <v>0</v>
      </c>
      <c r="F197" s="184"/>
      <c r="G197" s="185"/>
      <c r="H197" s="244"/>
      <c r="I197" s="136"/>
      <c r="J197" s="135">
        <v>-4</v>
      </c>
      <c r="K197" s="187"/>
      <c r="L197" s="224">
        <v>3.8</v>
      </c>
      <c r="M197" s="188"/>
      <c r="N197" s="189"/>
      <c r="O197" s="190"/>
      <c r="P197" s="191"/>
      <c r="Q197" s="223" t="s">
        <v>511</v>
      </c>
      <c r="R197" s="223" t="s">
        <v>29</v>
      </c>
      <c r="S197" s="191"/>
      <c r="T197" s="189" t="s">
        <v>30</v>
      </c>
      <c r="U197" s="132"/>
      <c r="V197" s="132" t="s">
        <v>536</v>
      </c>
      <c r="W197" s="226" t="s">
        <v>537</v>
      </c>
      <c r="X197" s="222">
        <f>X193-Z196</f>
        <v>33816.788999999997</v>
      </c>
      <c r="Y197" s="222">
        <v>1029.1600000000001</v>
      </c>
      <c r="Z197" s="198"/>
      <c r="AA197" s="238" t="s">
        <v>535</v>
      </c>
      <c r="AB197" s="21" t="s">
        <v>2</v>
      </c>
      <c r="AH197" s="63">
        <v>1</v>
      </c>
      <c r="AO197" s="10" t="s">
        <v>3</v>
      </c>
      <c r="AP197" s="238" t="s">
        <v>538</v>
      </c>
      <c r="AQ197" s="198"/>
      <c r="AR197" s="222">
        <v>1031</v>
      </c>
      <c r="AS197" s="222">
        <f>AS193-AQ198</f>
        <v>33814.989000000001</v>
      </c>
      <c r="AT197" s="226" t="s">
        <v>539</v>
      </c>
      <c r="AU197" s="222" t="s">
        <v>540</v>
      </c>
      <c r="AV197" s="132"/>
      <c r="AW197" s="189" t="s">
        <v>30</v>
      </c>
      <c r="AX197" s="191"/>
      <c r="AY197" s="223" t="s">
        <v>29</v>
      </c>
      <c r="AZ197" s="223" t="s">
        <v>511</v>
      </c>
      <c r="BA197" s="191"/>
      <c r="BB197" s="192"/>
      <c r="BC197" s="188"/>
      <c r="BD197" s="188"/>
      <c r="BE197" s="224">
        <v>3.8</v>
      </c>
      <c r="BF197" s="187"/>
      <c r="BG197" s="135">
        <v>-4</v>
      </c>
      <c r="BH197" s="136"/>
      <c r="BI197" s="244"/>
      <c r="BJ197" s="185"/>
      <c r="BK197" s="193"/>
      <c r="BL197" s="36">
        <f>VLOOKUP($AP197,'[1]V1 V2'!$B$5:$BW$1894,74,0)</f>
        <v>0</v>
      </c>
      <c r="BM197" s="36" t="str">
        <f>IF('[1]V1 V2'!X196="","",'[1]V1 V2'!X196)</f>
        <v/>
      </c>
    </row>
    <row r="198" spans="1:65" ht="16" thickBot="1" x14ac:dyDescent="0.4">
      <c r="A198">
        <v>1</v>
      </c>
      <c r="B198" s="227"/>
      <c r="C198" s="228"/>
      <c r="D198" s="229"/>
      <c r="E198" s="36"/>
      <c r="F198" s="184"/>
      <c r="G198" s="185"/>
      <c r="H198" s="245"/>
      <c r="I198" s="136"/>
      <c r="J198" s="246"/>
      <c r="K198" s="187"/>
      <c r="L198" s="224"/>
      <c r="M198" s="188"/>
      <c r="N198" s="189"/>
      <c r="O198" s="190"/>
      <c r="P198" s="191"/>
      <c r="Q198" s="223"/>
      <c r="R198" s="223"/>
      <c r="S198" s="191"/>
      <c r="T198" s="189"/>
      <c r="U198" s="132"/>
      <c r="V198" s="132" t="s">
        <v>89</v>
      </c>
      <c r="W198" s="226" t="s">
        <v>89</v>
      </c>
      <c r="X198" s="226"/>
      <c r="Y198" s="222"/>
      <c r="Z198" s="198">
        <v>10</v>
      </c>
      <c r="AA198" s="231"/>
      <c r="AB198" s="21" t="s">
        <v>2</v>
      </c>
      <c r="AH198" s="63">
        <v>1</v>
      </c>
      <c r="AO198" s="10" t="s">
        <v>3</v>
      </c>
      <c r="AP198" s="231"/>
      <c r="AQ198" s="198">
        <v>10</v>
      </c>
      <c r="AR198" s="222"/>
      <c r="AS198" s="222"/>
      <c r="AT198" s="226" t="s">
        <v>89</v>
      </c>
      <c r="AU198" s="222" t="s">
        <v>89</v>
      </c>
      <c r="AV198" s="132"/>
      <c r="AW198" s="189"/>
      <c r="AX198" s="191"/>
      <c r="AY198" s="223"/>
      <c r="AZ198" s="223"/>
      <c r="BA198" s="191"/>
      <c r="BB198" s="192"/>
      <c r="BC198" s="188"/>
      <c r="BD198" s="188"/>
      <c r="BE198" s="224"/>
      <c r="BF198" s="187"/>
      <c r="BG198" s="246"/>
      <c r="BH198" s="136"/>
      <c r="BI198" s="245"/>
      <c r="BJ198" s="185"/>
      <c r="BK198" s="193"/>
      <c r="BL198" s="36"/>
      <c r="BM198" s="36" t="str">
        <f>IF('[1]V1 V2'!X197="","",'[1]V1 V2'!X197)</f>
        <v/>
      </c>
    </row>
    <row r="199" spans="1:65" ht="16" thickBot="1" x14ac:dyDescent="0.4">
      <c r="A199">
        <v>1</v>
      </c>
      <c r="B199" s="167" t="s">
        <v>541</v>
      </c>
      <c r="C199" s="167"/>
      <c r="D199" s="132"/>
      <c r="E199" s="36">
        <f>VLOOKUP($B199,'[1]V1 V2'!$B$5:$BW$1894,74,0)</f>
        <v>0</v>
      </c>
      <c r="F199" s="184"/>
      <c r="G199" s="185"/>
      <c r="H199" s="186"/>
      <c r="I199" s="136"/>
      <c r="J199" s="225" t="s">
        <v>113</v>
      </c>
      <c r="K199" s="187"/>
      <c r="L199" s="224">
        <v>3.8</v>
      </c>
      <c r="M199" s="188"/>
      <c r="N199" s="189"/>
      <c r="O199" s="190"/>
      <c r="P199" s="191"/>
      <c r="Q199" s="223" t="s">
        <v>511</v>
      </c>
      <c r="R199" s="223" t="s">
        <v>29</v>
      </c>
      <c r="S199" s="191"/>
      <c r="T199" s="189" t="s">
        <v>30</v>
      </c>
      <c r="U199" s="132"/>
      <c r="V199" s="132" t="s">
        <v>542</v>
      </c>
      <c r="W199" s="226" t="s">
        <v>543</v>
      </c>
      <c r="X199" s="222">
        <f>X195-Z198</f>
        <v>33804.788999999997</v>
      </c>
      <c r="Y199" s="222">
        <v>1039.2</v>
      </c>
      <c r="Z199" s="198"/>
      <c r="AA199" s="179" t="s">
        <v>541</v>
      </c>
      <c r="AB199" s="21" t="s">
        <v>2</v>
      </c>
      <c r="AC199" s="112"/>
      <c r="AD199" s="113"/>
      <c r="AE199" s="113"/>
      <c r="AF199" s="113"/>
      <c r="AG199" s="113"/>
      <c r="AH199" s="166">
        <f>Y198</f>
        <v>0</v>
      </c>
      <c r="AI199" s="113"/>
      <c r="AJ199" s="113"/>
      <c r="AK199" s="113"/>
      <c r="AL199" s="113"/>
      <c r="AM199" s="113"/>
      <c r="AN199" s="115"/>
      <c r="AO199" s="10" t="s">
        <v>3</v>
      </c>
      <c r="AP199" s="179" t="s">
        <v>544</v>
      </c>
      <c r="AQ199" s="198"/>
      <c r="AR199" s="222">
        <v>1041</v>
      </c>
      <c r="AS199" s="222">
        <f>AS195-AQ200</f>
        <v>33816.989000000001</v>
      </c>
      <c r="AT199" s="226" t="s">
        <v>545</v>
      </c>
      <c r="AU199" s="222" t="s">
        <v>546</v>
      </c>
      <c r="AV199" s="132"/>
      <c r="AW199" s="189" t="s">
        <v>30</v>
      </c>
      <c r="AX199" s="191"/>
      <c r="AY199" s="223" t="s">
        <v>29</v>
      </c>
      <c r="AZ199" s="223" t="s">
        <v>511</v>
      </c>
      <c r="BA199" s="191"/>
      <c r="BB199" s="192"/>
      <c r="BC199" s="188"/>
      <c r="BD199" s="188"/>
      <c r="BE199" s="224">
        <v>3.8</v>
      </c>
      <c r="BF199" s="187"/>
      <c r="BG199" s="225" t="s">
        <v>113</v>
      </c>
      <c r="BH199" s="136"/>
      <c r="BI199" s="186"/>
      <c r="BJ199" s="185"/>
      <c r="BK199" s="193"/>
      <c r="BL199" s="36">
        <f>VLOOKUP($AP199,'[1]V1 V2'!$B$5:$BW$1894,74,0)</f>
        <v>0</v>
      </c>
      <c r="BM199" s="36" t="str">
        <f>IF('[1]V1 V2'!X198="","",'[1]V1 V2'!X198)</f>
        <v/>
      </c>
    </row>
    <row r="200" spans="1:65" ht="16" thickBot="1" x14ac:dyDescent="0.4">
      <c r="A200">
        <v>1</v>
      </c>
      <c r="B200" s="241"/>
      <c r="C200" s="242"/>
      <c r="D200" s="234"/>
      <c r="E200" s="36"/>
      <c r="F200" s="235"/>
      <c r="G200" s="236"/>
      <c r="H200" s="237"/>
      <c r="I200" s="136"/>
      <c r="J200" s="135"/>
      <c r="K200" s="187"/>
      <c r="L200" s="224"/>
      <c r="M200" s="188"/>
      <c r="N200" s="189"/>
      <c r="O200" s="190"/>
      <c r="P200" s="191"/>
      <c r="Q200" s="221"/>
      <c r="R200" s="221"/>
      <c r="S200" s="191"/>
      <c r="T200" s="189"/>
      <c r="U200" s="132"/>
      <c r="V200" s="132" t="s">
        <v>89</v>
      </c>
      <c r="W200" s="226" t="s">
        <v>89</v>
      </c>
      <c r="X200" s="226"/>
      <c r="Y200" s="222"/>
      <c r="Z200" s="198">
        <v>10</v>
      </c>
      <c r="AA200" s="239"/>
      <c r="AB200" s="21" t="s">
        <v>2</v>
      </c>
      <c r="AC200" s="120"/>
      <c r="AH200" s="63">
        <v>1</v>
      </c>
      <c r="AN200" s="121"/>
      <c r="AO200" s="10" t="s">
        <v>3</v>
      </c>
      <c r="AP200" s="239"/>
      <c r="AQ200" s="198">
        <v>10</v>
      </c>
      <c r="AR200" s="222"/>
      <c r="AS200" s="222"/>
      <c r="AT200" s="226" t="s">
        <v>89</v>
      </c>
      <c r="AU200" s="222" t="s">
        <v>89</v>
      </c>
      <c r="AV200" s="132"/>
      <c r="AW200" s="189"/>
      <c r="AX200" s="191"/>
      <c r="AY200" s="221"/>
      <c r="AZ200" s="221"/>
      <c r="BA200" s="191"/>
      <c r="BB200" s="192"/>
      <c r="BC200" s="188"/>
      <c r="BD200" s="188"/>
      <c r="BE200" s="224"/>
      <c r="BF200" s="187"/>
      <c r="BG200" s="135"/>
      <c r="BH200" s="136"/>
      <c r="BI200" s="237"/>
      <c r="BJ200" s="236"/>
      <c r="BK200" s="240"/>
      <c r="BL200" s="36"/>
      <c r="BM200" s="36" t="str">
        <f>IF('[1]V1 V2'!X199="","",'[1]V1 V2'!X199)</f>
        <v/>
      </c>
    </row>
    <row r="201" spans="1:65" ht="16" thickBot="1" x14ac:dyDescent="0.4">
      <c r="A201">
        <v>1</v>
      </c>
      <c r="B201" s="232" t="s">
        <v>547</v>
      </c>
      <c r="C201" s="233"/>
      <c r="D201" s="234"/>
      <c r="E201" s="36">
        <f>VLOOKUP($B201,'[1]V1 V2'!$B$5:$BW$1894,74,0)</f>
        <v>0</v>
      </c>
      <c r="F201" s="235"/>
      <c r="G201" s="236"/>
      <c r="H201" s="237"/>
      <c r="I201" s="136"/>
      <c r="J201" s="225" t="s">
        <v>120</v>
      </c>
      <c r="K201" s="187"/>
      <c r="L201" s="224">
        <v>3.8</v>
      </c>
      <c r="M201" s="188"/>
      <c r="N201" s="189"/>
      <c r="O201" s="190"/>
      <c r="P201" s="191"/>
      <c r="Q201" s="223" t="s">
        <v>511</v>
      </c>
      <c r="R201" s="223" t="s">
        <v>29</v>
      </c>
      <c r="S201" s="191"/>
      <c r="T201" s="189" t="s">
        <v>30</v>
      </c>
      <c r="U201" s="132"/>
      <c r="V201" s="132" t="s">
        <v>548</v>
      </c>
      <c r="W201" s="226" t="s">
        <v>549</v>
      </c>
      <c r="X201" s="222">
        <f>X197-Z200</f>
        <v>33806.788999999997</v>
      </c>
      <c r="Y201" s="222">
        <v>1049.2</v>
      </c>
      <c r="Z201" s="198"/>
      <c r="AA201" s="238" t="s">
        <v>547</v>
      </c>
      <c r="AB201" s="21" t="s">
        <v>2</v>
      </c>
      <c r="AC201" s="120"/>
      <c r="AH201" s="63">
        <v>1</v>
      </c>
      <c r="AN201" s="121"/>
      <c r="AO201" s="10" t="s">
        <v>3</v>
      </c>
      <c r="AP201" s="238" t="s">
        <v>550</v>
      </c>
      <c r="AQ201" s="198"/>
      <c r="AR201" s="222">
        <v>1051</v>
      </c>
      <c r="AS201" s="222">
        <f>AS197-AQ202</f>
        <v>33804.989000000001</v>
      </c>
      <c r="AT201" s="226" t="s">
        <v>551</v>
      </c>
      <c r="AU201" s="222" t="s">
        <v>552</v>
      </c>
      <c r="AV201" s="132"/>
      <c r="AW201" s="189" t="s">
        <v>30</v>
      </c>
      <c r="AX201" s="191"/>
      <c r="AY201" s="223" t="s">
        <v>29</v>
      </c>
      <c r="AZ201" s="223" t="s">
        <v>511</v>
      </c>
      <c r="BA201" s="191"/>
      <c r="BB201" s="192"/>
      <c r="BC201" s="188"/>
      <c r="BD201" s="188"/>
      <c r="BE201" s="224">
        <v>3.8</v>
      </c>
      <c r="BF201" s="187"/>
      <c r="BG201" s="225" t="s">
        <v>120</v>
      </c>
      <c r="BH201" s="136"/>
      <c r="BI201" s="237"/>
      <c r="BJ201" s="236"/>
      <c r="BK201" s="240"/>
      <c r="BL201" s="36">
        <f>VLOOKUP($AP201,'[1]V1 V2'!$B$5:$BW$1894,74,0)</f>
        <v>0</v>
      </c>
      <c r="BM201" s="36" t="str">
        <f>IF('[1]V1 V2'!X200="","",'[1]V1 V2'!X200)</f>
        <v/>
      </c>
    </row>
    <row r="202" spans="1:65" ht="29.5" thickBot="1" x14ac:dyDescent="0.4">
      <c r="A202">
        <v>1</v>
      </c>
      <c r="B202" s="227" t="s">
        <v>553</v>
      </c>
      <c r="C202" s="228"/>
      <c r="D202" s="229"/>
      <c r="E202" s="36">
        <f>VLOOKUP($B202,'[1]V1 V2'!$B$5:$BW$1894,74,0)</f>
        <v>0</v>
      </c>
      <c r="F202" s="184"/>
      <c r="G202" s="185"/>
      <c r="H202" s="186"/>
      <c r="I202" s="136"/>
      <c r="J202" s="135"/>
      <c r="K202" s="187"/>
      <c r="L202" s="224"/>
      <c r="M202" s="188"/>
      <c r="N202" s="189"/>
      <c r="O202" s="190"/>
      <c r="P202" s="191"/>
      <c r="Q202" s="221" t="s">
        <v>89</v>
      </c>
      <c r="R202" s="221"/>
      <c r="S202" s="191"/>
      <c r="T202" s="189"/>
      <c r="U202" s="132"/>
      <c r="V202" s="132"/>
      <c r="W202" s="226"/>
      <c r="X202" s="226"/>
      <c r="Y202" s="222"/>
      <c r="Z202" s="198">
        <v>10</v>
      </c>
      <c r="AA202" s="231" t="s">
        <v>553</v>
      </c>
      <c r="AB202" s="21" t="s">
        <v>2</v>
      </c>
      <c r="AC202" s="120"/>
      <c r="AH202" s="63">
        <v>1</v>
      </c>
      <c r="AN202" s="121"/>
      <c r="AO202" s="10" t="s">
        <v>3</v>
      </c>
      <c r="AP202" s="231" t="s">
        <v>553</v>
      </c>
      <c r="AQ202" s="198">
        <v>10</v>
      </c>
      <c r="AR202" s="222"/>
      <c r="AS202" s="222"/>
      <c r="AT202" s="226"/>
      <c r="AU202" s="222"/>
      <c r="AV202" s="132"/>
      <c r="AW202" s="189"/>
      <c r="AX202" s="191"/>
      <c r="AY202" s="221"/>
      <c r="AZ202" s="221"/>
      <c r="BA202" s="191"/>
      <c r="BB202" s="192"/>
      <c r="BC202" s="188"/>
      <c r="BD202" s="188"/>
      <c r="BE202" s="224"/>
      <c r="BF202" s="187"/>
      <c r="BG202" s="135"/>
      <c r="BH202" s="136"/>
      <c r="BI202" s="186"/>
      <c r="BJ202" s="185"/>
      <c r="BK202" s="193"/>
      <c r="BL202" s="36">
        <f>VLOOKUP($AP202,'[1]V1 V2'!$B$5:$BW$1894,74,0)</f>
        <v>0</v>
      </c>
      <c r="BM202" s="36" t="str">
        <f>IF('[1]V1 V2'!X201="","",'[1]V1 V2'!X201)</f>
        <v/>
      </c>
    </row>
    <row r="203" spans="1:65" ht="16" thickBot="1" x14ac:dyDescent="0.4">
      <c r="A203">
        <v>1</v>
      </c>
      <c r="B203" s="232" t="s">
        <v>554</v>
      </c>
      <c r="C203" s="233"/>
      <c r="D203" s="234"/>
      <c r="E203" s="36">
        <f>VLOOKUP($B203,'[1]V1 V2'!$B$5:$BW$1894,74,0)</f>
        <v>0</v>
      </c>
      <c r="F203" s="184"/>
      <c r="G203" s="185"/>
      <c r="H203" s="244" t="s">
        <v>555</v>
      </c>
      <c r="I203" s="247" t="s">
        <v>127</v>
      </c>
      <c r="J203" s="135">
        <v>-12</v>
      </c>
      <c r="K203" s="187"/>
      <c r="L203" s="224">
        <v>3.8</v>
      </c>
      <c r="M203" s="188"/>
      <c r="N203" s="189"/>
      <c r="O203" s="190"/>
      <c r="P203" s="191"/>
      <c r="Q203" s="223" t="s">
        <v>83</v>
      </c>
      <c r="R203" s="223" t="s">
        <v>29</v>
      </c>
      <c r="S203" s="191"/>
      <c r="T203" s="189" t="s">
        <v>33</v>
      </c>
      <c r="U203" s="132"/>
      <c r="V203" s="132" t="s">
        <v>556</v>
      </c>
      <c r="W203" s="226" t="s">
        <v>557</v>
      </c>
      <c r="X203" s="222">
        <f>X199-Z202</f>
        <v>33794.788999999997</v>
      </c>
      <c r="Y203" s="222">
        <v>1059.2</v>
      </c>
      <c r="Z203" s="198"/>
      <c r="AA203" s="238" t="s">
        <v>554</v>
      </c>
      <c r="AB203" s="21" t="s">
        <v>2</v>
      </c>
      <c r="AC203" s="120"/>
      <c r="AH203" s="63">
        <v>1</v>
      </c>
      <c r="AN203" s="121"/>
      <c r="AO203" s="10" t="s">
        <v>3</v>
      </c>
      <c r="AP203" s="238" t="s">
        <v>558</v>
      </c>
      <c r="AQ203" s="198"/>
      <c r="AR203" s="222">
        <v>1061</v>
      </c>
      <c r="AS203" s="222">
        <f>AS199-AQ204</f>
        <v>33806.989000000001</v>
      </c>
      <c r="AT203" s="226" t="s">
        <v>559</v>
      </c>
      <c r="AU203" s="222" t="s">
        <v>560</v>
      </c>
      <c r="AV203" s="132"/>
      <c r="AW203" s="189" t="s">
        <v>33</v>
      </c>
      <c r="AX203" s="191"/>
      <c r="AY203" s="223" t="s">
        <v>29</v>
      </c>
      <c r="AZ203" s="223" t="s">
        <v>83</v>
      </c>
      <c r="BA203" s="191"/>
      <c r="BB203" s="192"/>
      <c r="BC203" s="188"/>
      <c r="BD203" s="188"/>
      <c r="BE203" s="224">
        <v>3.8</v>
      </c>
      <c r="BF203" s="187"/>
      <c r="BG203" s="135">
        <v>-12</v>
      </c>
      <c r="BH203" s="247" t="s">
        <v>127</v>
      </c>
      <c r="BI203" s="244" t="s">
        <v>555</v>
      </c>
      <c r="BJ203" s="185"/>
      <c r="BK203" s="193"/>
      <c r="BL203" s="36">
        <f>VLOOKUP($AP203,'[1]V1 V2'!$B$5:$BW$1894,74,0)</f>
        <v>0</v>
      </c>
      <c r="BM203" s="36" t="str">
        <f>IF('[1]V1 V2'!X202="","",'[1]V1 V2'!X202)</f>
        <v/>
      </c>
    </row>
    <row r="204" spans="1:65" ht="16" thickBot="1" x14ac:dyDescent="0.4">
      <c r="A204">
        <v>1</v>
      </c>
      <c r="B204" s="232"/>
      <c r="C204" s="233"/>
      <c r="D204" s="234"/>
      <c r="E204" s="36"/>
      <c r="F204" s="184"/>
      <c r="G204" s="185"/>
      <c r="H204" s="245" t="s">
        <v>8</v>
      </c>
      <c r="I204" s="248"/>
      <c r="J204" s="135"/>
      <c r="K204" s="187"/>
      <c r="L204" s="224"/>
      <c r="M204" s="188"/>
      <c r="N204" s="189"/>
      <c r="O204" s="190"/>
      <c r="P204" s="191"/>
      <c r="Q204" s="221" t="s">
        <v>89</v>
      </c>
      <c r="R204" s="221"/>
      <c r="S204" s="191"/>
      <c r="T204" s="189"/>
      <c r="U204" s="132"/>
      <c r="V204" s="132" t="s">
        <v>89</v>
      </c>
      <c r="W204" s="226" t="s">
        <v>89</v>
      </c>
      <c r="X204" s="226"/>
      <c r="Y204" s="222"/>
      <c r="Z204" s="198">
        <v>10</v>
      </c>
      <c r="AA204" s="238"/>
      <c r="AB204" s="21" t="s">
        <v>2</v>
      </c>
      <c r="AC204" s="120"/>
      <c r="AH204" s="63">
        <v>1</v>
      </c>
      <c r="AN204" s="121"/>
      <c r="AO204" s="10" t="s">
        <v>3</v>
      </c>
      <c r="AP204" s="238"/>
      <c r="AQ204" s="198">
        <v>10</v>
      </c>
      <c r="AR204" s="222"/>
      <c r="AS204" s="222"/>
      <c r="AT204" s="226" t="s">
        <v>89</v>
      </c>
      <c r="AU204" s="222" t="s">
        <v>89</v>
      </c>
      <c r="AV204" s="132"/>
      <c r="AW204" s="189"/>
      <c r="AX204" s="191"/>
      <c r="AY204" s="221"/>
      <c r="AZ204" s="221"/>
      <c r="BA204" s="191"/>
      <c r="BB204" s="192"/>
      <c r="BC204" s="188"/>
      <c r="BD204" s="188"/>
      <c r="BE204" s="224"/>
      <c r="BF204" s="187"/>
      <c r="BG204" s="135"/>
      <c r="BH204" s="248"/>
      <c r="BI204" s="245" t="s">
        <v>8</v>
      </c>
      <c r="BJ204" s="185"/>
      <c r="BK204" s="193"/>
      <c r="BL204" s="36"/>
      <c r="BM204" s="36" t="str">
        <f>IF('[1]V1 V2'!X203="","",'[1]V1 V2'!X203)</f>
        <v/>
      </c>
    </row>
    <row r="205" spans="1:65" ht="16" thickBot="1" x14ac:dyDescent="0.4">
      <c r="A205">
        <v>1</v>
      </c>
      <c r="B205" s="232" t="s">
        <v>561</v>
      </c>
      <c r="C205" s="233"/>
      <c r="D205" s="234"/>
      <c r="E205" s="36">
        <f>VLOOKUP($B205,'[1]V1 V2'!$B$5:$BW$1894,74,0)</f>
        <v>0</v>
      </c>
      <c r="F205" s="184"/>
      <c r="G205" s="185"/>
      <c r="H205" s="186" t="s">
        <v>562</v>
      </c>
      <c r="I205" s="249" t="s">
        <v>120</v>
      </c>
      <c r="J205" s="135">
        <v>-20</v>
      </c>
      <c r="K205" s="187"/>
      <c r="L205" s="224">
        <v>3.8</v>
      </c>
      <c r="M205" s="188"/>
      <c r="N205" s="189"/>
      <c r="O205" s="190"/>
      <c r="P205" s="191"/>
      <c r="Q205" s="223" t="s">
        <v>83</v>
      </c>
      <c r="R205" s="223" t="s">
        <v>29</v>
      </c>
      <c r="S205" s="191"/>
      <c r="T205" s="189" t="s">
        <v>33</v>
      </c>
      <c r="U205" s="132"/>
      <c r="V205" s="132" t="s">
        <v>563</v>
      </c>
      <c r="W205" s="226" t="s">
        <v>564</v>
      </c>
      <c r="X205" s="222">
        <f>X201-Z204</f>
        <v>33796.788999999997</v>
      </c>
      <c r="Y205" s="222">
        <v>1069.2</v>
      </c>
      <c r="Z205" s="198"/>
      <c r="AA205" s="238" t="s">
        <v>561</v>
      </c>
      <c r="AB205" s="21" t="s">
        <v>2</v>
      </c>
      <c r="AC205" s="120"/>
      <c r="AH205" s="63">
        <v>1</v>
      </c>
      <c r="AN205" s="121"/>
      <c r="AO205" s="10" t="s">
        <v>3</v>
      </c>
      <c r="AP205" s="238" t="s">
        <v>565</v>
      </c>
      <c r="AQ205" s="198"/>
      <c r="AR205" s="222">
        <v>1071</v>
      </c>
      <c r="AS205" s="222">
        <f>AS201-AQ206</f>
        <v>33794.989000000001</v>
      </c>
      <c r="AT205" s="226" t="s">
        <v>566</v>
      </c>
      <c r="AU205" s="222" t="s">
        <v>567</v>
      </c>
      <c r="AV205" s="132"/>
      <c r="AW205" s="189" t="s">
        <v>33</v>
      </c>
      <c r="AX205" s="191"/>
      <c r="AY205" s="223" t="s">
        <v>29</v>
      </c>
      <c r="AZ205" s="223" t="s">
        <v>83</v>
      </c>
      <c r="BA205" s="191"/>
      <c r="BB205" s="192"/>
      <c r="BC205" s="188"/>
      <c r="BD205" s="188"/>
      <c r="BE205" s="224">
        <v>3.8</v>
      </c>
      <c r="BF205" s="187"/>
      <c r="BG205" s="135">
        <v>-20</v>
      </c>
      <c r="BH205" s="249" t="s">
        <v>120</v>
      </c>
      <c r="BI205" s="186" t="s">
        <v>568</v>
      </c>
      <c r="BJ205" s="185"/>
      <c r="BK205" s="193"/>
      <c r="BL205" s="36">
        <f>VLOOKUP($AP205,'[1]V1 V2'!$B$5:$BW$1894,74,0)</f>
        <v>0</v>
      </c>
      <c r="BM205" s="36" t="str">
        <f>IF('[1]V1 V2'!X204="","",'[1]V1 V2'!X204)</f>
        <v/>
      </c>
    </row>
    <row r="206" spans="1:65" ht="16" thickBot="1" x14ac:dyDescent="0.4">
      <c r="A206">
        <v>1</v>
      </c>
      <c r="B206" s="250"/>
      <c r="C206" s="251"/>
      <c r="D206" s="252"/>
      <c r="E206" s="36"/>
      <c r="F206" s="144"/>
      <c r="G206" s="145"/>
      <c r="H206" s="98"/>
      <c r="I206" s="144"/>
      <c r="J206" s="158"/>
      <c r="K206" s="147"/>
      <c r="L206" s="148"/>
      <c r="M206" s="149"/>
      <c r="N206" s="150"/>
      <c r="O206" s="151" t="s">
        <v>89</v>
      </c>
      <c r="P206" s="152"/>
      <c r="Q206" s="153"/>
      <c r="R206" s="153"/>
      <c r="S206" s="152"/>
      <c r="T206" s="150"/>
      <c r="U206" s="80"/>
      <c r="V206" s="154" t="s">
        <v>89</v>
      </c>
      <c r="W206" s="154" t="s">
        <v>89</v>
      </c>
      <c r="X206" s="253"/>
      <c r="Y206" s="154"/>
      <c r="Z206" s="155">
        <v>10</v>
      </c>
      <c r="AA206" s="254"/>
      <c r="AB206" s="21" t="s">
        <v>2</v>
      </c>
      <c r="AC206" s="120"/>
      <c r="AH206" s="63">
        <v>1</v>
      </c>
      <c r="AN206" s="121"/>
      <c r="AO206" s="10" t="s">
        <v>3</v>
      </c>
      <c r="AP206" s="231"/>
      <c r="AQ206" s="198">
        <v>10</v>
      </c>
      <c r="AR206" s="222"/>
      <c r="AS206" s="222"/>
      <c r="AT206" s="226" t="s">
        <v>89</v>
      </c>
      <c r="AU206" s="255" t="s">
        <v>89</v>
      </c>
      <c r="AV206" s="132"/>
      <c r="AW206" s="189"/>
      <c r="AX206" s="191"/>
      <c r="AY206" s="223"/>
      <c r="AZ206" s="223"/>
      <c r="BA206" s="191"/>
      <c r="BB206" s="192" t="s">
        <v>89</v>
      </c>
      <c r="BC206" s="188"/>
      <c r="BD206" s="188"/>
      <c r="BE206" s="224"/>
      <c r="BF206" s="187"/>
      <c r="BG206" s="135"/>
      <c r="BH206" s="136"/>
      <c r="BI206" s="186"/>
      <c r="BJ206" s="185"/>
      <c r="BK206" s="193"/>
      <c r="BL206" s="36"/>
      <c r="BM206" s="36" t="str">
        <f>IF('[1]V1 V2'!X205="","",'[1]V1 V2'!X205)</f>
        <v/>
      </c>
    </row>
    <row r="207" spans="1:65" ht="16" thickBot="1" x14ac:dyDescent="0.4">
      <c r="A207">
        <v>1</v>
      </c>
      <c r="B207" s="232" t="s">
        <v>569</v>
      </c>
      <c r="C207" s="233"/>
      <c r="D207" s="234"/>
      <c r="E207" s="36">
        <f>VLOOKUP($B207,'[1]V1 V2'!$B$5:$BW$1894,74,0)</f>
        <v>0</v>
      </c>
      <c r="F207" s="184"/>
      <c r="G207" s="185"/>
      <c r="H207" s="186"/>
      <c r="I207" s="136"/>
      <c r="J207" s="135">
        <v>-12</v>
      </c>
      <c r="K207" s="187"/>
      <c r="L207" s="224">
        <v>3.8</v>
      </c>
      <c r="M207" s="188"/>
      <c r="N207" s="189"/>
      <c r="O207" s="190"/>
      <c r="P207" s="191"/>
      <c r="Q207" s="223" t="s">
        <v>100</v>
      </c>
      <c r="R207" s="223" t="s">
        <v>29</v>
      </c>
      <c r="S207" s="191"/>
      <c r="T207" s="189" t="s">
        <v>30</v>
      </c>
      <c r="U207" s="132"/>
      <c r="V207" s="132">
        <v>164785.12</v>
      </c>
      <c r="W207" s="226" t="s">
        <v>570</v>
      </c>
      <c r="X207" s="222">
        <f>X203-Z206</f>
        <v>33784.788999999997</v>
      </c>
      <c r="Y207" s="222">
        <v>1080</v>
      </c>
      <c r="Z207" s="178"/>
      <c r="AA207" s="238" t="s">
        <v>569</v>
      </c>
      <c r="AB207" s="21" t="s">
        <v>2</v>
      </c>
      <c r="AC207" s="120"/>
      <c r="AH207" s="63">
        <v>1</v>
      </c>
      <c r="AN207" s="121"/>
      <c r="AO207" s="10" t="s">
        <v>3</v>
      </c>
      <c r="AP207" s="238" t="s">
        <v>571</v>
      </c>
      <c r="AQ207" s="198"/>
      <c r="AR207" s="222">
        <v>1081</v>
      </c>
      <c r="AS207" s="222">
        <f>AS203-AQ208</f>
        <v>33798.289000000004</v>
      </c>
      <c r="AT207" s="226" t="s">
        <v>572</v>
      </c>
      <c r="AU207" s="226" t="s">
        <v>573</v>
      </c>
      <c r="AV207" s="132"/>
      <c r="AW207" s="189" t="s">
        <v>30</v>
      </c>
      <c r="AX207" s="191"/>
      <c r="AY207" s="223" t="s">
        <v>29</v>
      </c>
      <c r="AZ207" s="223" t="s">
        <v>100</v>
      </c>
      <c r="BA207" s="191"/>
      <c r="BB207" s="192"/>
      <c r="BC207" s="188"/>
      <c r="BD207" s="188"/>
      <c r="BE207" s="224">
        <v>3.8</v>
      </c>
      <c r="BF207" s="187"/>
      <c r="BG207" s="135">
        <v>-12</v>
      </c>
      <c r="BH207" s="136"/>
      <c r="BI207" s="186"/>
      <c r="BJ207" s="185"/>
      <c r="BK207" s="193"/>
      <c r="BL207" s="36">
        <f>VLOOKUP($AP207,'[1]V1 V2'!$B$5:$BW$1894,74,0)</f>
        <v>0</v>
      </c>
      <c r="BM207" s="36" t="str">
        <f>IF('[1]V1 V2'!X206="","",'[1]V1 V2'!X206)</f>
        <v/>
      </c>
    </row>
    <row r="208" spans="1:65" ht="16" thickBot="1" x14ac:dyDescent="0.4">
      <c r="A208">
        <v>1</v>
      </c>
      <c r="B208" s="232"/>
      <c r="C208" s="233"/>
      <c r="D208" s="234"/>
      <c r="E208" s="36"/>
      <c r="F208" s="184"/>
      <c r="G208" s="185"/>
      <c r="H208" s="186"/>
      <c r="I208" s="136"/>
      <c r="J208" s="135"/>
      <c r="K208" s="187"/>
      <c r="L208" s="224"/>
      <c r="M208" s="188"/>
      <c r="N208" s="189"/>
      <c r="O208" s="190"/>
      <c r="P208" s="191"/>
      <c r="Q208" s="221" t="s">
        <v>89</v>
      </c>
      <c r="R208" s="221"/>
      <c r="S208" s="191"/>
      <c r="T208" s="189"/>
      <c r="U208" s="132"/>
      <c r="V208" s="132" t="s">
        <v>89</v>
      </c>
      <c r="W208" s="226" t="s">
        <v>89</v>
      </c>
      <c r="X208" s="226"/>
      <c r="Y208" s="222"/>
      <c r="Z208" s="198">
        <v>8.6999999999999993</v>
      </c>
      <c r="AA208" s="238"/>
      <c r="AB208" s="21" t="s">
        <v>2</v>
      </c>
      <c r="AC208" s="120"/>
      <c r="AH208" s="63">
        <v>1</v>
      </c>
      <c r="AN208" s="121"/>
      <c r="AO208" s="10" t="s">
        <v>3</v>
      </c>
      <c r="AP208" s="238"/>
      <c r="AQ208" s="198">
        <v>8.6999999999999993</v>
      </c>
      <c r="AR208" s="222"/>
      <c r="AS208" s="222"/>
      <c r="AT208" s="226" t="s">
        <v>89</v>
      </c>
      <c r="AU208" s="226" t="s">
        <v>89</v>
      </c>
      <c r="AV208" s="132"/>
      <c r="AW208" s="189"/>
      <c r="AX208" s="191"/>
      <c r="AY208" s="221"/>
      <c r="AZ208" s="221"/>
      <c r="BA208" s="191"/>
      <c r="BB208" s="192"/>
      <c r="BC208" s="188"/>
      <c r="BD208" s="188"/>
      <c r="BE208" s="224"/>
      <c r="BF208" s="187"/>
      <c r="BG208" s="135"/>
      <c r="BH208" s="136"/>
      <c r="BI208" s="186"/>
      <c r="BJ208" s="185"/>
      <c r="BK208" s="193"/>
      <c r="BL208" s="36"/>
      <c r="BM208" s="36" t="str">
        <f>IF('[1]V1 V2'!X207="","",'[1]V1 V2'!X207)</f>
        <v/>
      </c>
    </row>
    <row r="209" spans="1:65" ht="16" thickBot="1" x14ac:dyDescent="0.4">
      <c r="A209">
        <v>1</v>
      </c>
      <c r="B209" s="232" t="s">
        <v>574</v>
      </c>
      <c r="C209" s="233"/>
      <c r="D209" s="234"/>
      <c r="E209" s="36">
        <f>VLOOKUP($B209,'[1]V1 V2'!$B$5:$BW$1894,74,0)</f>
        <v>0</v>
      </c>
      <c r="F209" s="184"/>
      <c r="G209" s="185"/>
      <c r="H209" s="186"/>
      <c r="I209" s="136"/>
      <c r="J209" s="135">
        <v>-20</v>
      </c>
      <c r="K209" s="187"/>
      <c r="L209" s="224">
        <v>3.8</v>
      </c>
      <c r="M209" s="188"/>
      <c r="N209" s="189"/>
      <c r="O209" s="190"/>
      <c r="P209" s="191"/>
      <c r="Q209" s="223" t="s">
        <v>100</v>
      </c>
      <c r="R209" s="223" t="s">
        <v>29</v>
      </c>
      <c r="S209" s="191"/>
      <c r="T209" s="189" t="s">
        <v>30</v>
      </c>
      <c r="U209" s="132"/>
      <c r="V209" s="132" t="s">
        <v>575</v>
      </c>
      <c r="W209" s="226" t="s">
        <v>576</v>
      </c>
      <c r="X209" s="222">
        <f>X205-Z208</f>
        <v>33788.089</v>
      </c>
      <c r="Y209" s="222">
        <v>1088.7</v>
      </c>
      <c r="Z209" s="178"/>
      <c r="AA209" s="238" t="s">
        <v>574</v>
      </c>
      <c r="AB209" s="21" t="s">
        <v>2</v>
      </c>
      <c r="AC209" s="120"/>
      <c r="AH209" s="63">
        <v>1</v>
      </c>
      <c r="AN209" s="121"/>
      <c r="AO209" s="10" t="s">
        <v>3</v>
      </c>
      <c r="AP209" s="238" t="s">
        <v>577</v>
      </c>
      <c r="AQ209" s="198"/>
      <c r="AR209" s="222">
        <v>1089.7</v>
      </c>
      <c r="AS209" s="222">
        <f>AS205-AQ210</f>
        <v>33785.489000000001</v>
      </c>
      <c r="AT209" s="226" t="s">
        <v>572</v>
      </c>
      <c r="AU209" s="226" t="s">
        <v>573</v>
      </c>
      <c r="AV209" s="132"/>
      <c r="AW209" s="189" t="s">
        <v>30</v>
      </c>
      <c r="AX209" s="191"/>
      <c r="AY209" s="223" t="s">
        <v>29</v>
      </c>
      <c r="AZ209" s="223" t="s">
        <v>100</v>
      </c>
      <c r="BA209" s="191"/>
      <c r="BB209" s="192"/>
      <c r="BC209" s="188"/>
      <c r="BD209" s="188"/>
      <c r="BE209" s="224">
        <v>3.8</v>
      </c>
      <c r="BF209" s="187"/>
      <c r="BG209" s="135">
        <v>-20</v>
      </c>
      <c r="BH209" s="136"/>
      <c r="BI209" s="186"/>
      <c r="BJ209" s="185"/>
      <c r="BK209" s="193"/>
      <c r="BL209" s="36">
        <f>VLOOKUP($AP209,'[1]V1 V2'!$B$5:$BW$1894,74,0)</f>
        <v>0</v>
      </c>
      <c r="BM209" s="36" t="str">
        <f>IF('[1]V1 V2'!X208="","",'[1]V1 V2'!X208)</f>
        <v/>
      </c>
    </row>
    <row r="210" spans="1:65" ht="16" thickBot="1" x14ac:dyDescent="0.4">
      <c r="A210">
        <v>1</v>
      </c>
      <c r="B210" s="227"/>
      <c r="C210" s="228"/>
      <c r="D210" s="229"/>
      <c r="E210" s="36"/>
      <c r="F210" s="184"/>
      <c r="G210" s="185"/>
      <c r="H210" s="186"/>
      <c r="I210" s="136"/>
      <c r="J210" s="135"/>
      <c r="K210" s="187"/>
      <c r="L210" s="224"/>
      <c r="M210" s="188"/>
      <c r="N210" s="189"/>
      <c r="O210" s="190"/>
      <c r="P210" s="191"/>
      <c r="Q210" s="221" t="s">
        <v>89</v>
      </c>
      <c r="R210" s="221"/>
      <c r="S210" s="191"/>
      <c r="T210" s="189"/>
      <c r="U210" s="132"/>
      <c r="V210" s="256"/>
      <c r="W210" s="226"/>
      <c r="X210" s="226"/>
      <c r="Y210" s="222"/>
      <c r="Z210" s="198">
        <v>8.6999999999999993</v>
      </c>
      <c r="AA210" s="231"/>
      <c r="AB210" s="21" t="s">
        <v>2</v>
      </c>
      <c r="AC210" s="120"/>
      <c r="AH210" s="63">
        <v>1</v>
      </c>
      <c r="AN210" s="121"/>
      <c r="AO210" s="10" t="s">
        <v>3</v>
      </c>
      <c r="AP210" s="238"/>
      <c r="AQ210" s="198">
        <v>9.5</v>
      </c>
      <c r="AR210" s="222"/>
      <c r="AS210" s="222"/>
      <c r="AT210" s="226" t="s">
        <v>89</v>
      </c>
      <c r="AU210" s="226" t="s">
        <v>89</v>
      </c>
      <c r="AV210" s="132"/>
      <c r="AW210" s="189"/>
      <c r="AX210" s="191"/>
      <c r="AY210" s="221"/>
      <c r="AZ210" s="221"/>
      <c r="BA210" s="191"/>
      <c r="BB210" s="192"/>
      <c r="BC210" s="188"/>
      <c r="BD210" s="188"/>
      <c r="BE210" s="224"/>
      <c r="BF210" s="187"/>
      <c r="BG210" s="135"/>
      <c r="BH210" s="136"/>
      <c r="BI210" s="186"/>
      <c r="BJ210" s="185"/>
      <c r="BK210" s="193"/>
      <c r="BL210" s="36"/>
      <c r="BM210" s="36" t="str">
        <f>IF('[1]V1 V2'!X209="","",'[1]V1 V2'!X209)</f>
        <v/>
      </c>
    </row>
    <row r="211" spans="1:65" ht="16" thickBot="1" x14ac:dyDescent="0.4">
      <c r="A211">
        <v>1</v>
      </c>
      <c r="B211" s="232" t="s">
        <v>578</v>
      </c>
      <c r="C211" s="233"/>
      <c r="D211" s="234"/>
      <c r="E211" s="36">
        <f>VLOOKUP($B211,'[1]V1 V2'!$B$5:$BW$1894,74,0)</f>
        <v>0</v>
      </c>
      <c r="F211" s="184"/>
      <c r="G211" s="185"/>
      <c r="H211" s="186"/>
      <c r="I211" s="136"/>
      <c r="J211" s="135">
        <v>-12</v>
      </c>
      <c r="K211" s="187"/>
      <c r="L211" s="224">
        <v>3.8</v>
      </c>
      <c r="M211" s="188"/>
      <c r="N211" s="189"/>
      <c r="O211" s="190"/>
      <c r="P211" s="191"/>
      <c r="Q211" s="223" t="s">
        <v>100</v>
      </c>
      <c r="R211" s="223" t="s">
        <v>29</v>
      </c>
      <c r="S211" s="191"/>
      <c r="T211" s="189" t="s">
        <v>30</v>
      </c>
      <c r="U211" s="132"/>
      <c r="V211" s="132" t="s">
        <v>579</v>
      </c>
      <c r="W211" s="226" t="s">
        <v>580</v>
      </c>
      <c r="X211" s="222">
        <f>X207-Z210</f>
        <v>33776.089</v>
      </c>
      <c r="Y211" s="222">
        <v>1097.3599999999999</v>
      </c>
      <c r="Z211" s="178"/>
      <c r="AA211" s="238" t="s">
        <v>578</v>
      </c>
      <c r="AB211" s="21" t="s">
        <v>2</v>
      </c>
      <c r="AC211" s="120"/>
      <c r="AH211" s="63">
        <v>1</v>
      </c>
      <c r="AN211" s="121"/>
      <c r="AO211" s="10" t="s">
        <v>3</v>
      </c>
      <c r="AP211" s="238" t="s">
        <v>581</v>
      </c>
      <c r="AQ211" s="178"/>
      <c r="AR211" s="177">
        <v>1099.1600000000001</v>
      </c>
      <c r="AS211" s="222">
        <f>AS207-AQ212</f>
        <v>33787.489000000001</v>
      </c>
      <c r="AT211" s="226" t="s">
        <v>582</v>
      </c>
      <c r="AU211" s="226" t="s">
        <v>583</v>
      </c>
      <c r="AV211" s="132"/>
      <c r="AW211" s="189" t="s">
        <v>30</v>
      </c>
      <c r="AX211" s="191"/>
      <c r="AY211" s="223" t="s">
        <v>29</v>
      </c>
      <c r="AZ211" s="223" t="s">
        <v>100</v>
      </c>
      <c r="BA211" s="191"/>
      <c r="BB211" s="192"/>
      <c r="BC211" s="188"/>
      <c r="BD211" s="188"/>
      <c r="BE211" s="224">
        <v>3.8</v>
      </c>
      <c r="BF211" s="187"/>
      <c r="BG211" s="135">
        <v>-12</v>
      </c>
      <c r="BH211" s="136"/>
      <c r="BI211" s="170"/>
      <c r="BJ211" s="169"/>
      <c r="BK211" s="181"/>
      <c r="BL211" s="36">
        <f>VLOOKUP($AP211,'[1]V1 V2'!$B$5:$BW$1894,74,0)</f>
        <v>0</v>
      </c>
      <c r="BM211" s="36" t="str">
        <f>IF('[1]V1 V2'!X210="","",'[1]V1 V2'!X210)</f>
        <v/>
      </c>
    </row>
    <row r="212" spans="1:65" ht="16" thickBot="1" x14ac:dyDescent="0.4">
      <c r="A212">
        <v>1</v>
      </c>
      <c r="B212" s="227"/>
      <c r="C212" s="228"/>
      <c r="D212" s="229"/>
      <c r="E212" s="36"/>
      <c r="F212" s="168"/>
      <c r="G212" s="169"/>
      <c r="H212" s="170"/>
      <c r="I212" s="57"/>
      <c r="J212" s="135"/>
      <c r="K212" s="171"/>
      <c r="L212" s="142"/>
      <c r="M212" s="172"/>
      <c r="N212" s="173"/>
      <c r="O212" s="174"/>
      <c r="P212" s="191"/>
      <c r="Q212" s="221" t="s">
        <v>89</v>
      </c>
      <c r="R212" s="176"/>
      <c r="S212" s="175"/>
      <c r="T212" s="173"/>
      <c r="U212" s="132"/>
      <c r="V212" s="256"/>
      <c r="W212" s="226"/>
      <c r="X212" s="230"/>
      <c r="Y212" s="177"/>
      <c r="Z212" s="198">
        <v>10.8</v>
      </c>
      <c r="AA212" s="231"/>
      <c r="AB212" s="21" t="s">
        <v>2</v>
      </c>
      <c r="AC212" s="120"/>
      <c r="AH212" s="63">
        <v>1</v>
      </c>
      <c r="AN212" s="121"/>
      <c r="AO212" s="10" t="s">
        <v>3</v>
      </c>
      <c r="AP212" s="238"/>
      <c r="AQ212" s="178">
        <v>10.8</v>
      </c>
      <c r="AR212" s="177"/>
      <c r="AS212" s="222"/>
      <c r="AT212" s="226" t="s">
        <v>89</v>
      </c>
      <c r="AU212" s="226" t="s">
        <v>89</v>
      </c>
      <c r="AV212" s="132"/>
      <c r="AW212" s="189"/>
      <c r="AX212" s="191"/>
      <c r="AY212" s="221"/>
      <c r="AZ212" s="221"/>
      <c r="BA212" s="191"/>
      <c r="BB212" s="192"/>
      <c r="BC212" s="188"/>
      <c r="BD212" s="188"/>
      <c r="BE212" s="224"/>
      <c r="BF212" s="187"/>
      <c r="BG212" s="135"/>
      <c r="BH212" s="136"/>
      <c r="BI212" s="170"/>
      <c r="BJ212" s="169"/>
      <c r="BK212" s="181"/>
      <c r="BL212" s="36"/>
      <c r="BM212" s="36" t="str">
        <f>IF('[1]V1 V2'!X211="","",'[1]V1 V2'!X211)</f>
        <v/>
      </c>
    </row>
    <row r="213" spans="1:65" ht="16" thickBot="1" x14ac:dyDescent="0.4">
      <c r="A213">
        <v>1</v>
      </c>
      <c r="B213" s="232" t="s">
        <v>584</v>
      </c>
      <c r="C213" s="233"/>
      <c r="D213" s="234"/>
      <c r="E213" s="36">
        <f>VLOOKUP($B213,'[1]V1 V2'!$B$5:$BW$1894,74,0)</f>
        <v>0</v>
      </c>
      <c r="F213" s="168"/>
      <c r="G213" s="169"/>
      <c r="H213" s="186"/>
      <c r="I213" s="136"/>
      <c r="J213" s="135">
        <v>-4</v>
      </c>
      <c r="K213" s="187">
        <v>4.5</v>
      </c>
      <c r="L213" s="224">
        <v>3.8</v>
      </c>
      <c r="M213" s="188"/>
      <c r="N213" s="189"/>
      <c r="O213" s="190"/>
      <c r="P213" s="191"/>
      <c r="Q213" s="182" t="s">
        <v>100</v>
      </c>
      <c r="R213" s="182" t="s">
        <v>29</v>
      </c>
      <c r="S213" s="191"/>
      <c r="T213" s="173" t="s">
        <v>585</v>
      </c>
      <c r="U213" s="132"/>
      <c r="V213" s="132" t="s">
        <v>586</v>
      </c>
      <c r="W213" s="226" t="s">
        <v>587</v>
      </c>
      <c r="X213" s="222">
        <f>X211-Z212</f>
        <v>33765.288999999997</v>
      </c>
      <c r="Y213" s="177">
        <v>1108.2</v>
      </c>
      <c r="Z213" s="178"/>
      <c r="AA213" s="238" t="s">
        <v>584</v>
      </c>
      <c r="AB213" s="21" t="s">
        <v>2</v>
      </c>
      <c r="AC213" s="120"/>
      <c r="AH213" s="63">
        <v>1</v>
      </c>
      <c r="AN213" s="121"/>
      <c r="AO213" s="10" t="s">
        <v>3</v>
      </c>
      <c r="AP213" s="238" t="s">
        <v>588</v>
      </c>
      <c r="AQ213" s="178"/>
      <c r="AR213" s="177">
        <v>1110</v>
      </c>
      <c r="AS213" s="222">
        <f>AS209-AQ214</f>
        <v>33774.889000000003</v>
      </c>
      <c r="AT213" s="226" t="s">
        <v>589</v>
      </c>
      <c r="AU213" s="226" t="s">
        <v>590</v>
      </c>
      <c r="AV213" s="132"/>
      <c r="AW213" s="189" t="s">
        <v>30</v>
      </c>
      <c r="AX213" s="191"/>
      <c r="AY213" s="223" t="s">
        <v>29</v>
      </c>
      <c r="AZ213" s="223" t="s">
        <v>100</v>
      </c>
      <c r="BA213" s="191"/>
      <c r="BB213" s="192"/>
      <c r="BC213" s="188"/>
      <c r="BD213" s="188"/>
      <c r="BE213" s="224">
        <v>3.8</v>
      </c>
      <c r="BF213" s="187"/>
      <c r="BG213" s="135">
        <v>-4</v>
      </c>
      <c r="BH213" s="136"/>
      <c r="BI213" s="170"/>
      <c r="BJ213" s="169"/>
      <c r="BK213" s="181"/>
      <c r="BL213" s="36">
        <f>VLOOKUP($AP213,'[1]V1 V2'!$B$5:$BW$1894,74,0)</f>
        <v>0</v>
      </c>
      <c r="BM213" s="36" t="str">
        <f>IF('[1]V1 V2'!X212="","",'[1]V1 V2'!X212)</f>
        <v/>
      </c>
    </row>
    <row r="214" spans="1:65" ht="31.5" customHeight="1" thickBot="1" x14ac:dyDescent="0.4">
      <c r="A214">
        <v>1</v>
      </c>
      <c r="B214" s="250" t="s">
        <v>591</v>
      </c>
      <c r="C214" s="251"/>
      <c r="D214" s="252"/>
      <c r="E214" s="36">
        <f>VLOOKUP($B214,'[1]V1 V2'!$B$5:$BW$1894,74,0)</f>
        <v>0</v>
      </c>
      <c r="F214" s="144"/>
      <c r="G214" s="145" t="s">
        <v>592</v>
      </c>
      <c r="H214" s="98" t="s">
        <v>593</v>
      </c>
      <c r="I214" s="257"/>
      <c r="J214" s="158"/>
      <c r="K214" s="147"/>
      <c r="L214" s="148"/>
      <c r="M214" s="149"/>
      <c r="N214" s="150"/>
      <c r="O214" s="151"/>
      <c r="P214" s="152"/>
      <c r="Q214" s="161" t="s">
        <v>89</v>
      </c>
      <c r="R214" s="161"/>
      <c r="S214" s="152"/>
      <c r="T214" s="150"/>
      <c r="U214" s="80"/>
      <c r="V214" s="258"/>
      <c r="W214" s="253"/>
      <c r="X214" s="253"/>
      <c r="Y214" s="154"/>
      <c r="Z214" s="155">
        <v>10.6</v>
      </c>
      <c r="AA214" s="254" t="s">
        <v>591</v>
      </c>
      <c r="AB214" s="21" t="s">
        <v>2</v>
      </c>
      <c r="AC214" s="120"/>
      <c r="AH214" s="63">
        <v>1</v>
      </c>
      <c r="AN214" s="121"/>
      <c r="AO214" s="10" t="s">
        <v>3</v>
      </c>
      <c r="AP214" s="254" t="s">
        <v>594</v>
      </c>
      <c r="AQ214" s="155">
        <v>10.6</v>
      </c>
      <c r="AR214" s="154"/>
      <c r="AS214" s="154"/>
      <c r="AT214" s="259" t="s">
        <v>89</v>
      </c>
      <c r="AU214" s="259" t="s">
        <v>89</v>
      </c>
      <c r="AV214" s="80"/>
      <c r="AW214" s="150"/>
      <c r="AX214" s="152"/>
      <c r="AY214" s="153"/>
      <c r="AZ214" s="153"/>
      <c r="BA214" s="152"/>
      <c r="BB214" s="157" t="s">
        <v>89</v>
      </c>
      <c r="BC214" s="149"/>
      <c r="BD214" s="149"/>
      <c r="BE214" s="148"/>
      <c r="BF214" s="147"/>
      <c r="BG214" s="158"/>
      <c r="BH214" s="257"/>
      <c r="BI214" s="98" t="s">
        <v>593</v>
      </c>
      <c r="BJ214" s="145" t="s">
        <v>592</v>
      </c>
      <c r="BK214" s="160"/>
      <c r="BL214" s="36">
        <f>VLOOKUP($AP214,'[1]V1 V2'!$B$5:$BW$1894,74,0)</f>
        <v>0</v>
      </c>
      <c r="BM214" s="36" t="str">
        <f>IF('[1]V1 V2'!X213="","",'[1]V1 V2'!X213)</f>
        <v/>
      </c>
    </row>
    <row r="215" spans="1:65" ht="16" thickBot="1" x14ac:dyDescent="0.4">
      <c r="A215">
        <v>1</v>
      </c>
      <c r="B215" s="260" t="s">
        <v>595</v>
      </c>
      <c r="C215" s="261"/>
      <c r="D215" s="262"/>
      <c r="E215" s="36">
        <f>VLOOKUP($B215,'[1]V1 V2'!$B$5:$BW$1894,74,0)</f>
        <v>0</v>
      </c>
      <c r="F215" s="263"/>
      <c r="G215" s="264"/>
      <c r="H215" s="265"/>
      <c r="I215" s="266"/>
      <c r="J215" s="267">
        <v>-10</v>
      </c>
      <c r="K215" s="268"/>
      <c r="L215" s="269">
        <v>3.8</v>
      </c>
      <c r="M215" s="270"/>
      <c r="N215" s="271"/>
      <c r="O215" s="272" t="s">
        <v>596</v>
      </c>
      <c r="P215" s="268" t="s">
        <v>597</v>
      </c>
      <c r="Q215" s="273" t="s">
        <v>598</v>
      </c>
      <c r="R215" s="274" t="s">
        <v>599</v>
      </c>
      <c r="S215" s="275" t="s">
        <v>600</v>
      </c>
      <c r="T215" s="271" t="s">
        <v>30</v>
      </c>
      <c r="U215" s="276"/>
      <c r="V215" s="277" t="s">
        <v>601</v>
      </c>
      <c r="W215" s="278" t="s">
        <v>602</v>
      </c>
      <c r="X215" s="277">
        <v>33685.989000000001</v>
      </c>
      <c r="Y215" s="277" t="s">
        <v>603</v>
      </c>
      <c r="Z215" s="279"/>
      <c r="AA215" s="280" t="s">
        <v>595</v>
      </c>
      <c r="AB215" s="21" t="s">
        <v>2</v>
      </c>
      <c r="AC215" s="120"/>
      <c r="AH215" s="63">
        <v>1</v>
      </c>
      <c r="AN215" s="121"/>
      <c r="AO215" s="10" t="s">
        <v>3</v>
      </c>
      <c r="AP215" s="280" t="s">
        <v>604</v>
      </c>
      <c r="AQ215" s="279"/>
      <c r="AR215" s="277">
        <v>1120.2</v>
      </c>
      <c r="AS215" s="277">
        <f>AS213-AQ214</f>
        <v>33764.289000000004</v>
      </c>
      <c r="AT215" s="278" t="s">
        <v>605</v>
      </c>
      <c r="AU215" s="278" t="s">
        <v>606</v>
      </c>
      <c r="AV215" s="276"/>
      <c r="AW215" s="271" t="s">
        <v>607</v>
      </c>
      <c r="AX215" s="275" t="s">
        <v>600</v>
      </c>
      <c r="AY215" s="274" t="s">
        <v>599</v>
      </c>
      <c r="AZ215" s="273" t="s">
        <v>598</v>
      </c>
      <c r="BA215" s="268" t="s">
        <v>597</v>
      </c>
      <c r="BB215" s="272" t="s">
        <v>596</v>
      </c>
      <c r="BC215" s="270"/>
      <c r="BD215" s="270"/>
      <c r="BE215" s="269">
        <v>3.83</v>
      </c>
      <c r="BF215" s="268"/>
      <c r="BG215" s="281" t="s">
        <v>223</v>
      </c>
      <c r="BH215" s="266"/>
      <c r="BI215" s="282"/>
      <c r="BJ215" s="264"/>
      <c r="BK215" s="283"/>
      <c r="BL215" s="36">
        <f>VLOOKUP($AP215,'[1]V1 V2'!$B$5:$BW$1894,74,0)</f>
        <v>0</v>
      </c>
      <c r="BM215" s="36" t="str">
        <f>IF('[1]V1 V2'!X214="","",'[1]V1 V2'!X214)</f>
        <v/>
      </c>
    </row>
    <row r="216" spans="1:65" ht="16" thickBot="1" x14ac:dyDescent="0.4">
      <c r="A216">
        <v>1</v>
      </c>
      <c r="B216" s="260"/>
      <c r="C216" s="261"/>
      <c r="D216" s="262"/>
      <c r="E216" s="36"/>
      <c r="F216" s="263"/>
      <c r="G216" s="264"/>
      <c r="H216" s="264"/>
      <c r="I216" s="266"/>
      <c r="J216" s="284"/>
      <c r="K216" s="268"/>
      <c r="L216" s="269"/>
      <c r="M216" s="270"/>
      <c r="N216" s="271"/>
      <c r="O216" s="272"/>
      <c r="P216" s="275"/>
      <c r="Q216" s="285"/>
      <c r="R216" s="274"/>
      <c r="S216" s="275"/>
      <c r="T216" s="271"/>
      <c r="U216" s="276"/>
      <c r="V216" s="277"/>
      <c r="W216" s="278"/>
      <c r="X216" s="278"/>
      <c r="Y216" s="277"/>
      <c r="Z216" s="279">
        <v>10.6</v>
      </c>
      <c r="AA216" s="280"/>
      <c r="AB216" s="21" t="s">
        <v>2</v>
      </c>
      <c r="AC216" s="120"/>
      <c r="AH216" s="63">
        <v>1</v>
      </c>
      <c r="AN216" s="121"/>
      <c r="AO216" s="10" t="s">
        <v>3</v>
      </c>
      <c r="AP216" s="280" t="s">
        <v>608</v>
      </c>
      <c r="AQ216" s="279"/>
      <c r="AR216" s="277">
        <v>1120.5999999999999</v>
      </c>
      <c r="AS216" s="277">
        <v>33764.289000000004</v>
      </c>
      <c r="AT216" s="278" t="s">
        <v>609</v>
      </c>
      <c r="AU216" s="278" t="s">
        <v>610</v>
      </c>
      <c r="AV216" s="276"/>
      <c r="AW216" s="271" t="s">
        <v>607</v>
      </c>
      <c r="AX216" s="275" t="s">
        <v>600</v>
      </c>
      <c r="AY216" s="274" t="s">
        <v>599</v>
      </c>
      <c r="AZ216" s="273" t="s">
        <v>598</v>
      </c>
      <c r="BA216" s="268" t="s">
        <v>597</v>
      </c>
      <c r="BB216" s="272" t="s">
        <v>596</v>
      </c>
      <c r="BC216" s="270"/>
      <c r="BD216" s="270"/>
      <c r="BE216" s="269">
        <v>3.8</v>
      </c>
      <c r="BF216" s="268"/>
      <c r="BG216" s="284">
        <v>-10</v>
      </c>
      <c r="BH216" s="266"/>
      <c r="BI216" s="282"/>
      <c r="BJ216" s="264"/>
      <c r="BK216" s="283"/>
      <c r="BL216" s="36">
        <f>VLOOKUP($AP216,'[1]V1 V2'!$B$5:$BW$1894,74,0)</f>
        <v>0</v>
      </c>
      <c r="BM216" s="36" t="str">
        <f>IF('[1]V1 V2'!X215="","",'[1]V1 V2'!X215)</f>
        <v/>
      </c>
    </row>
    <row r="217" spans="1:65" ht="16" thickBot="1" x14ac:dyDescent="0.4">
      <c r="A217">
        <v>1</v>
      </c>
      <c r="B217" s="260"/>
      <c r="C217" s="261"/>
      <c r="D217" s="262"/>
      <c r="E217" s="36"/>
      <c r="F217" s="263"/>
      <c r="G217" s="264"/>
      <c r="H217" s="264"/>
      <c r="I217" s="266"/>
      <c r="J217" s="284"/>
      <c r="K217" s="268"/>
      <c r="L217" s="269"/>
      <c r="M217" s="270"/>
      <c r="N217" s="271"/>
      <c r="O217" s="272"/>
      <c r="P217" s="275"/>
      <c r="Q217" s="285"/>
      <c r="R217" s="274"/>
      <c r="S217" s="275"/>
      <c r="T217" s="271"/>
      <c r="U217" s="276"/>
      <c r="V217" s="277"/>
      <c r="W217" s="278"/>
      <c r="X217" s="277"/>
      <c r="Y217" s="277"/>
      <c r="Z217" s="279"/>
      <c r="AA217" s="280"/>
      <c r="AB217" s="21" t="s">
        <v>2</v>
      </c>
      <c r="AC217" s="120"/>
      <c r="AH217" s="63">
        <v>1</v>
      </c>
      <c r="AN217" s="121"/>
      <c r="AO217" s="10" t="s">
        <v>3</v>
      </c>
      <c r="AP217" s="280"/>
      <c r="AQ217" s="279">
        <v>10.6</v>
      </c>
      <c r="AR217" s="277"/>
      <c r="AS217" s="277"/>
      <c r="AT217" s="278"/>
      <c r="AU217" s="278"/>
      <c r="AV217" s="276"/>
      <c r="AW217" s="271"/>
      <c r="AX217" s="275"/>
      <c r="AY217" s="274"/>
      <c r="AZ217" s="274"/>
      <c r="BA217" s="275"/>
      <c r="BB217" s="272"/>
      <c r="BC217" s="270"/>
      <c r="BD217" s="270"/>
      <c r="BE217" s="269"/>
      <c r="BF217" s="268"/>
      <c r="BG217" s="284"/>
      <c r="BH217" s="266"/>
      <c r="BI217" s="282"/>
      <c r="BJ217" s="264"/>
      <c r="BK217" s="283"/>
      <c r="BL217" s="36"/>
      <c r="BM217" s="36" t="str">
        <f>IF('[1]V1 V2'!X216="","",'[1]V1 V2'!X216)</f>
        <v/>
      </c>
    </row>
    <row r="218" spans="1:65" ht="16" thickBot="1" x14ac:dyDescent="0.4">
      <c r="A218">
        <v>1</v>
      </c>
      <c r="B218" s="260"/>
      <c r="C218" s="261"/>
      <c r="D218" s="262"/>
      <c r="E218" s="36"/>
      <c r="F218" s="263"/>
      <c r="G218" s="264"/>
      <c r="H218" s="264"/>
      <c r="I218" s="266"/>
      <c r="J218" s="284"/>
      <c r="K218" s="268"/>
      <c r="L218" s="269"/>
      <c r="M218" s="270"/>
      <c r="N218" s="271"/>
      <c r="O218" s="272"/>
      <c r="P218" s="275"/>
      <c r="Q218" s="285"/>
      <c r="R218" s="274"/>
      <c r="S218" s="275"/>
      <c r="T218" s="271"/>
      <c r="U218" s="276"/>
      <c r="V218" s="277"/>
      <c r="W218" s="278"/>
      <c r="X218" s="278"/>
      <c r="Y218" s="277"/>
      <c r="Z218" s="279"/>
      <c r="AA218" s="280"/>
      <c r="AB218" s="21" t="s">
        <v>2</v>
      </c>
      <c r="AC218" s="120"/>
      <c r="AH218" s="63">
        <v>1</v>
      </c>
      <c r="AN218" s="121"/>
      <c r="AO218" s="10" t="s">
        <v>3</v>
      </c>
      <c r="AP218" s="280" t="s">
        <v>611</v>
      </c>
      <c r="AQ218" s="279"/>
      <c r="AR218" s="277">
        <v>1131.1600000000001</v>
      </c>
      <c r="AS218" s="277">
        <f>AS215-AQ217</f>
        <v>33753.689000000006</v>
      </c>
      <c r="AT218" s="278" t="s">
        <v>612</v>
      </c>
      <c r="AU218" s="278" t="s">
        <v>613</v>
      </c>
      <c r="AV218" s="276"/>
      <c r="AW218" s="271" t="s">
        <v>75</v>
      </c>
      <c r="AX218" s="275" t="s">
        <v>600</v>
      </c>
      <c r="AY218" s="274" t="s">
        <v>599</v>
      </c>
      <c r="AZ218" s="273" t="s">
        <v>598</v>
      </c>
      <c r="BA218" s="268" t="s">
        <v>597</v>
      </c>
      <c r="BB218" s="272" t="s">
        <v>596</v>
      </c>
      <c r="BC218" s="270"/>
      <c r="BD218" s="270"/>
      <c r="BE218" s="269">
        <v>3.8</v>
      </c>
      <c r="BF218" s="268"/>
      <c r="BG218" s="284">
        <v>-10</v>
      </c>
      <c r="BH218" s="266"/>
      <c r="BI218" s="282"/>
      <c r="BJ218" s="264"/>
      <c r="BK218" s="283"/>
      <c r="BL218" s="36">
        <f>VLOOKUP($AP218,'[1]V1 V2'!$B$5:$BW$1894,74,0)</f>
        <v>0</v>
      </c>
      <c r="BM218" s="36" t="str">
        <f>IF('[1]V1 V2'!X217="","",'[1]V1 V2'!X217)</f>
        <v/>
      </c>
    </row>
    <row r="219" spans="1:65" ht="16" thickBot="1" x14ac:dyDescent="0.4">
      <c r="A219">
        <v>1</v>
      </c>
      <c r="B219" s="260" t="s">
        <v>614</v>
      </c>
      <c r="C219" s="261"/>
      <c r="D219" s="262"/>
      <c r="E219" s="36">
        <f>VLOOKUP($B219,'[1]V1 V2'!$B$5:$BW$1894,74,0)</f>
        <v>0</v>
      </c>
      <c r="F219" s="263"/>
      <c r="G219" s="264"/>
      <c r="H219" s="265"/>
      <c r="I219" s="266"/>
      <c r="J219" s="284">
        <v>-5</v>
      </c>
      <c r="K219" s="268"/>
      <c r="L219" s="268">
        <v>3.8</v>
      </c>
      <c r="M219" s="270"/>
      <c r="N219" s="271"/>
      <c r="O219" s="272" t="s">
        <v>596</v>
      </c>
      <c r="P219" s="268" t="s">
        <v>597</v>
      </c>
      <c r="Q219" s="273" t="s">
        <v>598</v>
      </c>
      <c r="R219" s="274" t="s">
        <v>599</v>
      </c>
      <c r="S219" s="275" t="s">
        <v>600</v>
      </c>
      <c r="T219" s="271" t="s">
        <v>30</v>
      </c>
      <c r="U219" s="276"/>
      <c r="V219" s="277" t="s">
        <v>615</v>
      </c>
      <c r="W219" s="278" t="s">
        <v>616</v>
      </c>
      <c r="X219" s="277">
        <v>33675.389000000003</v>
      </c>
      <c r="Y219" s="277">
        <v>1129.3600000000001</v>
      </c>
      <c r="Z219" s="279"/>
      <c r="AA219" s="280" t="s">
        <v>614</v>
      </c>
      <c r="AB219" s="21" t="s">
        <v>2</v>
      </c>
      <c r="AC219" s="120"/>
      <c r="AH219" s="63">
        <v>1</v>
      </c>
      <c r="AN219" s="121"/>
      <c r="AO219" s="10" t="s">
        <v>3</v>
      </c>
      <c r="AP219" s="280" t="s">
        <v>617</v>
      </c>
      <c r="AQ219" s="279"/>
      <c r="AR219" s="277">
        <v>1131.1600000000001</v>
      </c>
      <c r="AS219" s="277">
        <v>33753.689000000006</v>
      </c>
      <c r="AT219" s="278" t="s">
        <v>618</v>
      </c>
      <c r="AU219" s="278" t="s">
        <v>619</v>
      </c>
      <c r="AV219" s="276"/>
      <c r="AW219" s="271" t="s">
        <v>75</v>
      </c>
      <c r="AX219" s="275" t="s">
        <v>600</v>
      </c>
      <c r="AY219" s="274" t="s">
        <v>599</v>
      </c>
      <c r="AZ219" s="273" t="s">
        <v>598</v>
      </c>
      <c r="BA219" s="283" t="s">
        <v>597</v>
      </c>
      <c r="BB219" s="272" t="s">
        <v>596</v>
      </c>
      <c r="BC219" s="270"/>
      <c r="BD219" s="270"/>
      <c r="BE219" s="269">
        <v>3.8</v>
      </c>
      <c r="BF219" s="268"/>
      <c r="BG219" s="284">
        <v>-20</v>
      </c>
      <c r="BH219" s="266"/>
      <c r="BI219" s="282"/>
      <c r="BJ219" s="264"/>
      <c r="BK219" s="283"/>
      <c r="BL219" s="36">
        <f>VLOOKUP($AP219,'[1]V1 V2'!$B$5:$BW$1894,74,0)</f>
        <v>0</v>
      </c>
      <c r="BM219" s="36" t="str">
        <f>IF('[1]V1 V2'!X218="","",'[1]V1 V2'!X218)</f>
        <v/>
      </c>
    </row>
    <row r="220" spans="1:65" ht="16" thickBot="1" x14ac:dyDescent="0.4">
      <c r="A220">
        <v>1</v>
      </c>
      <c r="B220" s="260"/>
      <c r="C220" s="261"/>
      <c r="D220" s="262"/>
      <c r="E220" s="36"/>
      <c r="F220" s="263"/>
      <c r="G220" s="264"/>
      <c r="H220" s="264"/>
      <c r="I220" s="266"/>
      <c r="J220" s="284"/>
      <c r="K220" s="268"/>
      <c r="L220" s="269"/>
      <c r="M220" s="270"/>
      <c r="N220" s="271"/>
      <c r="O220" s="286"/>
      <c r="P220" s="275"/>
      <c r="Q220" s="285"/>
      <c r="R220" s="285"/>
      <c r="S220" s="275"/>
      <c r="T220" s="271"/>
      <c r="U220" s="276"/>
      <c r="V220" s="277"/>
      <c r="W220" s="278"/>
      <c r="X220" s="278"/>
      <c r="Y220" s="277"/>
      <c r="Z220" s="279">
        <v>7.9</v>
      </c>
      <c r="AA220" s="280"/>
      <c r="AB220" s="21" t="s">
        <v>2</v>
      </c>
      <c r="AC220" s="120"/>
      <c r="AH220" s="63">
        <v>1</v>
      </c>
      <c r="AN220" s="121"/>
      <c r="AO220" s="10" t="s">
        <v>3</v>
      </c>
      <c r="AP220" s="238"/>
      <c r="AQ220" s="198">
        <v>7.9</v>
      </c>
      <c r="AR220" s="222"/>
      <c r="AS220" s="222"/>
      <c r="AT220" s="226"/>
      <c r="AU220" s="226"/>
      <c r="AV220" s="132"/>
      <c r="AW220" s="189"/>
      <c r="AX220" s="191"/>
      <c r="AY220" s="223"/>
      <c r="AZ220" s="221"/>
      <c r="BA220" s="191"/>
      <c r="BB220" s="192"/>
      <c r="BC220" s="188"/>
      <c r="BD220" s="188"/>
      <c r="BE220" s="269"/>
      <c r="BF220" s="187"/>
      <c r="BG220" s="135"/>
      <c r="BH220" s="136"/>
      <c r="BI220" s="186"/>
      <c r="BJ220" s="169"/>
      <c r="BK220" s="181"/>
      <c r="BL220" s="36"/>
      <c r="BM220" s="36" t="str">
        <f>IF('[1]V1 V2'!X219="","",'[1]V1 V2'!X219)</f>
        <v/>
      </c>
    </row>
    <row r="221" spans="1:65" ht="16" thickBot="1" x14ac:dyDescent="0.4">
      <c r="A221">
        <v>1</v>
      </c>
      <c r="B221" s="232" t="s">
        <v>620</v>
      </c>
      <c r="C221" s="233"/>
      <c r="D221" s="234"/>
      <c r="E221" s="36" t="str">
        <f>VLOOKUP($B221,'[1]V1 V2'!$B$5:$BW$1894,74,0)</f>
        <v>C.F.23</v>
      </c>
      <c r="F221" s="184"/>
      <c r="G221" s="185"/>
      <c r="H221" s="185"/>
      <c r="I221" s="136"/>
      <c r="J221" s="135"/>
      <c r="K221" s="187"/>
      <c r="L221" s="224">
        <v>3.8</v>
      </c>
      <c r="M221" s="188"/>
      <c r="N221" s="189"/>
      <c r="O221" s="190" t="s">
        <v>621</v>
      </c>
      <c r="P221" s="287" t="s">
        <v>622</v>
      </c>
      <c r="Q221" s="288" t="s">
        <v>184</v>
      </c>
      <c r="R221" s="223" t="s">
        <v>623</v>
      </c>
      <c r="S221" s="275" t="s">
        <v>624</v>
      </c>
      <c r="T221" s="189" t="s">
        <v>625</v>
      </c>
      <c r="U221" s="132"/>
      <c r="V221" s="222" t="s">
        <v>626</v>
      </c>
      <c r="W221" s="226" t="s">
        <v>627</v>
      </c>
      <c r="X221" s="222">
        <v>33667.489000000001</v>
      </c>
      <c r="Y221" s="222">
        <v>1137.2600000000002</v>
      </c>
      <c r="Z221" s="198"/>
      <c r="AA221" s="238" t="s">
        <v>620</v>
      </c>
      <c r="AB221" s="21" t="s">
        <v>2</v>
      </c>
      <c r="AC221" s="120"/>
      <c r="AH221" s="63">
        <v>1</v>
      </c>
      <c r="AN221" s="121"/>
      <c r="AO221" s="10" t="s">
        <v>3</v>
      </c>
      <c r="AP221" s="238" t="s">
        <v>628</v>
      </c>
      <c r="AQ221" s="198"/>
      <c r="AR221" s="222">
        <v>1139.0600000000002</v>
      </c>
      <c r="AS221" s="222">
        <f>AS218-AQ220</f>
        <v>33745.789000000004</v>
      </c>
      <c r="AT221" s="226" t="s">
        <v>629</v>
      </c>
      <c r="AU221" s="226" t="s">
        <v>630</v>
      </c>
      <c r="AV221" s="132"/>
      <c r="AW221" s="189" t="s">
        <v>625</v>
      </c>
      <c r="AX221" s="275" t="s">
        <v>624</v>
      </c>
      <c r="AY221" s="223" t="s">
        <v>623</v>
      </c>
      <c r="AZ221" s="289" t="s">
        <v>184</v>
      </c>
      <c r="BA221" s="287" t="s">
        <v>622</v>
      </c>
      <c r="BB221" s="290"/>
      <c r="BC221" s="188"/>
      <c r="BD221" s="188"/>
      <c r="BE221" s="269">
        <v>3.8</v>
      </c>
      <c r="BF221" s="187"/>
      <c r="BG221" s="56"/>
      <c r="BH221" s="57"/>
      <c r="BI221" s="170"/>
      <c r="BJ221" s="169"/>
      <c r="BK221" s="181"/>
      <c r="BL221" s="36" t="str">
        <f>VLOOKUP($AP221,'[1]V1 V2'!$B$5:$BW$1894,74,0)</f>
        <v>C.F.23</v>
      </c>
      <c r="BM221" s="36" t="str">
        <f>IF('[1]V1 V2'!X220="","",'[1]V1 V2'!X220)</f>
        <v/>
      </c>
    </row>
    <row r="222" spans="1:65" ht="16" thickBot="1" x14ac:dyDescent="0.4">
      <c r="A222">
        <v>1</v>
      </c>
      <c r="B222" s="232"/>
      <c r="C222" s="233"/>
      <c r="D222" s="234"/>
      <c r="E222" s="36"/>
      <c r="F222" s="184"/>
      <c r="G222" s="185"/>
      <c r="H222" s="185"/>
      <c r="I222" s="136"/>
      <c r="J222" s="135"/>
      <c r="K222" s="187"/>
      <c r="L222" s="224"/>
      <c r="M222" s="188"/>
      <c r="N222" s="189"/>
      <c r="O222" s="190"/>
      <c r="P222" s="234"/>
      <c r="Q222" s="223"/>
      <c r="R222" s="221"/>
      <c r="S222" s="191"/>
      <c r="T222" s="189"/>
      <c r="U222" s="132"/>
      <c r="V222" s="222"/>
      <c r="W222" s="226"/>
      <c r="X222" s="226"/>
      <c r="Y222" s="222"/>
      <c r="Z222" s="198">
        <v>7.9</v>
      </c>
      <c r="AA222" s="238"/>
      <c r="AB222" s="21" t="s">
        <v>2</v>
      </c>
      <c r="AC222" s="120"/>
      <c r="AH222" s="63">
        <v>1</v>
      </c>
      <c r="AN222" s="121"/>
      <c r="AO222" s="10" t="s">
        <v>3</v>
      </c>
      <c r="AP222" s="238"/>
      <c r="AQ222" s="198">
        <v>7.9</v>
      </c>
      <c r="AR222" s="222"/>
      <c r="AS222" s="222"/>
      <c r="AT222" s="226"/>
      <c r="AU222" s="226"/>
      <c r="AV222" s="132"/>
      <c r="AW222" s="189"/>
      <c r="AX222" s="191"/>
      <c r="AY222" s="221"/>
      <c r="AZ222" s="291"/>
      <c r="BA222" s="234"/>
      <c r="BB222" s="290"/>
      <c r="BC222" s="188"/>
      <c r="BD222" s="188"/>
      <c r="BE222" s="269"/>
      <c r="BF222" s="187"/>
      <c r="BG222" s="56"/>
      <c r="BH222" s="57"/>
      <c r="BI222" s="170"/>
      <c r="BJ222" s="169"/>
      <c r="BK222" s="181"/>
      <c r="BL222" s="36"/>
      <c r="BM222" s="36" t="str">
        <f>IF('[1]V1 V2'!X221="","",'[1]V1 V2'!X221)</f>
        <v/>
      </c>
    </row>
    <row r="223" spans="1:65" ht="16" thickBot="1" x14ac:dyDescent="0.4">
      <c r="A223">
        <v>1</v>
      </c>
      <c r="B223" s="232" t="s">
        <v>631</v>
      </c>
      <c r="C223" s="233"/>
      <c r="D223" s="234"/>
      <c r="E223" s="36" t="str">
        <f>VLOOKUP($B223,'[1]V1 V2'!$B$5:$BW$1894,74,0)</f>
        <v>C.F.9</v>
      </c>
      <c r="F223" s="184"/>
      <c r="G223" s="185"/>
      <c r="H223" s="185"/>
      <c r="I223" s="284" t="s">
        <v>223</v>
      </c>
      <c r="J223" s="284" t="s">
        <v>127</v>
      </c>
      <c r="K223" s="269">
        <v>3.8</v>
      </c>
      <c r="L223" s="224">
        <v>3.8</v>
      </c>
      <c r="M223" s="188"/>
      <c r="N223" s="286" t="s">
        <v>596</v>
      </c>
      <c r="O223" s="190" t="s">
        <v>621</v>
      </c>
      <c r="P223" s="287" t="s">
        <v>622</v>
      </c>
      <c r="Q223" s="288" t="s">
        <v>184</v>
      </c>
      <c r="R223" s="223" t="s">
        <v>623</v>
      </c>
      <c r="S223" s="275" t="s">
        <v>624</v>
      </c>
      <c r="T223" s="271" t="s">
        <v>75</v>
      </c>
      <c r="U223" s="132"/>
      <c r="V223" s="222" t="s">
        <v>632</v>
      </c>
      <c r="W223" s="226" t="s">
        <v>633</v>
      </c>
      <c r="X223" s="222">
        <v>33659.589</v>
      </c>
      <c r="Y223" s="222">
        <v>1145.1600000000003</v>
      </c>
      <c r="Z223" s="198"/>
      <c r="AA223" s="238" t="s">
        <v>631</v>
      </c>
      <c r="AB223" s="21" t="s">
        <v>2</v>
      </c>
      <c r="AC223" s="120"/>
      <c r="AH223" s="63">
        <v>1</v>
      </c>
      <c r="AN223" s="121"/>
      <c r="AO223" s="10" t="s">
        <v>3</v>
      </c>
      <c r="AP223" s="238" t="s">
        <v>634</v>
      </c>
      <c r="AQ223" s="198"/>
      <c r="AR223" s="222">
        <v>1146.9600000000003</v>
      </c>
      <c r="AS223" s="222">
        <f>AS221-AQ222</f>
        <v>33737.889000000003</v>
      </c>
      <c r="AT223" s="226" t="s">
        <v>635</v>
      </c>
      <c r="AU223" s="226" t="s">
        <v>636</v>
      </c>
      <c r="AV223" s="132"/>
      <c r="AW223" s="271" t="s">
        <v>30</v>
      </c>
      <c r="AX223" s="275" t="s">
        <v>624</v>
      </c>
      <c r="AY223" s="223" t="s">
        <v>623</v>
      </c>
      <c r="AZ223" s="289" t="s">
        <v>184</v>
      </c>
      <c r="BA223" s="287" t="s">
        <v>622</v>
      </c>
      <c r="BB223" s="290" t="s">
        <v>621</v>
      </c>
      <c r="BC223" s="270"/>
      <c r="BD223" s="188"/>
      <c r="BE223" s="269">
        <v>3.8</v>
      </c>
      <c r="BF223" s="268"/>
      <c r="BG223" s="281" t="s">
        <v>127</v>
      </c>
      <c r="BH223" s="136"/>
      <c r="BI223" s="170"/>
      <c r="BJ223" s="169"/>
      <c r="BK223" s="181"/>
      <c r="BL223" s="36" t="str">
        <f>VLOOKUP($AP223,'[1]V1 V2'!$B$5:$BW$1894,74,0)</f>
        <v>C.F.9</v>
      </c>
      <c r="BM223" s="36" t="str">
        <f>IF('[1]V1 V2'!X222="","",'[1]V1 V2'!X222)</f>
        <v/>
      </c>
    </row>
    <row r="224" spans="1:65" ht="16" thickBot="1" x14ac:dyDescent="0.4">
      <c r="A224">
        <v>1</v>
      </c>
      <c r="B224" s="232"/>
      <c r="C224" s="233"/>
      <c r="D224" s="234"/>
      <c r="E224" s="36"/>
      <c r="F224" s="184"/>
      <c r="G224" s="185"/>
      <c r="H224" s="185"/>
      <c r="I224" s="136"/>
      <c r="J224" s="135"/>
      <c r="K224" s="187"/>
      <c r="L224" s="224"/>
      <c r="M224" s="188"/>
      <c r="N224" s="189"/>
      <c r="O224" s="190"/>
      <c r="P224" s="191"/>
      <c r="Q224" s="223"/>
      <c r="R224" s="221"/>
      <c r="S224" s="191"/>
      <c r="T224" s="189"/>
      <c r="U224" s="132"/>
      <c r="V224" s="222"/>
      <c r="W224" s="226"/>
      <c r="X224" s="226"/>
      <c r="Y224" s="222"/>
      <c r="Z224" s="198">
        <v>11</v>
      </c>
      <c r="AA224" s="238"/>
      <c r="AB224" s="21" t="s">
        <v>2</v>
      </c>
      <c r="AC224" s="162"/>
      <c r="AD224" s="163"/>
      <c r="AE224" s="163"/>
      <c r="AF224" s="163"/>
      <c r="AG224" s="163"/>
      <c r="AH224" s="164">
        <v>1</v>
      </c>
      <c r="AI224" s="163"/>
      <c r="AJ224" s="163"/>
      <c r="AK224" s="163"/>
      <c r="AL224" s="163"/>
      <c r="AM224" s="163"/>
      <c r="AN224" s="165"/>
      <c r="AO224" s="10" t="s">
        <v>3</v>
      </c>
      <c r="AP224" s="238"/>
      <c r="AQ224" s="198">
        <v>11</v>
      </c>
      <c r="AR224" s="222"/>
      <c r="AS224" s="222"/>
      <c r="AT224" s="226"/>
      <c r="AU224" s="226"/>
      <c r="AV224" s="132"/>
      <c r="AW224" s="189"/>
      <c r="AX224" s="191"/>
      <c r="AY224" s="223"/>
      <c r="AZ224" s="223"/>
      <c r="BA224" s="191"/>
      <c r="BB224" s="192"/>
      <c r="BC224" s="188"/>
      <c r="BD224" s="188"/>
      <c r="BE224" s="269"/>
      <c r="BF224" s="187"/>
      <c r="BG224" s="135"/>
      <c r="BH224" s="136"/>
      <c r="BI224" s="170"/>
      <c r="BJ224" s="169"/>
      <c r="BK224" s="181"/>
      <c r="BL224" s="36"/>
      <c r="BM224" s="36" t="str">
        <f>IF('[1]V1 V2'!X223="","",'[1]V1 V2'!X223)</f>
        <v/>
      </c>
    </row>
    <row r="225" spans="1:65" ht="16" thickBot="1" x14ac:dyDescent="0.4">
      <c r="A225">
        <v>1</v>
      </c>
      <c r="B225" s="232" t="s">
        <v>637</v>
      </c>
      <c r="C225" s="233"/>
      <c r="D225" s="234"/>
      <c r="E225" s="36" t="str">
        <f>VLOOKUP($B225,'[1]V1 V2'!$B$5:$BW$1894,74,0)</f>
        <v>C.F.8.A</v>
      </c>
      <c r="F225" s="184"/>
      <c r="G225" s="185"/>
      <c r="H225" s="185"/>
      <c r="I225" s="284">
        <v>-15</v>
      </c>
      <c r="J225" s="284">
        <v>-5</v>
      </c>
      <c r="K225" s="269">
        <v>3.84</v>
      </c>
      <c r="L225" s="269">
        <v>3.8</v>
      </c>
      <c r="M225" s="188"/>
      <c r="N225" s="286" t="s">
        <v>621</v>
      </c>
      <c r="O225" s="286" t="s">
        <v>621</v>
      </c>
      <c r="P225" s="287" t="s">
        <v>638</v>
      </c>
      <c r="Q225" s="288" t="s">
        <v>639</v>
      </c>
      <c r="R225" s="223" t="s">
        <v>623</v>
      </c>
      <c r="S225" s="191" t="s">
        <v>640</v>
      </c>
      <c r="T225" s="271" t="s">
        <v>607</v>
      </c>
      <c r="U225" s="132" t="s">
        <v>48</v>
      </c>
      <c r="V225" s="222" t="s">
        <v>641</v>
      </c>
      <c r="W225" s="226" t="s">
        <v>642</v>
      </c>
      <c r="X225" s="222">
        <v>33648.589</v>
      </c>
      <c r="Y225" s="222">
        <v>1156.2</v>
      </c>
      <c r="Z225" s="198"/>
      <c r="AA225" s="238" t="s">
        <v>637</v>
      </c>
      <c r="AB225" s="21" t="s">
        <v>2</v>
      </c>
      <c r="AC225" s="113"/>
      <c r="AD225" s="113"/>
      <c r="AE225" s="113"/>
      <c r="AF225" s="113"/>
      <c r="AG225" s="113"/>
      <c r="AH225" s="166">
        <f>Y224</f>
        <v>0</v>
      </c>
      <c r="AI225" s="113"/>
      <c r="AJ225" s="113"/>
      <c r="AK225" s="113"/>
      <c r="AL225" s="113"/>
      <c r="AM225" s="113"/>
      <c r="AN225" s="113"/>
      <c r="AO225" s="10" t="s">
        <v>3</v>
      </c>
      <c r="AP225" s="238" t="s">
        <v>643</v>
      </c>
      <c r="AQ225" s="198"/>
      <c r="AR225" s="222">
        <v>1158</v>
      </c>
      <c r="AS225" s="222">
        <f>AS223-AQ224</f>
        <v>33726.889000000003</v>
      </c>
      <c r="AT225" s="226" t="s">
        <v>644</v>
      </c>
      <c r="AU225" s="226" t="s">
        <v>645</v>
      </c>
      <c r="AV225" s="132" t="s">
        <v>48</v>
      </c>
      <c r="AW225" s="271" t="s">
        <v>30</v>
      </c>
      <c r="AX225" s="191" t="s">
        <v>640</v>
      </c>
      <c r="AY225" s="223" t="s">
        <v>623</v>
      </c>
      <c r="AZ225" s="288" t="s">
        <v>639</v>
      </c>
      <c r="BA225" s="287" t="s">
        <v>638</v>
      </c>
      <c r="BB225" s="190" t="s">
        <v>621</v>
      </c>
      <c r="BC225" s="270"/>
      <c r="BD225" s="188"/>
      <c r="BE225" s="269">
        <v>3.8</v>
      </c>
      <c r="BF225" s="268"/>
      <c r="BG225" s="281" t="s">
        <v>646</v>
      </c>
      <c r="BH225" s="135"/>
      <c r="BI225" s="170"/>
      <c r="BJ225" s="169"/>
      <c r="BK225" s="181"/>
      <c r="BL225" s="36" t="str">
        <f>VLOOKUP($AP225,'[1]V1 V2'!$B$5:$BW$1894,74,0)</f>
        <v>C.F.8.A</v>
      </c>
      <c r="BM225" s="36" t="str">
        <f>IF('[1]V1 V2'!X224="","",'[1]V1 V2'!X224)</f>
        <v/>
      </c>
    </row>
    <row r="226" spans="1:65" ht="16" thickBot="1" x14ac:dyDescent="0.4">
      <c r="A226">
        <v>1</v>
      </c>
      <c r="B226" s="241"/>
      <c r="C226" s="242"/>
      <c r="D226" s="234"/>
      <c r="E226" s="36"/>
      <c r="F226" s="184"/>
      <c r="G226" s="185"/>
      <c r="H226" s="185"/>
      <c r="I226" s="136"/>
      <c r="J226" s="135"/>
      <c r="K226" s="187"/>
      <c r="L226" s="224"/>
      <c r="M226" s="188"/>
      <c r="N226" s="189"/>
      <c r="O226" s="190"/>
      <c r="P226" s="191"/>
      <c r="Q226" s="221"/>
      <c r="R226" s="221"/>
      <c r="S226" s="191"/>
      <c r="T226" s="189"/>
      <c r="U226" s="132"/>
      <c r="V226" s="222"/>
      <c r="W226" s="226"/>
      <c r="X226" s="226"/>
      <c r="Y226" s="222"/>
      <c r="Z226" s="198">
        <v>16</v>
      </c>
      <c r="AA226" s="239"/>
      <c r="AB226" s="21" t="s">
        <v>2</v>
      </c>
      <c r="AH226" s="63">
        <v>1</v>
      </c>
      <c r="AO226" s="10" t="s">
        <v>3</v>
      </c>
      <c r="AP226" s="239"/>
      <c r="AQ226" s="198">
        <v>15.8</v>
      </c>
      <c r="AR226" s="222"/>
      <c r="AS226" s="222"/>
      <c r="AT226" s="226"/>
      <c r="AU226" s="226"/>
      <c r="AV226" s="132"/>
      <c r="AW226" s="189"/>
      <c r="AX226" s="191"/>
      <c r="AY226" s="221"/>
      <c r="AZ226" s="221"/>
      <c r="BA226" s="191"/>
      <c r="BB226" s="192"/>
      <c r="BC226" s="188"/>
      <c r="BD226" s="188"/>
      <c r="BE226" s="269"/>
      <c r="BF226" s="187"/>
      <c r="BG226" s="135"/>
      <c r="BH226" s="136"/>
      <c r="BI226" s="170"/>
      <c r="BJ226" s="169"/>
      <c r="BK226" s="181"/>
      <c r="BL226" s="36"/>
      <c r="BM226" s="36" t="str">
        <f>IF('[1]V1 V2'!X225="","",'[1]V1 V2'!X225)</f>
        <v/>
      </c>
    </row>
    <row r="227" spans="1:65" ht="16" thickBot="1" x14ac:dyDescent="0.4">
      <c r="A227">
        <v>1</v>
      </c>
      <c r="B227" s="241" t="s">
        <v>647</v>
      </c>
      <c r="C227" s="242"/>
      <c r="D227" s="234"/>
      <c r="E227" s="36" t="str">
        <f>VLOOKUP($B227,'[1]V1 V2'!$B$5:$BW$1894,74,0)</f>
        <v>C.F.16.B</v>
      </c>
      <c r="F227" s="184"/>
      <c r="G227" s="185"/>
      <c r="H227" s="185"/>
      <c r="I227" s="284">
        <v>-30</v>
      </c>
      <c r="J227" s="284">
        <v>-20</v>
      </c>
      <c r="K227" s="269">
        <v>3.94</v>
      </c>
      <c r="L227" s="269">
        <v>3.84</v>
      </c>
      <c r="M227" s="188"/>
      <c r="N227" s="286" t="s">
        <v>596</v>
      </c>
      <c r="O227" s="190" t="s">
        <v>596</v>
      </c>
      <c r="P227" s="287" t="s">
        <v>638</v>
      </c>
      <c r="Q227" s="288" t="s">
        <v>639</v>
      </c>
      <c r="R227" s="223" t="s">
        <v>623</v>
      </c>
      <c r="S227" s="191" t="s">
        <v>640</v>
      </c>
      <c r="T227" s="271" t="s">
        <v>607</v>
      </c>
      <c r="U227" s="132">
        <v>180</v>
      </c>
      <c r="V227" s="222" t="s">
        <v>648</v>
      </c>
      <c r="W227" s="226" t="s">
        <v>649</v>
      </c>
      <c r="X227" s="222">
        <v>33632.589</v>
      </c>
      <c r="Y227" s="222">
        <v>1172.2</v>
      </c>
      <c r="Z227" s="198"/>
      <c r="AA227" s="239" t="s">
        <v>647</v>
      </c>
      <c r="AB227" s="21" t="s">
        <v>2</v>
      </c>
      <c r="AH227" s="63">
        <v>1</v>
      </c>
      <c r="AO227" s="10" t="s">
        <v>3</v>
      </c>
      <c r="AP227" s="238" t="s">
        <v>650</v>
      </c>
      <c r="AQ227" s="198"/>
      <c r="AR227" s="222">
        <v>1173.8</v>
      </c>
      <c r="AS227" s="222">
        <f>AS225-AQ226</f>
        <v>33711.089</v>
      </c>
      <c r="AT227" s="226" t="s">
        <v>651</v>
      </c>
      <c r="AU227" s="226" t="s">
        <v>652</v>
      </c>
      <c r="AV227" s="132">
        <v>180</v>
      </c>
      <c r="AW227" s="271" t="s">
        <v>30</v>
      </c>
      <c r="AX227" s="191" t="s">
        <v>640</v>
      </c>
      <c r="AY227" s="223" t="s">
        <v>623</v>
      </c>
      <c r="AZ227" s="288" t="s">
        <v>639</v>
      </c>
      <c r="BA227" s="287" t="s">
        <v>638</v>
      </c>
      <c r="BB227" s="192" t="s">
        <v>596</v>
      </c>
      <c r="BC227" s="270"/>
      <c r="BD227" s="188"/>
      <c r="BE227" s="269">
        <v>3.84</v>
      </c>
      <c r="BF227" s="268"/>
      <c r="BG227" s="135">
        <v>-20</v>
      </c>
      <c r="BH227" s="266"/>
      <c r="BI227" s="170"/>
      <c r="BJ227" s="169"/>
      <c r="BK227" s="181"/>
      <c r="BL227" s="36" t="str">
        <f>VLOOKUP($AP227,'[1]V1 V2'!$B$5:$BW$1894,74,0)</f>
        <v>C.F.16.B</v>
      </c>
      <c r="BM227" s="36" t="str">
        <f>IF('[1]V1 V2'!X226="","",'[1]V1 V2'!X226)</f>
        <v/>
      </c>
    </row>
    <row r="228" spans="1:65" ht="16" thickBot="1" x14ac:dyDescent="0.4">
      <c r="A228">
        <v>1</v>
      </c>
      <c r="B228" s="232"/>
      <c r="C228" s="233"/>
      <c r="D228" s="234"/>
      <c r="E228" s="36"/>
      <c r="F228" s="184"/>
      <c r="G228" s="185"/>
      <c r="H228" s="185"/>
      <c r="I228" s="292"/>
      <c r="J228" s="293"/>
      <c r="K228" s="187"/>
      <c r="L228" s="269"/>
      <c r="M228" s="188"/>
      <c r="N228" s="189"/>
      <c r="O228" s="190"/>
      <c r="P228" s="191"/>
      <c r="Q228" s="221" t="s">
        <v>89</v>
      </c>
      <c r="R228" s="223"/>
      <c r="S228" s="191"/>
      <c r="T228" s="189"/>
      <c r="U228" s="132"/>
      <c r="V228" s="222"/>
      <c r="W228" s="226"/>
      <c r="X228" s="226"/>
      <c r="Y228" s="222"/>
      <c r="Z228" s="198">
        <v>20</v>
      </c>
      <c r="AA228" s="238"/>
      <c r="AB228" s="21" t="s">
        <v>2</v>
      </c>
      <c r="AF228" t="s">
        <v>90</v>
      </c>
      <c r="AH228" s="63">
        <v>1</v>
      </c>
      <c r="AK228" t="s">
        <v>90</v>
      </c>
      <c r="AO228" s="10" t="s">
        <v>3</v>
      </c>
      <c r="AP228" s="238"/>
      <c r="AQ228" s="198">
        <v>20</v>
      </c>
      <c r="AR228" s="222"/>
      <c r="AS228" s="222"/>
      <c r="AT228" s="226"/>
      <c r="AU228" s="226"/>
      <c r="AV228" s="132"/>
      <c r="AW228" s="189"/>
      <c r="AX228" s="191"/>
      <c r="AY228" s="221"/>
      <c r="AZ228" s="223"/>
      <c r="BA228" s="191"/>
      <c r="BB228" s="192"/>
      <c r="BC228" s="188"/>
      <c r="BD228" s="188"/>
      <c r="BE228" s="269"/>
      <c r="BF228" s="187"/>
      <c r="BG228" s="135"/>
      <c r="BH228" s="136"/>
      <c r="BI228" s="170"/>
      <c r="BJ228" s="169"/>
      <c r="BK228" s="181"/>
      <c r="BL228" s="36"/>
      <c r="BM228" s="36" t="str">
        <f>IF('[1]V1 V2'!X227="","",'[1]V1 V2'!X227)</f>
        <v/>
      </c>
    </row>
    <row r="229" spans="1:65" ht="16" thickBot="1" x14ac:dyDescent="0.4">
      <c r="A229">
        <v>1</v>
      </c>
      <c r="B229" s="241" t="s">
        <v>653</v>
      </c>
      <c r="C229" s="242"/>
      <c r="D229" s="234"/>
      <c r="E229" s="36" t="str">
        <f>VLOOKUP($B229,'[1]V1 V2'!$B$5:$BW$1894,74,0)</f>
        <v>C.F.7.B</v>
      </c>
      <c r="F229" s="184"/>
      <c r="G229" s="185"/>
      <c r="H229" s="185"/>
      <c r="I229" s="136"/>
      <c r="J229" s="135">
        <v>-20</v>
      </c>
      <c r="K229" s="269">
        <v>4.0599999999999996</v>
      </c>
      <c r="L229" s="269">
        <v>3.96</v>
      </c>
      <c r="M229" s="188"/>
      <c r="N229" s="189"/>
      <c r="O229" s="190" t="s">
        <v>596</v>
      </c>
      <c r="P229" s="275" t="s">
        <v>654</v>
      </c>
      <c r="Q229" s="288" t="s">
        <v>655</v>
      </c>
      <c r="R229" s="223" t="s">
        <v>623</v>
      </c>
      <c r="S229" s="191" t="s">
        <v>640</v>
      </c>
      <c r="T229" s="271" t="s">
        <v>585</v>
      </c>
      <c r="U229" s="132">
        <v>180</v>
      </c>
      <c r="V229" s="255" t="s">
        <v>656</v>
      </c>
      <c r="W229" s="226" t="s">
        <v>657</v>
      </c>
      <c r="X229" s="222">
        <v>33612.589</v>
      </c>
      <c r="Y229" s="222">
        <v>1192.1600000000003</v>
      </c>
      <c r="Z229" s="198"/>
      <c r="AA229" s="239" t="s">
        <v>653</v>
      </c>
      <c r="AB229" s="21" t="s">
        <v>2</v>
      </c>
      <c r="AH229" s="63">
        <v>1</v>
      </c>
      <c r="AO229" s="10" t="s">
        <v>3</v>
      </c>
      <c r="AP229" s="238" t="s">
        <v>658</v>
      </c>
      <c r="AQ229" s="198"/>
      <c r="AR229" s="222">
        <v>1193.7600000000002</v>
      </c>
      <c r="AS229" s="222">
        <f>AS227-AQ228</f>
        <v>33691.089</v>
      </c>
      <c r="AT229" s="226" t="s">
        <v>659</v>
      </c>
      <c r="AU229" s="226" t="s">
        <v>660</v>
      </c>
      <c r="AV229" s="132">
        <v>180</v>
      </c>
      <c r="AW229" s="271" t="s">
        <v>30</v>
      </c>
      <c r="AX229" s="191" t="s">
        <v>640</v>
      </c>
      <c r="AY229" s="223" t="s">
        <v>623</v>
      </c>
      <c r="AZ229" s="288" t="s">
        <v>655</v>
      </c>
      <c r="BA229" s="275" t="s">
        <v>661</v>
      </c>
      <c r="BB229" s="192" t="s">
        <v>596</v>
      </c>
      <c r="BC229" s="188"/>
      <c r="BD229" s="188"/>
      <c r="BE229" s="269">
        <v>3.96</v>
      </c>
      <c r="BF229" s="268"/>
      <c r="BG229" s="135">
        <v>-20</v>
      </c>
      <c r="BH229" s="136"/>
      <c r="BI229" s="170"/>
      <c r="BJ229" s="169"/>
      <c r="BK229" s="181"/>
      <c r="BL229" s="36" t="str">
        <f>VLOOKUP($AP229,'[1]V1 V2'!$B$5:$BW$1894,74,0)</f>
        <v>C.F.7.B</v>
      </c>
      <c r="BM229" s="36" t="str">
        <f>IF('[1]V1 V2'!X228="","",'[1]V1 V2'!X228)</f>
        <v/>
      </c>
    </row>
    <row r="230" spans="1:65" ht="16" thickBot="1" x14ac:dyDescent="0.4">
      <c r="A230">
        <v>1</v>
      </c>
      <c r="B230" s="241"/>
      <c r="C230" s="242"/>
      <c r="D230" s="234"/>
      <c r="E230" s="36"/>
      <c r="F230" s="168"/>
      <c r="G230" s="169"/>
      <c r="H230" s="169"/>
      <c r="I230" s="57"/>
      <c r="J230" s="135"/>
      <c r="K230" s="187"/>
      <c r="L230" s="269"/>
      <c r="M230" s="188"/>
      <c r="N230" s="189"/>
      <c r="O230" s="190"/>
      <c r="P230" s="240"/>
      <c r="Q230" s="221" t="s">
        <v>89</v>
      </c>
      <c r="R230" s="221"/>
      <c r="S230" s="191"/>
      <c r="T230" s="189"/>
      <c r="U230" s="132"/>
      <c r="V230" s="222" t="s">
        <v>89</v>
      </c>
      <c r="W230" s="226" t="s">
        <v>89</v>
      </c>
      <c r="X230" s="226"/>
      <c r="Y230" s="222"/>
      <c r="Z230" s="198">
        <v>20.100000000000001</v>
      </c>
      <c r="AA230" s="239"/>
      <c r="AB230" s="21" t="s">
        <v>2</v>
      </c>
      <c r="AH230" s="63">
        <v>1</v>
      </c>
      <c r="AO230" s="10" t="s">
        <v>3</v>
      </c>
      <c r="AP230" s="239"/>
      <c r="AQ230" s="198">
        <v>19.8</v>
      </c>
      <c r="AR230" s="222"/>
      <c r="AS230" s="222"/>
      <c r="AT230" s="226"/>
      <c r="AU230" s="226"/>
      <c r="AV230" s="132"/>
      <c r="AW230" s="189"/>
      <c r="AX230" s="191"/>
      <c r="AY230" s="221"/>
      <c r="AZ230" s="223"/>
      <c r="BA230" s="193"/>
      <c r="BB230" s="192"/>
      <c r="BC230" s="188"/>
      <c r="BD230" s="188"/>
      <c r="BE230" s="269"/>
      <c r="BF230" s="187"/>
      <c r="BG230" s="56"/>
      <c r="BH230" s="57"/>
      <c r="BI230" s="170"/>
      <c r="BJ230" s="169"/>
      <c r="BK230" s="181"/>
      <c r="BL230" s="36"/>
      <c r="BM230" s="36" t="str">
        <f>IF('[1]V1 V2'!X229="","",'[1]V1 V2'!X229)</f>
        <v/>
      </c>
    </row>
    <row r="231" spans="1:65" ht="16" thickBot="1" x14ac:dyDescent="0.4">
      <c r="A231">
        <v>1</v>
      </c>
      <c r="B231" s="241" t="s">
        <v>662</v>
      </c>
      <c r="C231" s="242"/>
      <c r="D231" s="234"/>
      <c r="E231" s="36" t="str">
        <f>VLOOKUP($B231,'[1]V1 V2'!$B$5:$BW$1894,74,0)</f>
        <v>C.F.5.B</v>
      </c>
      <c r="F231" s="168"/>
      <c r="G231" s="169"/>
      <c r="H231" s="169"/>
      <c r="I231" s="57"/>
      <c r="J231" s="135">
        <v>-20</v>
      </c>
      <c r="K231" s="187"/>
      <c r="L231" s="294">
        <v>4.08</v>
      </c>
      <c r="M231" s="188"/>
      <c r="N231" s="189"/>
      <c r="O231" s="190" t="s">
        <v>596</v>
      </c>
      <c r="P231" s="191" t="s">
        <v>661</v>
      </c>
      <c r="Q231" s="288" t="s">
        <v>655</v>
      </c>
      <c r="R231" s="223" t="s">
        <v>623</v>
      </c>
      <c r="S231" s="191" t="s">
        <v>640</v>
      </c>
      <c r="T231" s="189" t="s">
        <v>30</v>
      </c>
      <c r="U231" s="132" t="s">
        <v>48</v>
      </c>
      <c r="V231" s="255" t="s">
        <v>663</v>
      </c>
      <c r="W231" s="226" t="s">
        <v>664</v>
      </c>
      <c r="X231" s="222">
        <v>33592.489000000001</v>
      </c>
      <c r="Y231" s="222">
        <v>1212.5600000000002</v>
      </c>
      <c r="Z231" s="198"/>
      <c r="AA231" s="239" t="s">
        <v>662</v>
      </c>
      <c r="AB231" s="21" t="s">
        <v>2</v>
      </c>
      <c r="AH231" s="63">
        <v>1</v>
      </c>
      <c r="AO231" s="10" t="s">
        <v>3</v>
      </c>
      <c r="AP231" s="238" t="s">
        <v>665</v>
      </c>
      <c r="AQ231" s="198"/>
      <c r="AR231" s="222">
        <v>1213.5600000000002</v>
      </c>
      <c r="AS231" s="222">
        <f>AS229-AQ230</f>
        <v>33671.288999999997</v>
      </c>
      <c r="AT231" s="226" t="s">
        <v>666</v>
      </c>
      <c r="AU231" s="226" t="s">
        <v>667</v>
      </c>
      <c r="AV231" s="132" t="s">
        <v>48</v>
      </c>
      <c r="AW231" s="189" t="s">
        <v>30</v>
      </c>
      <c r="AX231" s="191" t="s">
        <v>640</v>
      </c>
      <c r="AY231" s="223" t="s">
        <v>623</v>
      </c>
      <c r="AZ231" s="288" t="s">
        <v>655</v>
      </c>
      <c r="BA231" s="191" t="s">
        <v>661</v>
      </c>
      <c r="BB231" s="192" t="s">
        <v>596</v>
      </c>
      <c r="BC231" s="188"/>
      <c r="BD231" s="188"/>
      <c r="BE231" s="269">
        <v>4.08</v>
      </c>
      <c r="BF231" s="187"/>
      <c r="BG231" s="56">
        <v>-20</v>
      </c>
      <c r="BH231" s="57"/>
      <c r="BI231" s="170"/>
      <c r="BJ231" s="169"/>
      <c r="BK231" s="181"/>
      <c r="BL231" s="36" t="str">
        <f>VLOOKUP($AP231,'[1]V1 V2'!$B$5:$BW$1894,74,0)</f>
        <v>C.F.5.B</v>
      </c>
      <c r="BM231" s="36" t="str">
        <f>IF('[1]V1 V2'!X230="","",'[1]V1 V2'!X230)</f>
        <v/>
      </c>
    </row>
    <row r="232" spans="1:65" ht="29.5" thickBot="1" x14ac:dyDescent="0.4">
      <c r="A232">
        <v>1</v>
      </c>
      <c r="B232" s="227" t="s">
        <v>668</v>
      </c>
      <c r="C232" s="228"/>
      <c r="D232" s="229"/>
      <c r="E232" s="36">
        <f>VLOOKUP($B232,'[1]V1 V2'!$B$5:$BW$1894,74,0)</f>
        <v>0</v>
      </c>
      <c r="F232" s="168"/>
      <c r="G232" s="169"/>
      <c r="H232" s="169"/>
      <c r="I232" s="57"/>
      <c r="J232" s="135"/>
      <c r="K232" s="187"/>
      <c r="L232" s="294"/>
      <c r="M232" s="188"/>
      <c r="N232" s="189"/>
      <c r="O232" s="190"/>
      <c r="P232" s="191"/>
      <c r="Q232" s="221" t="s">
        <v>89</v>
      </c>
      <c r="R232" s="221"/>
      <c r="S232" s="191"/>
      <c r="T232" s="189"/>
      <c r="U232" s="132"/>
      <c r="V232" s="222"/>
      <c r="W232" s="226"/>
      <c r="X232" s="226"/>
      <c r="Y232" s="222"/>
      <c r="Z232" s="198">
        <v>20</v>
      </c>
      <c r="AA232" s="231" t="s">
        <v>668</v>
      </c>
      <c r="AB232" s="21" t="s">
        <v>2</v>
      </c>
      <c r="AH232" s="63">
        <v>1</v>
      </c>
      <c r="AO232" s="10" t="s">
        <v>3</v>
      </c>
      <c r="AP232" s="231" t="s">
        <v>668</v>
      </c>
      <c r="AQ232" s="198">
        <v>20</v>
      </c>
      <c r="AR232" s="222"/>
      <c r="AS232" s="222"/>
      <c r="AT232" s="255"/>
      <c r="AU232" s="255"/>
      <c r="AV232" s="132"/>
      <c r="AW232" s="189"/>
      <c r="AX232" s="191"/>
      <c r="AY232" s="223"/>
      <c r="AZ232" s="221"/>
      <c r="BA232" s="191"/>
      <c r="BB232" s="192" t="s">
        <v>89</v>
      </c>
      <c r="BC232" s="188"/>
      <c r="BD232" s="188"/>
      <c r="BE232" s="268"/>
      <c r="BF232" s="187"/>
      <c r="BG232" s="135"/>
      <c r="BH232" s="136"/>
      <c r="BI232" s="170"/>
      <c r="BJ232" s="169"/>
      <c r="BK232" s="181"/>
      <c r="BL232" s="36">
        <f>VLOOKUP($AP232,'[1]V1 V2'!$B$5:$BW$1894,74,0)</f>
        <v>0</v>
      </c>
      <c r="BM232" s="36" t="str">
        <f>IF('[1]V1 V2'!X231="","",'[1]V1 V2'!X231)</f>
        <v/>
      </c>
    </row>
    <row r="233" spans="1:65" ht="16" thickBot="1" x14ac:dyDescent="0.4">
      <c r="A233">
        <v>1</v>
      </c>
      <c r="B233" s="232" t="s">
        <v>669</v>
      </c>
      <c r="C233" s="233"/>
      <c r="D233" s="234"/>
      <c r="E233" s="36" t="str">
        <f>VLOOKUP($B233,'[1]V1 V2'!$B$5:$BW$1894,74,0)</f>
        <v>C.F.1</v>
      </c>
      <c r="F233" s="168"/>
      <c r="G233" s="169"/>
      <c r="H233" s="169"/>
      <c r="I233" s="57"/>
      <c r="J233" s="135" t="s">
        <v>127</v>
      </c>
      <c r="K233" s="187"/>
      <c r="L233" s="295">
        <v>4.2</v>
      </c>
      <c r="M233" s="188"/>
      <c r="N233" s="189"/>
      <c r="O233" s="190" t="s">
        <v>621</v>
      </c>
      <c r="P233" s="285" t="s">
        <v>670</v>
      </c>
      <c r="Q233" s="288" t="s">
        <v>655</v>
      </c>
      <c r="R233" s="221" t="s">
        <v>623</v>
      </c>
      <c r="S233" s="191">
        <v>1.77</v>
      </c>
      <c r="T233" s="189" t="s">
        <v>30</v>
      </c>
      <c r="U233" s="132" t="s">
        <v>48</v>
      </c>
      <c r="V233" s="255" t="s">
        <v>671</v>
      </c>
      <c r="W233" s="255" t="s">
        <v>672</v>
      </c>
      <c r="X233" s="222">
        <v>33572.489000000001</v>
      </c>
      <c r="Y233" s="222">
        <v>1232.5600000000002</v>
      </c>
      <c r="Z233" s="198"/>
      <c r="AA233" s="238" t="s">
        <v>669</v>
      </c>
      <c r="AB233" s="21" t="s">
        <v>2</v>
      </c>
      <c r="AH233" s="63">
        <v>1</v>
      </c>
      <c r="AO233" s="10" t="s">
        <v>3</v>
      </c>
      <c r="AP233" s="238" t="s">
        <v>673</v>
      </c>
      <c r="AQ233" s="198"/>
      <c r="AR233" s="222">
        <v>1233.4600000000003</v>
      </c>
      <c r="AS233" s="222">
        <f>AS231-AQ232</f>
        <v>33651.288999999997</v>
      </c>
      <c r="AT233" s="255" t="s">
        <v>674</v>
      </c>
      <c r="AU233" s="255" t="s">
        <v>675</v>
      </c>
      <c r="AV233" s="132" t="s">
        <v>48</v>
      </c>
      <c r="AW233" s="189" t="s">
        <v>30</v>
      </c>
      <c r="AX233" s="191">
        <v>1.77</v>
      </c>
      <c r="AY233" s="221" t="s">
        <v>623</v>
      </c>
      <c r="AZ233" s="288" t="s">
        <v>655</v>
      </c>
      <c r="BA233" s="285" t="s">
        <v>670</v>
      </c>
      <c r="BB233" s="190" t="s">
        <v>621</v>
      </c>
      <c r="BC233" s="188"/>
      <c r="BD233" s="188"/>
      <c r="BE233" s="269">
        <v>4.2</v>
      </c>
      <c r="BF233" s="187"/>
      <c r="BG233" s="225" t="s">
        <v>127</v>
      </c>
      <c r="BH233" s="136"/>
      <c r="BI233" s="170"/>
      <c r="BJ233" s="169"/>
      <c r="BK233" s="181"/>
      <c r="BL233" s="36" t="str">
        <f>VLOOKUP($AP233,'[1]V1 V2'!$B$5:$BW$1894,74,0)</f>
        <v>C.F.1</v>
      </c>
      <c r="BM233" s="36" t="str">
        <f>IF('[1]V1 V2'!X232="","",'[1]V1 V2'!X232)</f>
        <v/>
      </c>
    </row>
    <row r="234" spans="1:65" ht="16" thickBot="1" x14ac:dyDescent="0.4">
      <c r="A234">
        <v>1</v>
      </c>
      <c r="B234" s="232"/>
      <c r="C234" s="233"/>
      <c r="D234" s="234"/>
      <c r="E234" s="36"/>
      <c r="F234" s="168"/>
      <c r="G234" s="169"/>
      <c r="H234" s="169"/>
      <c r="I234" s="136"/>
      <c r="J234" s="135"/>
      <c r="K234" s="187"/>
      <c r="L234" s="296"/>
      <c r="M234" s="188"/>
      <c r="N234" s="189"/>
      <c r="O234" s="190" t="s">
        <v>89</v>
      </c>
      <c r="P234" s="223"/>
      <c r="Q234" s="221" t="s">
        <v>89</v>
      </c>
      <c r="R234" s="221"/>
      <c r="S234" s="191"/>
      <c r="T234" s="189"/>
      <c r="U234" s="132"/>
      <c r="V234" s="222" t="s">
        <v>89</v>
      </c>
      <c r="W234" s="222" t="s">
        <v>89</v>
      </c>
      <c r="X234" s="226"/>
      <c r="Y234" s="222"/>
      <c r="Z234" s="198">
        <v>20.100000000000001</v>
      </c>
      <c r="AA234" s="238"/>
      <c r="AB234" s="21" t="s">
        <v>2</v>
      </c>
      <c r="AH234" s="63">
        <v>1</v>
      </c>
      <c r="AO234" s="10" t="s">
        <v>3</v>
      </c>
      <c r="AP234" s="238"/>
      <c r="AQ234" s="198">
        <v>19.899999999999999</v>
      </c>
      <c r="AR234" s="222"/>
      <c r="AS234" s="222"/>
      <c r="AT234" s="255"/>
      <c r="AU234" s="255"/>
      <c r="AV234" s="132"/>
      <c r="AW234" s="189"/>
      <c r="AX234" s="191"/>
      <c r="AY234" s="223"/>
      <c r="AZ234" s="223"/>
      <c r="BA234" s="223"/>
      <c r="BB234" s="192" t="s">
        <v>89</v>
      </c>
      <c r="BC234" s="188"/>
      <c r="BD234" s="188"/>
      <c r="BE234" s="269"/>
      <c r="BF234" s="187"/>
      <c r="BG234" s="135"/>
      <c r="BH234" s="136"/>
      <c r="BI234" s="186"/>
      <c r="BJ234" s="185"/>
      <c r="BK234" s="193"/>
      <c r="BL234" s="36"/>
      <c r="BM234" s="36" t="str">
        <f>IF('[1]V1 V2'!X233="","",'[1]V1 V2'!X233)</f>
        <v/>
      </c>
    </row>
    <row r="235" spans="1:65" ht="16" thickBot="1" x14ac:dyDescent="0.4">
      <c r="A235">
        <v>1</v>
      </c>
      <c r="B235" s="232" t="s">
        <v>676</v>
      </c>
      <c r="C235" s="233"/>
      <c r="D235" s="234"/>
      <c r="E235" s="36" t="str">
        <f>VLOOKUP($B235,'[1]V1 V2'!$B$5:$BW$1894,74,0)</f>
        <v>C.F.5.B</v>
      </c>
      <c r="F235" s="168"/>
      <c r="G235" s="169"/>
      <c r="H235" s="169"/>
      <c r="I235" s="57"/>
      <c r="J235" s="135">
        <v>-20</v>
      </c>
      <c r="K235" s="187"/>
      <c r="L235" s="295">
        <v>4.3099999999999996</v>
      </c>
      <c r="M235" s="188"/>
      <c r="N235" s="189"/>
      <c r="O235" s="190" t="s">
        <v>596</v>
      </c>
      <c r="P235" s="285" t="s">
        <v>670</v>
      </c>
      <c r="Q235" s="288" t="s">
        <v>655</v>
      </c>
      <c r="R235" s="221" t="s">
        <v>623</v>
      </c>
      <c r="S235" s="191">
        <v>1.77</v>
      </c>
      <c r="T235" s="189" t="s">
        <v>30</v>
      </c>
      <c r="U235" s="132">
        <v>180</v>
      </c>
      <c r="V235" s="255" t="s">
        <v>677</v>
      </c>
      <c r="W235" s="255" t="s">
        <v>678</v>
      </c>
      <c r="X235" s="222">
        <v>33552.389000000003</v>
      </c>
      <c r="Y235" s="222">
        <v>1252.6600000000001</v>
      </c>
      <c r="Z235" s="198"/>
      <c r="AA235" s="238" t="s">
        <v>676</v>
      </c>
      <c r="AB235" s="21" t="s">
        <v>2</v>
      </c>
      <c r="AH235" s="63">
        <v>1</v>
      </c>
      <c r="AO235" s="10" t="s">
        <v>3</v>
      </c>
      <c r="AP235" s="238" t="s">
        <v>679</v>
      </c>
      <c r="AQ235" s="198"/>
      <c r="AR235" s="222">
        <v>1253.3600000000004</v>
      </c>
      <c r="AS235" s="222">
        <f>AS233-AQ234</f>
        <v>33631.388999999996</v>
      </c>
      <c r="AT235" s="255" t="s">
        <v>680</v>
      </c>
      <c r="AU235" s="255" t="s">
        <v>681</v>
      </c>
      <c r="AV235" s="132">
        <v>180</v>
      </c>
      <c r="AW235" s="189" t="s">
        <v>30</v>
      </c>
      <c r="AX235" s="191">
        <v>1.77</v>
      </c>
      <c r="AY235" s="221" t="s">
        <v>623</v>
      </c>
      <c r="AZ235" s="288" t="s">
        <v>655</v>
      </c>
      <c r="BA235" s="285" t="s">
        <v>670</v>
      </c>
      <c r="BB235" s="192" t="s">
        <v>596</v>
      </c>
      <c r="BC235" s="188"/>
      <c r="BD235" s="188"/>
      <c r="BE235" s="269">
        <v>4.3099999999999996</v>
      </c>
      <c r="BF235" s="187"/>
      <c r="BG235" s="135">
        <v>-20</v>
      </c>
      <c r="BH235" s="136"/>
      <c r="BI235" s="196"/>
      <c r="BJ235" s="195"/>
      <c r="BK235" s="197"/>
      <c r="BL235" s="36" t="str">
        <f>VLOOKUP($AP235,'[1]V1 V2'!$B$5:$BW$1894,74,0)</f>
        <v>C.F.5.B</v>
      </c>
      <c r="BM235" s="36" t="str">
        <f>IF('[1]V1 V2'!X234="","",'[1]V1 V2'!X234)</f>
        <v/>
      </c>
    </row>
    <row r="236" spans="1:65" ht="16" thickBot="1" x14ac:dyDescent="0.4">
      <c r="A236">
        <v>1</v>
      </c>
      <c r="B236" s="232"/>
      <c r="C236" s="233"/>
      <c r="D236" s="234"/>
      <c r="E236" s="36"/>
      <c r="F236" s="184"/>
      <c r="G236" s="185"/>
      <c r="H236" s="185"/>
      <c r="I236" s="57"/>
      <c r="J236" s="135"/>
      <c r="K236" s="187"/>
      <c r="L236" s="296"/>
      <c r="M236" s="188"/>
      <c r="N236" s="189"/>
      <c r="O236" s="190" t="s">
        <v>89</v>
      </c>
      <c r="P236" s="221"/>
      <c r="Q236" s="221" t="s">
        <v>89</v>
      </c>
      <c r="R236" s="223"/>
      <c r="S236" s="191"/>
      <c r="T236" s="189"/>
      <c r="U236" s="132"/>
      <c r="V236" s="222" t="s">
        <v>89</v>
      </c>
      <c r="W236" s="222" t="s">
        <v>89</v>
      </c>
      <c r="X236" s="226"/>
      <c r="Y236" s="222"/>
      <c r="Z236" s="198">
        <v>20.2</v>
      </c>
      <c r="AA236" s="238"/>
      <c r="AB236" s="21" t="s">
        <v>2</v>
      </c>
      <c r="AH236" s="63">
        <v>1</v>
      </c>
      <c r="AO236" s="10" t="s">
        <v>3</v>
      </c>
      <c r="AP236" s="238"/>
      <c r="AQ236" s="198">
        <v>19.8</v>
      </c>
      <c r="AR236" s="222"/>
      <c r="AS236" s="222"/>
      <c r="AT236" s="255"/>
      <c r="AU236" s="255"/>
      <c r="AV236" s="132"/>
      <c r="AW236" s="189"/>
      <c r="AX236" s="191"/>
      <c r="AY236" s="221"/>
      <c r="AZ236" s="223"/>
      <c r="BA236" s="221"/>
      <c r="BB236" s="192" t="s">
        <v>89</v>
      </c>
      <c r="BC236" s="188"/>
      <c r="BD236" s="188"/>
      <c r="BE236" s="283"/>
      <c r="BF236" s="187"/>
      <c r="BG236" s="135"/>
      <c r="BH236" s="136"/>
      <c r="BI236" s="196"/>
      <c r="BJ236" s="195"/>
      <c r="BK236" s="197"/>
      <c r="BL236" s="36"/>
      <c r="BM236" s="36" t="str">
        <f>IF('[1]V1 V2'!X235="","",'[1]V1 V2'!X235)</f>
        <v/>
      </c>
    </row>
    <row r="237" spans="1:65" ht="16" thickBot="1" x14ac:dyDescent="0.4">
      <c r="A237">
        <v>1</v>
      </c>
      <c r="B237" s="232" t="s">
        <v>682</v>
      </c>
      <c r="C237" s="233"/>
      <c r="D237" s="234"/>
      <c r="E237" s="36" t="str">
        <f>VLOOKUP($B237,'[1]V1 V2'!$B$5:$BW$1894,74,0)</f>
        <v>C.F.5.B</v>
      </c>
      <c r="F237" s="194"/>
      <c r="G237" s="195"/>
      <c r="H237" s="195"/>
      <c r="I237" s="57"/>
      <c r="J237" s="135">
        <v>-20</v>
      </c>
      <c r="K237" s="187"/>
      <c r="L237" s="295">
        <v>4.42</v>
      </c>
      <c r="M237" s="188"/>
      <c r="N237" s="189"/>
      <c r="O237" s="190" t="s">
        <v>596</v>
      </c>
      <c r="P237" s="285" t="s">
        <v>670</v>
      </c>
      <c r="Q237" s="288" t="s">
        <v>655</v>
      </c>
      <c r="R237" s="221" t="s">
        <v>623</v>
      </c>
      <c r="S237" s="191">
        <v>1.77</v>
      </c>
      <c r="T237" s="189" t="s">
        <v>30</v>
      </c>
      <c r="U237" s="132">
        <v>180</v>
      </c>
      <c r="V237" s="255" t="s">
        <v>683</v>
      </c>
      <c r="W237" s="255" t="s">
        <v>684</v>
      </c>
      <c r="X237" s="222">
        <v>33532.189000000006</v>
      </c>
      <c r="Y237" s="222">
        <v>1272.8600000000001</v>
      </c>
      <c r="Z237" s="198"/>
      <c r="AA237" s="238" t="s">
        <v>682</v>
      </c>
      <c r="AB237" s="21" t="s">
        <v>2</v>
      </c>
      <c r="AH237" s="63">
        <v>1</v>
      </c>
      <c r="AO237" s="10" t="s">
        <v>3</v>
      </c>
      <c r="AP237" s="297" t="s">
        <v>685</v>
      </c>
      <c r="AQ237" s="178"/>
      <c r="AR237" s="177">
        <v>1273.1600000000003</v>
      </c>
      <c r="AS237" s="222">
        <f>AS235-AQ236</f>
        <v>33611.588999999993</v>
      </c>
      <c r="AT237" s="298" t="s">
        <v>686</v>
      </c>
      <c r="AU237" s="298" t="s">
        <v>687</v>
      </c>
      <c r="AV237" s="62">
        <v>180</v>
      </c>
      <c r="AW237" s="173" t="s">
        <v>30</v>
      </c>
      <c r="AX237" s="175" t="s">
        <v>688</v>
      </c>
      <c r="AY237" s="176" t="s">
        <v>623</v>
      </c>
      <c r="AZ237" s="299" t="s">
        <v>655</v>
      </c>
      <c r="BA237" s="285" t="s">
        <v>670</v>
      </c>
      <c r="BB237" s="180" t="s">
        <v>596</v>
      </c>
      <c r="BC237" s="172"/>
      <c r="BD237" s="172"/>
      <c r="BE237" s="269">
        <v>4.42</v>
      </c>
      <c r="BF237" s="171"/>
      <c r="BG237" s="135">
        <v>-20</v>
      </c>
      <c r="BH237" s="136"/>
      <c r="BI237" s="196"/>
      <c r="BJ237" s="195"/>
      <c r="BK237" s="197"/>
      <c r="BL237" s="36" t="str">
        <f>VLOOKUP($AP237,'[1]V1 V2'!$B$5:$BW$1894,74,0)</f>
        <v>C.F.5.B</v>
      </c>
      <c r="BM237" s="36" t="str">
        <f>IF('[1]V1 V2'!X236="","",'[1]V1 V2'!X236)</f>
        <v/>
      </c>
    </row>
    <row r="238" spans="1:65" ht="16" thickBot="1" x14ac:dyDescent="0.4">
      <c r="A238">
        <v>1</v>
      </c>
      <c r="B238" s="232"/>
      <c r="C238" s="233"/>
      <c r="D238" s="234"/>
      <c r="E238" s="36"/>
      <c r="F238" s="194"/>
      <c r="G238" s="195"/>
      <c r="H238" s="195"/>
      <c r="I238" s="57"/>
      <c r="J238" s="135"/>
      <c r="K238" s="187"/>
      <c r="L238" s="283"/>
      <c r="M238" s="188"/>
      <c r="N238" s="189"/>
      <c r="O238" s="190" t="s">
        <v>89</v>
      </c>
      <c r="P238" s="223"/>
      <c r="Q238" s="221" t="s">
        <v>89</v>
      </c>
      <c r="R238" s="223"/>
      <c r="S238" s="191"/>
      <c r="T238" s="189"/>
      <c r="U238" s="132"/>
      <c r="V238" s="222" t="s">
        <v>89</v>
      </c>
      <c r="W238" s="222" t="s">
        <v>89</v>
      </c>
      <c r="X238" s="226"/>
      <c r="Y238" s="222"/>
      <c r="Z238" s="198">
        <v>20.2</v>
      </c>
      <c r="AA238" s="238"/>
      <c r="AB238" s="21" t="s">
        <v>2</v>
      </c>
      <c r="AH238" s="63">
        <v>1</v>
      </c>
      <c r="AO238" s="10" t="s">
        <v>3</v>
      </c>
      <c r="AP238" s="297"/>
      <c r="AQ238" s="178">
        <v>19.8</v>
      </c>
      <c r="AR238" s="177"/>
      <c r="AS238" s="222"/>
      <c r="AT238" s="298"/>
      <c r="AU238" s="298"/>
      <c r="AV238" s="62"/>
      <c r="AW238" s="173"/>
      <c r="AX238" s="175"/>
      <c r="AY238" s="176"/>
      <c r="AZ238" s="176"/>
      <c r="BA238" s="223"/>
      <c r="BB238" s="180" t="s">
        <v>89</v>
      </c>
      <c r="BC238" s="172"/>
      <c r="BD238" s="172"/>
      <c r="BE238" s="269"/>
      <c r="BF238" s="171"/>
      <c r="BG238" s="135"/>
      <c r="BH238" s="136"/>
      <c r="BI238" s="196"/>
      <c r="BJ238" s="195"/>
      <c r="BK238" s="197"/>
      <c r="BL238" s="36"/>
      <c r="BM238" s="36" t="str">
        <f>IF('[1]V1 V2'!X237="","",'[1]V1 V2'!X237)</f>
        <v/>
      </c>
    </row>
    <row r="239" spans="1:65" ht="16" thickBot="1" x14ac:dyDescent="0.4">
      <c r="A239">
        <v>1</v>
      </c>
      <c r="B239" s="232" t="s">
        <v>689</v>
      </c>
      <c r="C239" s="233"/>
      <c r="D239" s="234"/>
      <c r="E239" s="36" t="str">
        <f>VLOOKUP($B239,'[1]V1 V2'!$B$5:$BW$1894,74,0)</f>
        <v>C.F.5.B</v>
      </c>
      <c r="F239" s="194"/>
      <c r="G239" s="195"/>
      <c r="H239" s="195"/>
      <c r="I239" s="57"/>
      <c r="J239" s="135">
        <v>-20</v>
      </c>
      <c r="K239" s="187"/>
      <c r="L239" s="268">
        <v>4.53</v>
      </c>
      <c r="M239" s="188"/>
      <c r="N239" s="189"/>
      <c r="O239" s="190" t="s">
        <v>596</v>
      </c>
      <c r="P239" s="285" t="s">
        <v>670</v>
      </c>
      <c r="Q239" s="288" t="s">
        <v>655</v>
      </c>
      <c r="R239" s="221" t="s">
        <v>623</v>
      </c>
      <c r="S239" s="191">
        <v>1.77</v>
      </c>
      <c r="T239" s="189" t="s">
        <v>30</v>
      </c>
      <c r="U239" s="132">
        <v>180</v>
      </c>
      <c r="V239" s="255" t="s">
        <v>690</v>
      </c>
      <c r="W239" s="255" t="s">
        <v>691</v>
      </c>
      <c r="X239" s="222">
        <v>33511.989000000009</v>
      </c>
      <c r="Y239" s="222">
        <v>1293.0600000000002</v>
      </c>
      <c r="Z239" s="198"/>
      <c r="AA239" s="238" t="s">
        <v>689</v>
      </c>
      <c r="AB239" s="21" t="s">
        <v>2</v>
      </c>
      <c r="AH239" s="63">
        <v>1</v>
      </c>
      <c r="AO239" s="10" t="s">
        <v>3</v>
      </c>
      <c r="AP239" s="297" t="s">
        <v>692</v>
      </c>
      <c r="AQ239" s="178"/>
      <c r="AR239" s="177">
        <v>1292.9600000000003</v>
      </c>
      <c r="AS239" s="222">
        <f>AS237-AQ238</f>
        <v>33591.78899999999</v>
      </c>
      <c r="AT239" s="298" t="s">
        <v>693</v>
      </c>
      <c r="AU239" s="298" t="s">
        <v>694</v>
      </c>
      <c r="AV239" s="62">
        <v>180</v>
      </c>
      <c r="AW239" s="173" t="s">
        <v>30</v>
      </c>
      <c r="AX239" s="175">
        <v>1.77</v>
      </c>
      <c r="AY239" s="176" t="s">
        <v>623</v>
      </c>
      <c r="AZ239" s="299" t="s">
        <v>655</v>
      </c>
      <c r="BA239" s="285" t="s">
        <v>670</v>
      </c>
      <c r="BB239" s="180" t="s">
        <v>596</v>
      </c>
      <c r="BC239" s="172"/>
      <c r="BD239" s="172"/>
      <c r="BE239" s="269">
        <v>4.53</v>
      </c>
      <c r="BF239" s="171"/>
      <c r="BG239" s="135">
        <v>-20</v>
      </c>
      <c r="BH239" s="136"/>
      <c r="BI239" s="196"/>
      <c r="BJ239" s="195"/>
      <c r="BK239" s="197"/>
      <c r="BL239" s="36" t="str">
        <f>VLOOKUP($AP239,'[1]V1 V2'!$B$5:$BW$1894,74,0)</f>
        <v>C.F.5.B</v>
      </c>
      <c r="BM239" s="36" t="str">
        <f>IF('[1]V1 V2'!X238="","",'[1]V1 V2'!X238)</f>
        <v/>
      </c>
    </row>
    <row r="240" spans="1:65" ht="16" thickBot="1" x14ac:dyDescent="0.4">
      <c r="A240">
        <v>1</v>
      </c>
      <c r="B240" s="232"/>
      <c r="C240" s="233"/>
      <c r="D240" s="234"/>
      <c r="E240" s="36"/>
      <c r="F240" s="194"/>
      <c r="G240" s="195"/>
      <c r="H240" s="195"/>
      <c r="I240" s="57"/>
      <c r="J240" s="135"/>
      <c r="K240" s="187"/>
      <c r="L240" s="283"/>
      <c r="M240" s="188"/>
      <c r="N240" s="189"/>
      <c r="O240" s="190" t="s">
        <v>89</v>
      </c>
      <c r="P240" s="221"/>
      <c r="Q240" s="221" t="s">
        <v>89</v>
      </c>
      <c r="R240" s="223"/>
      <c r="S240" s="191"/>
      <c r="T240" s="189"/>
      <c r="U240" s="132"/>
      <c r="V240" s="222" t="s">
        <v>89</v>
      </c>
      <c r="W240" s="222" t="s">
        <v>89</v>
      </c>
      <c r="X240" s="226"/>
      <c r="Y240" s="222"/>
      <c r="Z240" s="198">
        <v>20.100000000000001</v>
      </c>
      <c r="AA240" s="238"/>
      <c r="AB240" s="21" t="s">
        <v>2</v>
      </c>
      <c r="AH240" s="63">
        <v>1</v>
      </c>
      <c r="AO240" s="10" t="s">
        <v>3</v>
      </c>
      <c r="AP240" s="297"/>
      <c r="AQ240" s="178">
        <v>19.899999999999999</v>
      </c>
      <c r="AR240" s="177"/>
      <c r="AS240" s="222"/>
      <c r="AT240" s="298"/>
      <c r="AU240" s="298"/>
      <c r="AV240" s="62"/>
      <c r="AW240" s="173"/>
      <c r="AX240" s="175"/>
      <c r="AY240" s="176"/>
      <c r="AZ240" s="182"/>
      <c r="BA240" s="221"/>
      <c r="BB240" s="180" t="s">
        <v>89</v>
      </c>
      <c r="BC240" s="172"/>
      <c r="BD240" s="172"/>
      <c r="BE240" s="269"/>
      <c r="BF240" s="171"/>
      <c r="BG240" s="135"/>
      <c r="BH240" s="136"/>
      <c r="BI240" s="196"/>
      <c r="BJ240" s="195"/>
      <c r="BK240" s="197"/>
      <c r="BL240" s="36"/>
      <c r="BM240" s="36" t="str">
        <f>IF('[1]V1 V2'!X239="","",'[1]V1 V2'!X239)</f>
        <v/>
      </c>
    </row>
    <row r="241" spans="1:66" ht="16" thickBot="1" x14ac:dyDescent="0.4">
      <c r="A241">
        <v>1</v>
      </c>
      <c r="B241" s="232" t="s">
        <v>695</v>
      </c>
      <c r="C241" s="233"/>
      <c r="D241" s="234"/>
      <c r="E241" s="36" t="str">
        <f>VLOOKUP($B241,'[1]V1 V2'!$B$5:$BW$1894,74,0)</f>
        <v>C.F.5.B</v>
      </c>
      <c r="F241" s="194"/>
      <c r="G241" s="195"/>
      <c r="H241" s="195"/>
      <c r="I241" s="57"/>
      <c r="J241" s="300" t="s">
        <v>696</v>
      </c>
      <c r="K241" s="187"/>
      <c r="L241" s="268">
        <v>4.6399999999999997</v>
      </c>
      <c r="M241" s="188"/>
      <c r="N241" s="189"/>
      <c r="O241" s="190" t="s">
        <v>596</v>
      </c>
      <c r="P241" s="285" t="s">
        <v>670</v>
      </c>
      <c r="Q241" s="288" t="s">
        <v>655</v>
      </c>
      <c r="R241" s="221" t="s">
        <v>623</v>
      </c>
      <c r="S241" s="191">
        <v>1.77</v>
      </c>
      <c r="T241" s="189" t="s">
        <v>30</v>
      </c>
      <c r="U241" s="132" t="s">
        <v>48</v>
      </c>
      <c r="V241" s="255" t="s">
        <v>697</v>
      </c>
      <c r="W241" s="255" t="s">
        <v>698</v>
      </c>
      <c r="X241" s="222">
        <v>33491.88900000001</v>
      </c>
      <c r="Y241" s="222">
        <v>1313.16</v>
      </c>
      <c r="Z241" s="198"/>
      <c r="AA241" s="238" t="s">
        <v>695</v>
      </c>
      <c r="AB241" s="21" t="s">
        <v>2</v>
      </c>
      <c r="AH241" s="63">
        <v>1</v>
      </c>
      <c r="AO241" s="10" t="s">
        <v>3</v>
      </c>
      <c r="AP241" s="297" t="s">
        <v>699</v>
      </c>
      <c r="AQ241" s="178"/>
      <c r="AR241" s="177">
        <v>1312.8600000000004</v>
      </c>
      <c r="AS241" s="222">
        <f>AS239-AQ240</f>
        <v>33571.888999999988</v>
      </c>
      <c r="AT241" s="298" t="s">
        <v>700</v>
      </c>
      <c r="AU241" s="298" t="s">
        <v>701</v>
      </c>
      <c r="AV241" s="62" t="s">
        <v>48</v>
      </c>
      <c r="AW241" s="173" t="s">
        <v>30</v>
      </c>
      <c r="AX241" s="175">
        <v>1.77</v>
      </c>
      <c r="AY241" s="176" t="s">
        <v>623</v>
      </c>
      <c r="AZ241" s="299" t="s">
        <v>655</v>
      </c>
      <c r="BA241" s="285" t="s">
        <v>670</v>
      </c>
      <c r="BB241" s="180" t="s">
        <v>596</v>
      </c>
      <c r="BC241" s="172"/>
      <c r="BD241" s="172"/>
      <c r="BE241" s="269">
        <v>4.6399999999999997</v>
      </c>
      <c r="BF241" s="171"/>
      <c r="BG241" s="135">
        <v>-10</v>
      </c>
      <c r="BH241" s="136"/>
      <c r="BI241" s="196"/>
      <c r="BJ241" s="195"/>
      <c r="BK241" s="197"/>
      <c r="BL241" s="36" t="str">
        <f>VLOOKUP($AP241,'[1]V1 V2'!$B$5:$BW$1894,74,0)</f>
        <v>C.F.5.B</v>
      </c>
      <c r="BM241" s="36" t="str">
        <f>IF('[1]V1 V2'!X240="","",'[1]V1 V2'!X240)</f>
        <v/>
      </c>
    </row>
    <row r="242" spans="1:66" ht="16" thickBot="1" x14ac:dyDescent="0.4">
      <c r="A242">
        <v>1</v>
      </c>
      <c r="B242" s="232"/>
      <c r="C242" s="233"/>
      <c r="D242" s="234"/>
      <c r="E242" s="36"/>
      <c r="F242" s="194"/>
      <c r="G242" s="195"/>
      <c r="H242" s="195"/>
      <c r="I242" s="57"/>
      <c r="J242" s="135"/>
      <c r="K242" s="187"/>
      <c r="L242" s="283"/>
      <c r="M242" s="188"/>
      <c r="N242" s="189"/>
      <c r="O242" s="190" t="s">
        <v>89</v>
      </c>
      <c r="P242" s="223"/>
      <c r="Q242" s="221" t="s">
        <v>89</v>
      </c>
      <c r="R242" s="223"/>
      <c r="S242" s="191"/>
      <c r="T242" s="189"/>
      <c r="U242" s="132"/>
      <c r="V242" s="222" t="s">
        <v>89</v>
      </c>
      <c r="W242" s="222" t="s">
        <v>89</v>
      </c>
      <c r="X242" s="226"/>
      <c r="Y242" s="222"/>
      <c r="Z242" s="198">
        <v>20</v>
      </c>
      <c r="AA242" s="238"/>
      <c r="AB242" s="21" t="s">
        <v>2</v>
      </c>
      <c r="AH242" s="63">
        <v>1</v>
      </c>
      <c r="AO242" s="10" t="s">
        <v>3</v>
      </c>
      <c r="AP242" s="297"/>
      <c r="AQ242" s="178">
        <v>20</v>
      </c>
      <c r="AR242" s="177"/>
      <c r="AS242" s="222"/>
      <c r="AT242" s="298"/>
      <c r="AU242" s="298"/>
      <c r="AV242" s="62"/>
      <c r="AW242" s="173"/>
      <c r="AX242" s="175"/>
      <c r="AY242" s="176"/>
      <c r="AZ242" s="182"/>
      <c r="BA242" s="223"/>
      <c r="BB242" s="180" t="s">
        <v>89</v>
      </c>
      <c r="BC242" s="172"/>
      <c r="BD242" s="172"/>
      <c r="BE242" s="269"/>
      <c r="BF242" s="171"/>
      <c r="BG242" s="135"/>
      <c r="BH242" s="136"/>
      <c r="BI242" s="196"/>
      <c r="BJ242" s="195"/>
      <c r="BK242" s="197"/>
      <c r="BL242" s="36"/>
      <c r="BM242" s="36" t="str">
        <f>IF('[1]V1 V2'!X241="","",'[1]V1 V2'!X241)</f>
        <v/>
      </c>
    </row>
    <row r="243" spans="1:66" ht="16" thickBot="1" x14ac:dyDescent="0.4">
      <c r="A243">
        <v>1</v>
      </c>
      <c r="B243" s="232" t="s">
        <v>702</v>
      </c>
      <c r="C243" s="233"/>
      <c r="D243" s="234"/>
      <c r="E243" s="36" t="str">
        <f>VLOOKUP($B243,'[1]V1 V2'!$B$5:$BW$1894,74,0)</f>
        <v>C.F.1</v>
      </c>
      <c r="F243" s="194"/>
      <c r="G243" s="195"/>
      <c r="H243" s="195"/>
      <c r="I243" s="57"/>
      <c r="J243" s="301" t="s">
        <v>223</v>
      </c>
      <c r="K243" s="187"/>
      <c r="L243" s="268">
        <v>4.76</v>
      </c>
      <c r="M243" s="188"/>
      <c r="N243" s="189"/>
      <c r="O243" s="190" t="s">
        <v>621</v>
      </c>
      <c r="P243" s="285" t="s">
        <v>670</v>
      </c>
      <c r="Q243" s="288" t="s">
        <v>655</v>
      </c>
      <c r="R243" s="221" t="s">
        <v>623</v>
      </c>
      <c r="S243" s="191">
        <v>1.77</v>
      </c>
      <c r="T243" s="189" t="s">
        <v>30</v>
      </c>
      <c r="U243" s="132"/>
      <c r="V243" s="255" t="s">
        <v>703</v>
      </c>
      <c r="W243" s="255" t="s">
        <v>704</v>
      </c>
      <c r="X243" s="222">
        <v>33471.88900000001</v>
      </c>
      <c r="Y243" s="222">
        <v>1333.16</v>
      </c>
      <c r="Z243" s="198"/>
      <c r="AA243" s="238" t="s">
        <v>702</v>
      </c>
      <c r="AB243" s="21" t="s">
        <v>2</v>
      </c>
      <c r="AH243" s="63">
        <v>1</v>
      </c>
      <c r="AO243" s="10" t="s">
        <v>3</v>
      </c>
      <c r="AP243" s="297" t="s">
        <v>705</v>
      </c>
      <c r="AQ243" s="178"/>
      <c r="AR243" s="177">
        <v>1332.8600000000004</v>
      </c>
      <c r="AS243" s="222">
        <f>AS241-AQ242</f>
        <v>33551.888999999988</v>
      </c>
      <c r="AT243" s="298" t="s">
        <v>706</v>
      </c>
      <c r="AU243" s="298" t="s">
        <v>707</v>
      </c>
      <c r="AV243" s="62"/>
      <c r="AW243" s="173" t="s">
        <v>30</v>
      </c>
      <c r="AX243" s="175">
        <v>1.77</v>
      </c>
      <c r="AY243" s="176" t="s">
        <v>623</v>
      </c>
      <c r="AZ243" s="299" t="s">
        <v>655</v>
      </c>
      <c r="BA243" s="285" t="s">
        <v>670</v>
      </c>
      <c r="BB243" s="180" t="s">
        <v>621</v>
      </c>
      <c r="BC243" s="172"/>
      <c r="BD243" s="172"/>
      <c r="BE243" s="269">
        <v>4.76</v>
      </c>
      <c r="BF243" s="171"/>
      <c r="BG243" s="225" t="s">
        <v>223</v>
      </c>
      <c r="BH243" s="136"/>
      <c r="BI243" s="196"/>
      <c r="BJ243" s="195"/>
      <c r="BK243" s="197"/>
      <c r="BL243" s="36" t="str">
        <f>VLOOKUP($AP243,'[1]V1 V2'!$B$5:$BW$1894,74,0)</f>
        <v>C.F.1</v>
      </c>
      <c r="BM243" s="36" t="str">
        <f>IF('[1]V1 V2'!X242="","",'[1]V1 V2'!X242)</f>
        <v/>
      </c>
    </row>
    <row r="244" spans="1:66" ht="16" thickBot="1" x14ac:dyDescent="0.4">
      <c r="A244">
        <v>1</v>
      </c>
      <c r="B244" s="232"/>
      <c r="C244" s="233"/>
      <c r="D244" s="234"/>
      <c r="E244" s="36"/>
      <c r="F244" s="194"/>
      <c r="G244" s="195"/>
      <c r="H244" s="195"/>
      <c r="I244" s="57"/>
      <c r="J244" s="135"/>
      <c r="K244" s="187"/>
      <c r="L244" s="283"/>
      <c r="M244" s="188"/>
      <c r="N244" s="189"/>
      <c r="O244" s="190" t="s">
        <v>89</v>
      </c>
      <c r="P244" s="221"/>
      <c r="Q244" s="221" t="s">
        <v>89</v>
      </c>
      <c r="R244" s="223"/>
      <c r="S244" s="191"/>
      <c r="T244" s="189"/>
      <c r="U244" s="132"/>
      <c r="V244" s="222" t="s">
        <v>89</v>
      </c>
      <c r="W244" s="222" t="s">
        <v>89</v>
      </c>
      <c r="X244" s="226"/>
      <c r="Y244" s="222"/>
      <c r="Z244" s="198">
        <v>20</v>
      </c>
      <c r="AA244" s="238"/>
      <c r="AB244" s="21" t="s">
        <v>2</v>
      </c>
      <c r="AH244" s="63">
        <v>1</v>
      </c>
      <c r="AO244" s="10" t="s">
        <v>3</v>
      </c>
      <c r="AP244" s="297"/>
      <c r="AQ244" s="178">
        <v>20.100000000000001</v>
      </c>
      <c r="AR244" s="177"/>
      <c r="AS244" s="222"/>
      <c r="AT244" s="298"/>
      <c r="AU244" s="298"/>
      <c r="AV244" s="62"/>
      <c r="AW244" s="173"/>
      <c r="AX244" s="175"/>
      <c r="AY244" s="176"/>
      <c r="AZ244" s="176"/>
      <c r="BA244" s="221"/>
      <c r="BB244" s="180" t="s">
        <v>89</v>
      </c>
      <c r="BC244" s="172"/>
      <c r="BD244" s="172"/>
      <c r="BE244" s="269"/>
      <c r="BF244" s="171"/>
      <c r="BG244" s="135"/>
      <c r="BH244" s="136"/>
      <c r="BI244" s="196"/>
      <c r="BJ244" s="195"/>
      <c r="BK244" s="197"/>
      <c r="BL244" s="36"/>
      <c r="BM244" s="36" t="str">
        <f>IF('[1]V1 V2'!X243="","",'[1]V1 V2'!X243)</f>
        <v/>
      </c>
    </row>
    <row r="245" spans="1:66" ht="16" thickBot="1" x14ac:dyDescent="0.4">
      <c r="A245">
        <v>1</v>
      </c>
      <c r="B245" s="232" t="s">
        <v>708</v>
      </c>
      <c r="C245" s="233"/>
      <c r="D245" s="234"/>
      <c r="E245" s="36" t="str">
        <f>VLOOKUP($B245,'[1]V1 V2'!$B$5:$BW$1894,74,0)</f>
        <v>C.F.4.B</v>
      </c>
      <c r="F245" s="194"/>
      <c r="G245" s="195"/>
      <c r="H245" s="195"/>
      <c r="I245" s="57"/>
      <c r="J245" s="135" t="s">
        <v>127</v>
      </c>
      <c r="K245" s="171"/>
      <c r="L245" s="268">
        <v>4.88</v>
      </c>
      <c r="M245" s="172"/>
      <c r="N245" s="173"/>
      <c r="O245" s="174" t="s">
        <v>596</v>
      </c>
      <c r="P245" s="285" t="s">
        <v>670</v>
      </c>
      <c r="Q245" s="288" t="s">
        <v>655</v>
      </c>
      <c r="R245" s="176" t="s">
        <v>623</v>
      </c>
      <c r="S245" s="175">
        <v>1.77</v>
      </c>
      <c r="T245" s="173" t="s">
        <v>30</v>
      </c>
      <c r="U245" s="62" t="s">
        <v>48</v>
      </c>
      <c r="V245" s="298" t="s">
        <v>709</v>
      </c>
      <c r="W245" s="298" t="s">
        <v>710</v>
      </c>
      <c r="X245" s="177">
        <v>33451.88900000001</v>
      </c>
      <c r="Y245" s="177">
        <v>1353.16</v>
      </c>
      <c r="Z245" s="178"/>
      <c r="AA245" s="238" t="s">
        <v>708</v>
      </c>
      <c r="AB245" s="21" t="s">
        <v>2</v>
      </c>
      <c r="AH245" s="63">
        <v>1</v>
      </c>
      <c r="AO245" s="10" t="s">
        <v>3</v>
      </c>
      <c r="AP245" s="297" t="s">
        <v>711</v>
      </c>
      <c r="AQ245" s="178"/>
      <c r="AR245" s="177">
        <v>1352.9600000000003</v>
      </c>
      <c r="AS245" s="222">
        <f>AS243-AQ244</f>
        <v>33531.78899999999</v>
      </c>
      <c r="AT245" s="298" t="s">
        <v>712</v>
      </c>
      <c r="AU245" s="298" t="s">
        <v>713</v>
      </c>
      <c r="AV245" s="62" t="s">
        <v>48</v>
      </c>
      <c r="AW245" s="173" t="s">
        <v>30</v>
      </c>
      <c r="AX245" s="175">
        <v>1.77</v>
      </c>
      <c r="AY245" s="176" t="s">
        <v>623</v>
      </c>
      <c r="AZ245" s="299" t="s">
        <v>655</v>
      </c>
      <c r="BA245" s="285" t="s">
        <v>670</v>
      </c>
      <c r="BB245" s="180" t="s">
        <v>596</v>
      </c>
      <c r="BC245" s="172"/>
      <c r="BD245" s="172"/>
      <c r="BE245" s="269">
        <v>4.88</v>
      </c>
      <c r="BF245" s="171"/>
      <c r="BG245" s="225" t="s">
        <v>127</v>
      </c>
      <c r="BH245" s="136"/>
      <c r="BI245" s="196"/>
      <c r="BJ245" s="195"/>
      <c r="BK245" s="197"/>
      <c r="BL245" s="36" t="str">
        <f>VLOOKUP($AP245,'[1]V1 V2'!$B$5:$BW$1894,74,0)</f>
        <v>C.F.4.B</v>
      </c>
      <c r="BM245" s="36" t="str">
        <f>IF('[1]V1 V2'!X244="","",'[1]V1 V2'!X244)</f>
        <v/>
      </c>
    </row>
    <row r="246" spans="1:66" ht="16" thickBot="1" x14ac:dyDescent="0.4">
      <c r="A246">
        <v>1</v>
      </c>
      <c r="B246" s="232"/>
      <c r="C246" s="233"/>
      <c r="D246" s="234"/>
      <c r="E246" s="36"/>
      <c r="F246" s="194"/>
      <c r="G246" s="195"/>
      <c r="H246" s="195"/>
      <c r="I246" s="302"/>
      <c r="J246" s="303"/>
      <c r="K246" s="171"/>
      <c r="L246" s="283"/>
      <c r="M246" s="172"/>
      <c r="N246" s="173"/>
      <c r="O246" s="174" t="s">
        <v>89</v>
      </c>
      <c r="P246" s="223"/>
      <c r="Q246" s="221" t="s">
        <v>89</v>
      </c>
      <c r="R246" s="182"/>
      <c r="S246" s="175"/>
      <c r="T246" s="173"/>
      <c r="U246" s="62"/>
      <c r="V246" s="177" t="s">
        <v>89</v>
      </c>
      <c r="W246" s="177" t="s">
        <v>89</v>
      </c>
      <c r="X246" s="230"/>
      <c r="Y246" s="177"/>
      <c r="Z246" s="178">
        <v>19.899999999999999</v>
      </c>
      <c r="AA246" s="238"/>
      <c r="AB246" s="21" t="s">
        <v>2</v>
      </c>
      <c r="AH246" s="63">
        <v>1</v>
      </c>
      <c r="AO246" s="10" t="s">
        <v>3</v>
      </c>
      <c r="AP246" s="297"/>
      <c r="AQ246" s="178">
        <v>20.100000000000001</v>
      </c>
      <c r="AR246" s="177"/>
      <c r="AS246" s="222"/>
      <c r="AT246" s="298"/>
      <c r="AU246" s="298"/>
      <c r="AV246" s="62"/>
      <c r="AW246" s="173"/>
      <c r="AX246" s="175"/>
      <c r="AY246" s="176"/>
      <c r="AZ246" s="182"/>
      <c r="BA246" s="223"/>
      <c r="BB246" s="180" t="s">
        <v>89</v>
      </c>
      <c r="BC246" s="172"/>
      <c r="BD246" s="172"/>
      <c r="BE246" s="269"/>
      <c r="BF246" s="171"/>
      <c r="BG246" s="135"/>
      <c r="BH246" s="136"/>
      <c r="BI246" s="196"/>
      <c r="BJ246" s="195"/>
      <c r="BK246" s="197"/>
      <c r="BL246" s="36"/>
      <c r="BM246" s="36" t="str">
        <f>IF('[1]V1 V2'!X245="","",'[1]V1 V2'!X245)</f>
        <v/>
      </c>
    </row>
    <row r="247" spans="1:66" ht="16" thickBot="1" x14ac:dyDescent="0.4">
      <c r="A247">
        <v>1</v>
      </c>
      <c r="B247" s="304" t="s">
        <v>714</v>
      </c>
      <c r="C247" s="305"/>
      <c r="D247" s="306"/>
      <c r="E247" s="36" t="str">
        <f>VLOOKUP($B247,'[1]V1 V2'!$B$5:$BW$1894,74,0)</f>
        <v>C.F.4.B</v>
      </c>
      <c r="F247" s="194"/>
      <c r="G247" s="195"/>
      <c r="H247" s="195"/>
      <c r="I247" s="57"/>
      <c r="J247" s="56" t="s">
        <v>127</v>
      </c>
      <c r="K247" s="171"/>
      <c r="L247" s="268">
        <v>5</v>
      </c>
      <c r="M247" s="172"/>
      <c r="N247" s="173"/>
      <c r="O247" s="174" t="s">
        <v>596</v>
      </c>
      <c r="P247" s="285" t="s">
        <v>670</v>
      </c>
      <c r="Q247" s="288" t="s">
        <v>655</v>
      </c>
      <c r="R247" s="176" t="s">
        <v>623</v>
      </c>
      <c r="S247" s="175">
        <v>1.77</v>
      </c>
      <c r="T247" s="173" t="s">
        <v>30</v>
      </c>
      <c r="U247" s="62">
        <v>-200</v>
      </c>
      <c r="V247" s="298" t="s">
        <v>715</v>
      </c>
      <c r="W247" s="298" t="s">
        <v>716</v>
      </c>
      <c r="X247" s="177">
        <v>33431.989000000009</v>
      </c>
      <c r="Y247" s="177">
        <v>1373.0600000000002</v>
      </c>
      <c r="Z247" s="178"/>
      <c r="AA247" s="297" t="s">
        <v>714</v>
      </c>
      <c r="AB247" s="21" t="s">
        <v>2</v>
      </c>
      <c r="AH247" s="63">
        <v>1</v>
      </c>
      <c r="AO247" s="10" t="s">
        <v>3</v>
      </c>
      <c r="AP247" s="297" t="s">
        <v>717</v>
      </c>
      <c r="AQ247" s="178"/>
      <c r="AR247" s="177">
        <v>1373.0600000000002</v>
      </c>
      <c r="AS247" s="222">
        <f>AS245-AQ246</f>
        <v>33511.688999999991</v>
      </c>
      <c r="AT247" s="298" t="s">
        <v>718</v>
      </c>
      <c r="AU247" s="298" t="s">
        <v>719</v>
      </c>
      <c r="AV247" s="62">
        <v>-200</v>
      </c>
      <c r="AW247" s="173" t="s">
        <v>30</v>
      </c>
      <c r="AX247" s="175" t="s">
        <v>688</v>
      </c>
      <c r="AY247" s="176" t="s">
        <v>623</v>
      </c>
      <c r="AZ247" s="299" t="s">
        <v>655</v>
      </c>
      <c r="BA247" s="285" t="s">
        <v>670</v>
      </c>
      <c r="BB247" s="180" t="s">
        <v>596</v>
      </c>
      <c r="BC247" s="172"/>
      <c r="BD247" s="172"/>
      <c r="BE247" s="269">
        <v>5</v>
      </c>
      <c r="BF247" s="171"/>
      <c r="BG247" s="225" t="s">
        <v>127</v>
      </c>
      <c r="BH247" s="136"/>
      <c r="BI247" s="196"/>
      <c r="BJ247" s="195"/>
      <c r="BK247" s="197"/>
      <c r="BL247" s="36" t="str">
        <f>VLOOKUP($AP247,'[1]V1 V2'!$B$5:$BW$1894,74,0)</f>
        <v>C.F.4.B</v>
      </c>
      <c r="BM247" s="36" t="str">
        <f>IF('[1]V1 V2'!X246="","",'[1]V1 V2'!X246)</f>
        <v/>
      </c>
    </row>
    <row r="248" spans="1:66" ht="16" thickBot="1" x14ac:dyDescent="0.4">
      <c r="A248">
        <v>1</v>
      </c>
      <c r="B248" s="304"/>
      <c r="C248" s="305"/>
      <c r="D248" s="307" t="s">
        <v>720</v>
      </c>
      <c r="E248" s="36"/>
      <c r="F248" s="194"/>
      <c r="G248" s="195"/>
      <c r="H248" s="195"/>
      <c r="I248" s="57"/>
      <c r="J248" s="56"/>
      <c r="K248" s="171"/>
      <c r="L248" s="283"/>
      <c r="M248" s="172"/>
      <c r="N248" s="173"/>
      <c r="O248" s="174" t="s">
        <v>89</v>
      </c>
      <c r="P248" s="221"/>
      <c r="Q248" s="221" t="s">
        <v>89</v>
      </c>
      <c r="R248" s="182"/>
      <c r="S248" s="175"/>
      <c r="T248" s="173"/>
      <c r="U248" s="62"/>
      <c r="V248" s="177" t="s">
        <v>89</v>
      </c>
      <c r="W248" s="177" t="s">
        <v>89</v>
      </c>
      <c r="X248" s="230"/>
      <c r="Y248" s="177"/>
      <c r="Z248" s="178">
        <v>19.8</v>
      </c>
      <c r="AA248" s="297"/>
      <c r="AB248" s="21" t="s">
        <v>2</v>
      </c>
      <c r="AH248" s="63">
        <v>1</v>
      </c>
      <c r="AO248" s="10" t="s">
        <v>3</v>
      </c>
      <c r="AP248" s="297"/>
      <c r="AQ248" s="178">
        <v>20.3</v>
      </c>
      <c r="AR248" s="177"/>
      <c r="AS248" s="222"/>
      <c r="AT248" s="298"/>
      <c r="AU248" s="298"/>
      <c r="AV248" s="62"/>
      <c r="AW248" s="173"/>
      <c r="AX248" s="175"/>
      <c r="AY248" s="176"/>
      <c r="AZ248" s="182"/>
      <c r="BA248" s="221"/>
      <c r="BB248" s="180" t="s">
        <v>89</v>
      </c>
      <c r="BC248" s="172"/>
      <c r="BD248" s="172"/>
      <c r="BE248" s="269"/>
      <c r="BF248" s="171"/>
      <c r="BG248" s="135"/>
      <c r="BH248" s="136"/>
      <c r="BI248" s="196"/>
      <c r="BJ248" s="195"/>
      <c r="BK248" s="197"/>
      <c r="BL248" s="36"/>
      <c r="BM248" s="308" t="str">
        <f>IF('[1]V1 V2'!X247="","",'[1]V1 V2'!X247)</f>
        <v>1PEAD D110mm ou 2PEAD D63mm+ 1PEAD 32mm</v>
      </c>
    </row>
    <row r="249" spans="1:66" ht="16" thickBot="1" x14ac:dyDescent="0.4">
      <c r="A249">
        <v>1</v>
      </c>
      <c r="B249" s="304" t="s">
        <v>721</v>
      </c>
      <c r="C249" s="305"/>
      <c r="D249" s="309" t="s">
        <v>722</v>
      </c>
      <c r="E249" s="36" t="str">
        <f>VLOOKUP($B249,'[1]V1 V2'!$B$5:$BW$1894,74,0)</f>
        <v>C.F.4.B</v>
      </c>
      <c r="F249" s="194"/>
      <c r="G249" s="195"/>
      <c r="H249" s="195"/>
      <c r="I249" s="57"/>
      <c r="J249" s="56" t="s">
        <v>127</v>
      </c>
      <c r="K249" s="171"/>
      <c r="L249" s="268">
        <v>5.12</v>
      </c>
      <c r="M249" s="172"/>
      <c r="N249" s="173"/>
      <c r="O249" s="174" t="s">
        <v>596</v>
      </c>
      <c r="P249" s="285" t="s">
        <v>670</v>
      </c>
      <c r="Q249" s="288" t="s">
        <v>655</v>
      </c>
      <c r="R249" s="176" t="s">
        <v>623</v>
      </c>
      <c r="S249" s="175">
        <v>1.77</v>
      </c>
      <c r="T249" s="173" t="s">
        <v>30</v>
      </c>
      <c r="U249" s="62">
        <v>-200</v>
      </c>
      <c r="V249" s="298" t="s">
        <v>723</v>
      </c>
      <c r="W249" s="298" t="s">
        <v>724</v>
      </c>
      <c r="X249" s="177">
        <v>33412.189000000006</v>
      </c>
      <c r="Y249" s="177">
        <v>1392.8600000000001</v>
      </c>
      <c r="Z249" s="178"/>
      <c r="AA249" s="297" t="s">
        <v>721</v>
      </c>
      <c r="AB249" s="21" t="s">
        <v>2</v>
      </c>
      <c r="AH249" s="63">
        <v>1</v>
      </c>
      <c r="AO249" s="10" t="s">
        <v>3</v>
      </c>
      <c r="AP249" s="297" t="s">
        <v>725</v>
      </c>
      <c r="AQ249" s="178"/>
      <c r="AR249" s="177">
        <v>1393.3600000000001</v>
      </c>
      <c r="AS249" s="222">
        <f>AS247-AQ248</f>
        <v>33491.388999999988</v>
      </c>
      <c r="AT249" s="298" t="s">
        <v>726</v>
      </c>
      <c r="AU249" s="298" t="s">
        <v>727</v>
      </c>
      <c r="AV249" s="62">
        <v>-200</v>
      </c>
      <c r="AW249" s="173" t="s">
        <v>30</v>
      </c>
      <c r="AX249" s="175">
        <v>1.77</v>
      </c>
      <c r="AY249" s="176" t="s">
        <v>623</v>
      </c>
      <c r="AZ249" s="299" t="s">
        <v>655</v>
      </c>
      <c r="BA249" s="285" t="s">
        <v>670</v>
      </c>
      <c r="BB249" s="180" t="s">
        <v>596</v>
      </c>
      <c r="BC249" s="172"/>
      <c r="BD249" s="172"/>
      <c r="BE249" s="269">
        <v>5.12</v>
      </c>
      <c r="BF249" s="171"/>
      <c r="BG249" s="225" t="s">
        <v>127</v>
      </c>
      <c r="BH249" s="136"/>
      <c r="BI249" s="196"/>
      <c r="BJ249" s="195"/>
      <c r="BK249" s="197"/>
      <c r="BL249" s="36" t="str">
        <f>VLOOKUP($AP249,'[1]V1 V2'!$B$5:$BW$1894,74,0)</f>
        <v>C.F.4.B</v>
      </c>
      <c r="BM249" s="202" t="str">
        <f>IF('[1]V1 V2'!X248="","",'[1]V1 V2'!X248)</f>
        <v>FR</v>
      </c>
    </row>
    <row r="250" spans="1:66" ht="16" thickBot="1" x14ac:dyDescent="0.4">
      <c r="A250">
        <v>1</v>
      </c>
      <c r="B250" s="304"/>
      <c r="C250" s="305"/>
      <c r="D250" s="307" t="s">
        <v>728</v>
      </c>
      <c r="E250" s="36"/>
      <c r="F250" s="194"/>
      <c r="G250" s="195"/>
      <c r="H250" s="195"/>
      <c r="I250" s="57"/>
      <c r="J250" s="56"/>
      <c r="K250" s="171"/>
      <c r="L250" s="283"/>
      <c r="M250" s="172"/>
      <c r="N250" s="173"/>
      <c r="O250" s="174" t="s">
        <v>89</v>
      </c>
      <c r="P250" s="223"/>
      <c r="Q250" s="221" t="s">
        <v>89</v>
      </c>
      <c r="R250" s="176"/>
      <c r="S250" s="175"/>
      <c r="T250" s="173"/>
      <c r="U250" s="62"/>
      <c r="V250" s="177" t="s">
        <v>89</v>
      </c>
      <c r="W250" s="177" t="s">
        <v>89</v>
      </c>
      <c r="X250" s="230"/>
      <c r="Y250" s="177"/>
      <c r="Z250" s="178">
        <v>19.899999999999999</v>
      </c>
      <c r="AA250" s="297"/>
      <c r="AB250" s="21" t="s">
        <v>2</v>
      </c>
      <c r="AH250" s="63">
        <v>1</v>
      </c>
      <c r="AO250" s="10" t="s">
        <v>3</v>
      </c>
      <c r="AP250" s="297"/>
      <c r="AQ250" s="178">
        <v>20.100000000000001</v>
      </c>
      <c r="AR250" s="177"/>
      <c r="AS250" s="222"/>
      <c r="AT250" s="298"/>
      <c r="AU250" s="298"/>
      <c r="AV250" s="62"/>
      <c r="AW250" s="173"/>
      <c r="AX250" s="175"/>
      <c r="AY250" s="182"/>
      <c r="AZ250" s="176"/>
      <c r="BA250" s="223"/>
      <c r="BB250" s="180" t="s">
        <v>89</v>
      </c>
      <c r="BC250" s="172"/>
      <c r="BD250" s="172"/>
      <c r="BE250" s="269"/>
      <c r="BF250" s="171"/>
      <c r="BG250" s="135"/>
      <c r="BH250" s="136"/>
      <c r="BI250" s="196"/>
      <c r="BJ250" s="195"/>
      <c r="BK250" s="197"/>
      <c r="BL250" s="36"/>
      <c r="BM250" s="308" t="str">
        <f>IF('[1]V1 V2'!X249="","",'[1]V1 V2'!X249)</f>
        <v>1PEAD D110mm ou 2PEAD D63mm</v>
      </c>
    </row>
    <row r="251" spans="1:66" ht="16" thickBot="1" x14ac:dyDescent="0.4">
      <c r="A251">
        <v>1</v>
      </c>
      <c r="B251" s="304" t="s">
        <v>729</v>
      </c>
      <c r="C251" s="305"/>
      <c r="D251" s="306"/>
      <c r="E251" s="36" t="str">
        <f>VLOOKUP($B251,'[1]V1 V2'!$B$5:$BW$1894,74,0)</f>
        <v>C.F.4.B</v>
      </c>
      <c r="F251" s="194"/>
      <c r="G251" s="195"/>
      <c r="H251" s="195"/>
      <c r="I251" s="57"/>
      <c r="J251" s="56" t="s">
        <v>127</v>
      </c>
      <c r="K251" s="171"/>
      <c r="L251" s="268">
        <v>5.26</v>
      </c>
      <c r="M251" s="172"/>
      <c r="N251" s="173"/>
      <c r="O251" s="174" t="s">
        <v>596</v>
      </c>
      <c r="P251" s="285" t="s">
        <v>670</v>
      </c>
      <c r="Q251" s="288" t="s">
        <v>655</v>
      </c>
      <c r="R251" s="176" t="s">
        <v>623</v>
      </c>
      <c r="S251" s="175">
        <v>1.77</v>
      </c>
      <c r="T251" s="173" t="s">
        <v>30</v>
      </c>
      <c r="U251" s="62" t="s">
        <v>48</v>
      </c>
      <c r="V251" s="298" t="s">
        <v>730</v>
      </c>
      <c r="W251" s="298" t="s">
        <v>731</v>
      </c>
      <c r="X251" s="177">
        <v>33392.289000000004</v>
      </c>
      <c r="Y251" s="177">
        <v>1412.7600000000002</v>
      </c>
      <c r="Z251" s="178"/>
      <c r="AA251" s="297" t="s">
        <v>729</v>
      </c>
      <c r="AB251" s="21" t="s">
        <v>2</v>
      </c>
      <c r="AH251" s="63">
        <v>1</v>
      </c>
      <c r="AO251" s="10" t="s">
        <v>3</v>
      </c>
      <c r="AP251" s="297" t="s">
        <v>732</v>
      </c>
      <c r="AQ251" s="178"/>
      <c r="AR251" s="177">
        <v>1413.46</v>
      </c>
      <c r="AS251" s="222">
        <f>AS249-AQ250</f>
        <v>33471.28899999999</v>
      </c>
      <c r="AT251" s="298" t="s">
        <v>733</v>
      </c>
      <c r="AU251" s="298" t="s">
        <v>734</v>
      </c>
      <c r="AV251" s="62" t="s">
        <v>48</v>
      </c>
      <c r="AW251" s="173" t="s">
        <v>30</v>
      </c>
      <c r="AX251" s="175">
        <v>1.77</v>
      </c>
      <c r="AY251" s="176" t="s">
        <v>623</v>
      </c>
      <c r="AZ251" s="299" t="s">
        <v>655</v>
      </c>
      <c r="BA251" s="285" t="s">
        <v>670</v>
      </c>
      <c r="BB251" s="180" t="s">
        <v>596</v>
      </c>
      <c r="BC251" s="172"/>
      <c r="BD251" s="172"/>
      <c r="BE251" s="269">
        <v>5.26</v>
      </c>
      <c r="BF251" s="171"/>
      <c r="BG251" s="225" t="s">
        <v>127</v>
      </c>
      <c r="BH251" s="136"/>
      <c r="BI251" s="196"/>
      <c r="BJ251" s="195"/>
      <c r="BK251" s="197"/>
      <c r="BL251" s="36" t="str">
        <f>VLOOKUP($AP251,'[1]V1 V2'!$B$5:$BW$1894,74,0)</f>
        <v>C.F.4.B</v>
      </c>
      <c r="BM251" s="36" t="str">
        <f>IF('[1]V1 V2'!X250="","",'[1]V1 V2'!X250)</f>
        <v/>
      </c>
    </row>
    <row r="252" spans="1:66" ht="16" thickBot="1" x14ac:dyDescent="0.4">
      <c r="A252">
        <v>1</v>
      </c>
      <c r="B252" s="304"/>
      <c r="C252" s="305"/>
      <c r="D252" s="306"/>
      <c r="E252" s="36"/>
      <c r="F252" s="194"/>
      <c r="G252" s="195"/>
      <c r="H252" s="195"/>
      <c r="I252" s="57"/>
      <c r="J252" s="56"/>
      <c r="K252" s="171"/>
      <c r="L252" s="283"/>
      <c r="M252" s="172"/>
      <c r="N252" s="173"/>
      <c r="O252" s="174" t="s">
        <v>89</v>
      </c>
      <c r="P252" s="221"/>
      <c r="Q252" s="221" t="s">
        <v>89</v>
      </c>
      <c r="R252" s="182"/>
      <c r="S252" s="175"/>
      <c r="T252" s="173"/>
      <c r="U252" s="62"/>
      <c r="V252" s="177" t="s">
        <v>89</v>
      </c>
      <c r="W252" s="177" t="s">
        <v>89</v>
      </c>
      <c r="X252" s="230"/>
      <c r="Y252" s="177"/>
      <c r="Z252" s="198">
        <v>19.899999999999999</v>
      </c>
      <c r="AA252" s="297"/>
      <c r="AB252" s="21" t="s">
        <v>2</v>
      </c>
      <c r="AH252" s="63">
        <v>1</v>
      </c>
      <c r="AO252" s="10" t="s">
        <v>3</v>
      </c>
      <c r="AP252" s="297"/>
      <c r="AQ252" s="178">
        <v>20.100000000000001</v>
      </c>
      <c r="AR252" s="177"/>
      <c r="AS252" s="222"/>
      <c r="AT252" s="298"/>
      <c r="AU252" s="298"/>
      <c r="AV252" s="62"/>
      <c r="AW252" s="173"/>
      <c r="AX252" s="175"/>
      <c r="AY252" s="182"/>
      <c r="AZ252" s="182"/>
      <c r="BA252" s="221"/>
      <c r="BB252" s="180" t="s">
        <v>89</v>
      </c>
      <c r="BC252" s="172"/>
      <c r="BD252" s="172"/>
      <c r="BE252" s="269"/>
      <c r="BF252" s="171"/>
      <c r="BG252" s="56"/>
      <c r="BH252" s="57"/>
      <c r="BI252" s="196"/>
      <c r="BJ252" s="195"/>
      <c r="BK252" s="197"/>
      <c r="BL252" s="36"/>
      <c r="BM252" s="36" t="str">
        <f>IF('[1]V1 V2'!X251="","",'[1]V1 V2'!X251)</f>
        <v/>
      </c>
    </row>
    <row r="253" spans="1:66" ht="16" thickBot="1" x14ac:dyDescent="0.4">
      <c r="A253">
        <v>1</v>
      </c>
      <c r="B253" s="310" t="s">
        <v>735</v>
      </c>
      <c r="C253" s="311"/>
      <c r="D253" s="312"/>
      <c r="E253" s="36" t="str">
        <f>VLOOKUP($B253,'[1]V1 V2'!$B$5:$BW$1894,74,0)</f>
        <v>C.F.6</v>
      </c>
      <c r="F253" s="144"/>
      <c r="G253" s="145" t="s">
        <v>736</v>
      </c>
      <c r="H253" s="313"/>
      <c r="I253" s="87"/>
      <c r="J253" s="86" t="s">
        <v>127</v>
      </c>
      <c r="K253" s="268">
        <v>5.62</v>
      </c>
      <c r="L253" s="268">
        <v>5.38</v>
      </c>
      <c r="M253" s="150"/>
      <c r="N253" s="150"/>
      <c r="O253" s="151" t="s">
        <v>596</v>
      </c>
      <c r="P253" s="285" t="s">
        <v>737</v>
      </c>
      <c r="Q253" s="314" t="s">
        <v>655</v>
      </c>
      <c r="R253" s="161" t="s">
        <v>623</v>
      </c>
      <c r="S253" s="152">
        <v>1.77</v>
      </c>
      <c r="T253" s="150" t="s">
        <v>585</v>
      </c>
      <c r="U253" s="80" t="s">
        <v>48</v>
      </c>
      <c r="V253" s="259" t="s">
        <v>738</v>
      </c>
      <c r="W253" s="259" t="s">
        <v>684</v>
      </c>
      <c r="X253" s="154">
        <v>33372.389000000003</v>
      </c>
      <c r="Y253" s="154">
        <v>1432.6600000000003</v>
      </c>
      <c r="Z253" s="155"/>
      <c r="AA253" s="315" t="s">
        <v>735</v>
      </c>
      <c r="AB253" s="21" t="s">
        <v>2</v>
      </c>
      <c r="AH253" s="63">
        <v>1</v>
      </c>
      <c r="AO253" s="10" t="s">
        <v>3</v>
      </c>
      <c r="AP253" s="315" t="s">
        <v>739</v>
      </c>
      <c r="AQ253" s="155"/>
      <c r="AR253" s="154">
        <v>1433.56</v>
      </c>
      <c r="AS253" s="154">
        <f>AS251-AQ252</f>
        <v>33451.188999999991</v>
      </c>
      <c r="AT253" s="259" t="s">
        <v>740</v>
      </c>
      <c r="AU253" s="259" t="s">
        <v>741</v>
      </c>
      <c r="AV253" s="80" t="s">
        <v>48</v>
      </c>
      <c r="AW253" s="150" t="s">
        <v>585</v>
      </c>
      <c r="AX253" s="152">
        <v>1.77</v>
      </c>
      <c r="AY253" s="161" t="s">
        <v>623</v>
      </c>
      <c r="AZ253" s="314" t="s">
        <v>655</v>
      </c>
      <c r="BA253" s="285" t="s">
        <v>742</v>
      </c>
      <c r="BB253" s="151" t="s">
        <v>596</v>
      </c>
      <c r="BC253" s="150"/>
      <c r="BD253" s="150"/>
      <c r="BE253" s="268">
        <v>5.38</v>
      </c>
      <c r="BF253" s="268">
        <v>5.62</v>
      </c>
      <c r="BG253" s="316" t="s">
        <v>127</v>
      </c>
      <c r="BH253" s="87"/>
      <c r="BI253" s="69"/>
      <c r="BJ253" s="145" t="s">
        <v>736</v>
      </c>
      <c r="BK253" s="160"/>
      <c r="BL253" s="36" t="str">
        <f>VLOOKUP($AP253,'[1]V1 V2'!$B$5:$BW$1894,74,0)</f>
        <v>C.F.6</v>
      </c>
      <c r="BM253" s="36" t="str">
        <f>IF('[1]V1 V2'!X252="","",'[1]V1 V2'!X252)</f>
        <v/>
      </c>
      <c r="BN253">
        <v>1</v>
      </c>
    </row>
    <row r="254" spans="1:66" ht="16" thickBot="1" x14ac:dyDescent="0.4">
      <c r="A254">
        <v>1</v>
      </c>
      <c r="B254" s="310"/>
      <c r="C254" s="311"/>
      <c r="D254" s="312"/>
      <c r="E254" s="36"/>
      <c r="F254" s="144"/>
      <c r="G254" s="145"/>
      <c r="H254" s="317" t="s">
        <v>743</v>
      </c>
      <c r="I254" s="87"/>
      <c r="J254" s="86"/>
      <c r="K254" s="268"/>
      <c r="L254" s="269"/>
      <c r="M254" s="150"/>
      <c r="N254" s="150"/>
      <c r="O254" s="151" t="s">
        <v>89</v>
      </c>
      <c r="P254" s="161"/>
      <c r="Q254" s="161" t="s">
        <v>89</v>
      </c>
      <c r="R254" s="153"/>
      <c r="S254" s="152"/>
      <c r="T254" s="150"/>
      <c r="U254" s="80"/>
      <c r="V254" s="154" t="s">
        <v>89</v>
      </c>
      <c r="W254" s="154" t="s">
        <v>89</v>
      </c>
      <c r="X254" s="253"/>
      <c r="Y254" s="154"/>
      <c r="Z254" s="155">
        <v>20</v>
      </c>
      <c r="AA254" s="315"/>
      <c r="AB254" s="21" t="s">
        <v>2</v>
      </c>
      <c r="AH254" s="63">
        <v>1</v>
      </c>
      <c r="AO254" s="10" t="s">
        <v>3</v>
      </c>
      <c r="AP254" s="315"/>
      <c r="AQ254" s="155">
        <v>20</v>
      </c>
      <c r="AR254" s="154"/>
      <c r="AS254" s="154"/>
      <c r="AT254" s="259"/>
      <c r="AU254" s="259"/>
      <c r="AV254" s="80"/>
      <c r="AW254" s="150"/>
      <c r="AX254" s="152"/>
      <c r="AY254" s="153"/>
      <c r="AZ254" s="153"/>
      <c r="BA254" s="161"/>
      <c r="BB254" s="151" t="s">
        <v>89</v>
      </c>
      <c r="BC254" s="150"/>
      <c r="BD254" s="150"/>
      <c r="BE254" s="269"/>
      <c r="BF254" s="268"/>
      <c r="BG254" s="86"/>
      <c r="BH254" s="87"/>
      <c r="BI254" s="317" t="s">
        <v>744</v>
      </c>
      <c r="BJ254" s="145"/>
      <c r="BK254" s="160"/>
      <c r="BL254" s="36"/>
      <c r="BM254" s="36" t="str">
        <f>IF('[1]V1 V2'!X253="","",'[1]V1 V2'!X253)</f>
        <v/>
      </c>
    </row>
    <row r="255" spans="1:66" ht="16" thickBot="1" x14ac:dyDescent="0.4">
      <c r="A255">
        <v>1</v>
      </c>
      <c r="B255" s="310" t="s">
        <v>745</v>
      </c>
      <c r="C255" s="311"/>
      <c r="D255" s="312"/>
      <c r="E255" s="36" t="str">
        <f>VLOOKUP($B255,'[1]V1 V2'!$B$5:$BW$1894,74,0)</f>
        <v>C.F.17</v>
      </c>
      <c r="F255" s="144"/>
      <c r="G255" s="145" t="s">
        <v>736</v>
      </c>
      <c r="H255" s="318"/>
      <c r="I255" s="87">
        <v>-20</v>
      </c>
      <c r="J255" s="86">
        <v>0</v>
      </c>
      <c r="K255" s="268">
        <v>5.5</v>
      </c>
      <c r="L255" s="268">
        <v>5.44</v>
      </c>
      <c r="M255" s="150"/>
      <c r="N255" s="150" t="s">
        <v>621</v>
      </c>
      <c r="O255" s="151" t="s">
        <v>596</v>
      </c>
      <c r="P255" s="285" t="s">
        <v>737</v>
      </c>
      <c r="Q255" s="314" t="s">
        <v>655</v>
      </c>
      <c r="R255" s="161" t="s">
        <v>623</v>
      </c>
      <c r="S255" s="152">
        <v>1.77</v>
      </c>
      <c r="T255" s="150" t="s">
        <v>746</v>
      </c>
      <c r="U255" s="80"/>
      <c r="V255" s="259" t="s">
        <v>747</v>
      </c>
      <c r="W255" s="259" t="s">
        <v>748</v>
      </c>
      <c r="X255" s="154">
        <v>33352.389000000003</v>
      </c>
      <c r="Y255" s="154">
        <v>1452.6600000000003</v>
      </c>
      <c r="Z255" s="155"/>
      <c r="AA255" s="315" t="s">
        <v>745</v>
      </c>
      <c r="AB255" s="21" t="s">
        <v>2</v>
      </c>
      <c r="AH255" s="63">
        <v>1</v>
      </c>
      <c r="AO255" s="10" t="s">
        <v>3</v>
      </c>
      <c r="AP255" s="315" t="s">
        <v>749</v>
      </c>
      <c r="AQ255" s="155"/>
      <c r="AR255" s="154">
        <v>1453.56</v>
      </c>
      <c r="AS255" s="154">
        <f>AS253-AQ254</f>
        <v>33431.188999999991</v>
      </c>
      <c r="AT255" s="259" t="s">
        <v>750</v>
      </c>
      <c r="AU255" s="259" t="s">
        <v>751</v>
      </c>
      <c r="AV255" s="80"/>
      <c r="AW255" s="150" t="s">
        <v>746</v>
      </c>
      <c r="AX255" s="152">
        <v>1.77</v>
      </c>
      <c r="AY255" s="161" t="s">
        <v>623</v>
      </c>
      <c r="AZ255" s="314" t="s">
        <v>655</v>
      </c>
      <c r="BA255" s="285" t="s">
        <v>742</v>
      </c>
      <c r="BB255" s="151" t="s">
        <v>596</v>
      </c>
      <c r="BC255" s="150" t="s">
        <v>621</v>
      </c>
      <c r="BD255" s="150"/>
      <c r="BE255" s="268">
        <v>5.44</v>
      </c>
      <c r="BF255" s="268">
        <v>5.5</v>
      </c>
      <c r="BG255" s="86">
        <v>0</v>
      </c>
      <c r="BH255" s="87">
        <v>-20</v>
      </c>
      <c r="BI255" s="318"/>
      <c r="BJ255" s="145" t="s">
        <v>736</v>
      </c>
      <c r="BK255" s="160"/>
      <c r="BL255" s="36" t="str">
        <f>VLOOKUP($AP255,'[1]V1 V2'!$B$5:$BW$1894,74,0)</f>
        <v>C.F.17</v>
      </c>
      <c r="BM255" s="36" t="str">
        <f>IF('[1]V1 V2'!X254="","",'[1]V1 V2'!X254)</f>
        <v/>
      </c>
    </row>
    <row r="256" spans="1:66" ht="16" thickBot="1" x14ac:dyDescent="0.4">
      <c r="A256">
        <v>1</v>
      </c>
      <c r="B256" s="310"/>
      <c r="C256" s="311"/>
      <c r="D256" s="312"/>
      <c r="E256" s="36"/>
      <c r="F256" s="144"/>
      <c r="G256" s="145"/>
      <c r="H256" s="317"/>
      <c r="I256" s="87"/>
      <c r="J256" s="86"/>
      <c r="K256" s="268"/>
      <c r="L256" s="269"/>
      <c r="M256" s="150"/>
      <c r="N256" s="150"/>
      <c r="O256" s="151" t="s">
        <v>89</v>
      </c>
      <c r="P256" s="161"/>
      <c r="Q256" s="161" t="s">
        <v>89</v>
      </c>
      <c r="R256" s="153"/>
      <c r="S256" s="152"/>
      <c r="T256" s="150"/>
      <c r="U256" s="80"/>
      <c r="V256" s="154" t="s">
        <v>89</v>
      </c>
      <c r="W256" s="154" t="s">
        <v>89</v>
      </c>
      <c r="X256" s="253"/>
      <c r="Y256" s="154"/>
      <c r="Z256" s="155">
        <v>20</v>
      </c>
      <c r="AA256" s="315"/>
      <c r="AB256" s="21" t="s">
        <v>2</v>
      </c>
      <c r="AH256" s="63">
        <v>1</v>
      </c>
      <c r="AO256" s="10" t="s">
        <v>3</v>
      </c>
      <c r="AP256" s="315"/>
      <c r="AQ256" s="155">
        <v>20</v>
      </c>
      <c r="AR256" s="154"/>
      <c r="AS256" s="154"/>
      <c r="AT256" s="259"/>
      <c r="AU256" s="259"/>
      <c r="AV256" s="80"/>
      <c r="AW256" s="150"/>
      <c r="AX256" s="152"/>
      <c r="AY256" s="153"/>
      <c r="AZ256" s="161"/>
      <c r="BA256" s="161"/>
      <c r="BB256" s="151" t="s">
        <v>89</v>
      </c>
      <c r="BC256" s="150"/>
      <c r="BD256" s="150"/>
      <c r="BE256" s="269"/>
      <c r="BF256" s="268"/>
      <c r="BG256" s="86"/>
      <c r="BH256" s="87"/>
      <c r="BI256" s="317"/>
      <c r="BJ256" s="145"/>
      <c r="BK256" s="160"/>
      <c r="BL256" s="36"/>
      <c r="BM256" s="36" t="str">
        <f>IF('[1]V1 V2'!X255="","",'[1]V1 V2'!X255)</f>
        <v/>
      </c>
    </row>
    <row r="257" spans="1:65" ht="16" thickBot="1" x14ac:dyDescent="0.4">
      <c r="A257">
        <v>1</v>
      </c>
      <c r="B257" s="310" t="s">
        <v>752</v>
      </c>
      <c r="C257" s="311"/>
      <c r="D257" s="312"/>
      <c r="E257" s="36" t="str">
        <f>VLOOKUP($B257,'[1]V1 V2'!$B$5:$BW$1894,74,0)</f>
        <v>C.F.18.B</v>
      </c>
      <c r="F257" s="144"/>
      <c r="G257" s="145"/>
      <c r="H257" s="92" t="s">
        <v>8</v>
      </c>
      <c r="I257" s="87">
        <v>0</v>
      </c>
      <c r="J257" s="86" t="s">
        <v>127</v>
      </c>
      <c r="K257" s="268">
        <v>5.44</v>
      </c>
      <c r="L257" s="268">
        <v>5.44</v>
      </c>
      <c r="M257" s="150"/>
      <c r="N257" s="150" t="s">
        <v>596</v>
      </c>
      <c r="O257" s="151" t="s">
        <v>621</v>
      </c>
      <c r="P257" s="285" t="s">
        <v>737</v>
      </c>
      <c r="Q257" s="314" t="s">
        <v>655</v>
      </c>
      <c r="R257" s="161" t="s">
        <v>623</v>
      </c>
      <c r="S257" s="152">
        <v>1.77</v>
      </c>
      <c r="T257" s="150" t="s">
        <v>753</v>
      </c>
      <c r="U257" s="80"/>
      <c r="V257" s="259" t="s">
        <v>754</v>
      </c>
      <c r="W257" s="259" t="s">
        <v>755</v>
      </c>
      <c r="X257" s="154">
        <v>33332.389000000003</v>
      </c>
      <c r="Y257" s="154">
        <v>1472.6600000000003</v>
      </c>
      <c r="Z257" s="155"/>
      <c r="AA257" s="315" t="s">
        <v>752</v>
      </c>
      <c r="AB257" s="21" t="s">
        <v>2</v>
      </c>
      <c r="AH257" s="63">
        <v>1</v>
      </c>
      <c r="AO257" s="10" t="s">
        <v>3</v>
      </c>
      <c r="AP257" s="315" t="s">
        <v>756</v>
      </c>
      <c r="AQ257" s="155"/>
      <c r="AR257" s="154">
        <v>1473.56</v>
      </c>
      <c r="AS257" s="154">
        <f>AS255-AQ256</f>
        <v>33411.188999999991</v>
      </c>
      <c r="AT257" s="259" t="s">
        <v>757</v>
      </c>
      <c r="AU257" s="259" t="s">
        <v>758</v>
      </c>
      <c r="AV257" s="80"/>
      <c r="AW257" s="150" t="s">
        <v>753</v>
      </c>
      <c r="AX257" s="152">
        <v>1.77</v>
      </c>
      <c r="AY257" s="161" t="s">
        <v>623</v>
      </c>
      <c r="AZ257" s="314" t="s">
        <v>655</v>
      </c>
      <c r="BA257" s="285" t="s">
        <v>742</v>
      </c>
      <c r="BB257" s="151" t="s">
        <v>621</v>
      </c>
      <c r="BC257" s="150" t="s">
        <v>596</v>
      </c>
      <c r="BD257" s="150"/>
      <c r="BE257" s="268">
        <v>5.44</v>
      </c>
      <c r="BF257" s="268">
        <v>5.44</v>
      </c>
      <c r="BG257" s="316" t="s">
        <v>127</v>
      </c>
      <c r="BH257" s="87">
        <v>0</v>
      </c>
      <c r="BI257" s="92" t="s">
        <v>8</v>
      </c>
      <c r="BJ257" s="145"/>
      <c r="BK257" s="160"/>
      <c r="BL257" s="36" t="str">
        <f>VLOOKUP($AP257,'[1]V1 V2'!$B$5:$BW$1894,74,0)</f>
        <v>C.F.18.B</v>
      </c>
      <c r="BM257" s="36" t="str">
        <f>IF('[1]V1 V2'!X256="","",'[1]V1 V2'!X256)</f>
        <v/>
      </c>
    </row>
    <row r="258" spans="1:65" ht="16" thickBot="1" x14ac:dyDescent="0.4">
      <c r="A258">
        <v>1</v>
      </c>
      <c r="B258" s="310"/>
      <c r="C258" s="311"/>
      <c r="D258" s="312"/>
      <c r="E258" s="36"/>
      <c r="F258" s="144"/>
      <c r="G258" s="145"/>
      <c r="H258" s="317"/>
      <c r="I258" s="87"/>
      <c r="J258" s="86"/>
      <c r="K258" s="268"/>
      <c r="L258" s="269"/>
      <c r="M258" s="150"/>
      <c r="N258" s="150"/>
      <c r="O258" s="151" t="s">
        <v>89</v>
      </c>
      <c r="P258" s="161"/>
      <c r="Q258" s="161" t="s">
        <v>89</v>
      </c>
      <c r="R258" s="153"/>
      <c r="S258" s="152"/>
      <c r="T258" s="150"/>
      <c r="U258" s="80"/>
      <c r="V258" s="154" t="s">
        <v>89</v>
      </c>
      <c r="W258" s="154" t="s">
        <v>89</v>
      </c>
      <c r="X258" s="253"/>
      <c r="Y258" s="154"/>
      <c r="Z258" s="155">
        <v>20</v>
      </c>
      <c r="AA258" s="315"/>
      <c r="AB258" s="21" t="s">
        <v>2</v>
      </c>
      <c r="AH258" s="63">
        <v>1</v>
      </c>
      <c r="AO258" s="10" t="s">
        <v>3</v>
      </c>
      <c r="AP258" s="315"/>
      <c r="AQ258" s="155">
        <v>20</v>
      </c>
      <c r="AR258" s="154"/>
      <c r="AS258" s="154"/>
      <c r="AT258" s="259"/>
      <c r="AU258" s="259"/>
      <c r="AV258" s="80"/>
      <c r="AW258" s="150"/>
      <c r="AX258" s="152"/>
      <c r="AY258" s="153"/>
      <c r="AZ258" s="153"/>
      <c r="BA258" s="161"/>
      <c r="BB258" s="151" t="s">
        <v>89</v>
      </c>
      <c r="BC258" s="150"/>
      <c r="BD258" s="150"/>
      <c r="BE258" s="269"/>
      <c r="BF258" s="268"/>
      <c r="BG258" s="86"/>
      <c r="BH258" s="87"/>
      <c r="BI258" s="317"/>
      <c r="BJ258" s="145"/>
      <c r="BK258" s="160"/>
      <c r="BL258" s="36"/>
      <c r="BM258" s="36" t="str">
        <f>IF('[1]V1 V2'!X257="","",'[1]V1 V2'!X257)</f>
        <v/>
      </c>
    </row>
    <row r="259" spans="1:65" ht="16" thickBot="1" x14ac:dyDescent="0.4">
      <c r="A259">
        <v>1</v>
      </c>
      <c r="B259" s="310" t="s">
        <v>759</v>
      </c>
      <c r="C259" s="311"/>
      <c r="D259" s="312"/>
      <c r="E259" s="36" t="str">
        <f>VLOOKUP($B259,'[1]V1 V2'!$B$5:$BW$1894,74,0)</f>
        <v>C.F.18.B</v>
      </c>
      <c r="F259" s="144"/>
      <c r="G259" s="145"/>
      <c r="H259" s="317"/>
      <c r="I259" s="87">
        <v>-20</v>
      </c>
      <c r="J259" s="86">
        <v>0</v>
      </c>
      <c r="K259" s="268">
        <v>5.44</v>
      </c>
      <c r="L259" s="268">
        <v>5.44</v>
      </c>
      <c r="M259" s="150"/>
      <c r="N259" s="150" t="s">
        <v>596</v>
      </c>
      <c r="O259" s="151" t="s">
        <v>621</v>
      </c>
      <c r="P259" s="285" t="s">
        <v>737</v>
      </c>
      <c r="Q259" s="314" t="s">
        <v>655</v>
      </c>
      <c r="R259" s="161" t="s">
        <v>623</v>
      </c>
      <c r="S259" s="152">
        <v>1.77</v>
      </c>
      <c r="T259" s="150" t="s">
        <v>753</v>
      </c>
      <c r="U259" s="80"/>
      <c r="V259" s="259" t="s">
        <v>760</v>
      </c>
      <c r="W259" s="259" t="s">
        <v>761</v>
      </c>
      <c r="X259" s="154">
        <v>33312.389000000003</v>
      </c>
      <c r="Y259" s="154">
        <v>1492.6600000000003</v>
      </c>
      <c r="Z259" s="155"/>
      <c r="AA259" s="315" t="s">
        <v>759</v>
      </c>
      <c r="AB259" s="21" t="s">
        <v>2</v>
      </c>
      <c r="AH259" s="63">
        <v>1</v>
      </c>
      <c r="AO259" s="10" t="s">
        <v>3</v>
      </c>
      <c r="AP259" s="315" t="s">
        <v>762</v>
      </c>
      <c r="AQ259" s="155"/>
      <c r="AR259" s="154">
        <v>1493.56</v>
      </c>
      <c r="AS259" s="154">
        <f>AS257-AQ258</f>
        <v>33391.188999999991</v>
      </c>
      <c r="AT259" s="259" t="s">
        <v>763</v>
      </c>
      <c r="AU259" s="259" t="s">
        <v>764</v>
      </c>
      <c r="AV259" s="80"/>
      <c r="AW259" s="150" t="s">
        <v>753</v>
      </c>
      <c r="AX259" s="152">
        <v>1.77</v>
      </c>
      <c r="AY259" s="161" t="s">
        <v>623</v>
      </c>
      <c r="AZ259" s="314" t="s">
        <v>655</v>
      </c>
      <c r="BA259" s="285" t="s">
        <v>742</v>
      </c>
      <c r="BB259" s="151" t="s">
        <v>621</v>
      </c>
      <c r="BC259" s="150" t="s">
        <v>596</v>
      </c>
      <c r="BD259" s="150"/>
      <c r="BE259" s="268">
        <v>5.44</v>
      </c>
      <c r="BF259" s="268">
        <v>5.44</v>
      </c>
      <c r="BG259" s="86">
        <v>0</v>
      </c>
      <c r="BH259" s="87">
        <v>-20</v>
      </c>
      <c r="BI259" s="317"/>
      <c r="BJ259" s="145"/>
      <c r="BK259" s="160"/>
      <c r="BL259" s="36" t="str">
        <f>VLOOKUP($AP259,'[1]V1 V2'!$B$5:$BW$1894,74,0)</f>
        <v>C.F.18.B</v>
      </c>
      <c r="BM259" s="36" t="str">
        <f>IF('[1]V1 V2'!X258="","",'[1]V1 V2'!X258)</f>
        <v/>
      </c>
    </row>
    <row r="260" spans="1:65" ht="16" thickBot="1" x14ac:dyDescent="0.4">
      <c r="A260">
        <v>1</v>
      </c>
      <c r="B260" s="310"/>
      <c r="C260" s="311"/>
      <c r="D260" s="312"/>
      <c r="E260" s="36"/>
      <c r="F260" s="144"/>
      <c r="G260" s="145"/>
      <c r="H260" s="317"/>
      <c r="I260" s="87"/>
      <c r="J260" s="86"/>
      <c r="K260" s="268"/>
      <c r="L260" s="269"/>
      <c r="M260" s="149"/>
      <c r="N260" s="149"/>
      <c r="O260" s="157" t="s">
        <v>89</v>
      </c>
      <c r="P260" s="161"/>
      <c r="Q260" s="161" t="s">
        <v>89</v>
      </c>
      <c r="R260" s="153"/>
      <c r="S260" s="152"/>
      <c r="T260" s="150"/>
      <c r="U260" s="80"/>
      <c r="V260" s="154" t="s">
        <v>89</v>
      </c>
      <c r="W260" s="154" t="s">
        <v>89</v>
      </c>
      <c r="X260" s="253"/>
      <c r="Y260" s="154"/>
      <c r="Z260" s="155">
        <v>20</v>
      </c>
      <c r="AA260" s="315"/>
      <c r="AB260" s="21" t="s">
        <v>2</v>
      </c>
      <c r="AH260" s="63">
        <v>1</v>
      </c>
      <c r="AO260" s="10" t="s">
        <v>3</v>
      </c>
      <c r="AP260" s="315"/>
      <c r="AQ260" s="155">
        <v>20</v>
      </c>
      <c r="AR260" s="154"/>
      <c r="AS260" s="154"/>
      <c r="AT260" s="259"/>
      <c r="AU260" s="259"/>
      <c r="AV260" s="80"/>
      <c r="AW260" s="150"/>
      <c r="AX260" s="152"/>
      <c r="AY260" s="153"/>
      <c r="AZ260" s="153"/>
      <c r="BA260" s="161"/>
      <c r="BB260" s="157" t="s">
        <v>89</v>
      </c>
      <c r="BC260" s="149"/>
      <c r="BD260" s="149"/>
      <c r="BE260" s="269"/>
      <c r="BF260" s="268"/>
      <c r="BG260" s="86"/>
      <c r="BH260" s="87"/>
      <c r="BI260" s="318"/>
      <c r="BJ260" s="145"/>
      <c r="BK260" s="160"/>
      <c r="BL260" s="36"/>
      <c r="BM260" s="36" t="str">
        <f>IF('[1]V1 V2'!X259="","",'[1]V1 V2'!X259)</f>
        <v/>
      </c>
    </row>
    <row r="261" spans="1:65" ht="16" thickBot="1" x14ac:dyDescent="0.4">
      <c r="A261">
        <v>1</v>
      </c>
      <c r="B261" s="310" t="s">
        <v>765</v>
      </c>
      <c r="C261" s="311"/>
      <c r="D261" s="312"/>
      <c r="E261" s="36" t="str">
        <f>VLOOKUP($B261,'[1]V1 V2'!$B$5:$BW$1894,74,0)</f>
        <v>C.F.18.A</v>
      </c>
      <c r="F261" s="144"/>
      <c r="G261" s="145" t="s">
        <v>736</v>
      </c>
      <c r="H261" s="317"/>
      <c r="I261" s="87">
        <v>0</v>
      </c>
      <c r="J261" s="86" t="s">
        <v>127</v>
      </c>
      <c r="K261" s="268">
        <v>5.5</v>
      </c>
      <c r="L261" s="268">
        <v>5.44</v>
      </c>
      <c r="M261" s="150"/>
      <c r="N261" s="150" t="s">
        <v>596</v>
      </c>
      <c r="O261" s="157" t="s">
        <v>621</v>
      </c>
      <c r="P261" s="285" t="s">
        <v>737</v>
      </c>
      <c r="Q261" s="314" t="s">
        <v>655</v>
      </c>
      <c r="R261" s="161" t="s">
        <v>623</v>
      </c>
      <c r="S261" s="152">
        <v>1.77</v>
      </c>
      <c r="T261" s="150" t="s">
        <v>746</v>
      </c>
      <c r="U261" s="80"/>
      <c r="V261" s="259" t="s">
        <v>766</v>
      </c>
      <c r="W261" s="259" t="s">
        <v>767</v>
      </c>
      <c r="X261" s="154">
        <v>33292.389000000003</v>
      </c>
      <c r="Y261" s="154">
        <v>1512.6600000000003</v>
      </c>
      <c r="Z261" s="155"/>
      <c r="AA261" s="315" t="s">
        <v>765</v>
      </c>
      <c r="AB261" s="21" t="s">
        <v>2</v>
      </c>
      <c r="AH261" s="63">
        <v>1</v>
      </c>
      <c r="AO261" s="10" t="s">
        <v>3</v>
      </c>
      <c r="AP261" s="315" t="s">
        <v>768</v>
      </c>
      <c r="AQ261" s="155"/>
      <c r="AR261" s="154">
        <v>1513.56</v>
      </c>
      <c r="AS261" s="154">
        <f>AS259-AQ260</f>
        <v>33371.188999999991</v>
      </c>
      <c r="AT261" s="259" t="s">
        <v>769</v>
      </c>
      <c r="AU261" s="259" t="s">
        <v>770</v>
      </c>
      <c r="AV261" s="80"/>
      <c r="AW261" s="150" t="s">
        <v>746</v>
      </c>
      <c r="AX261" s="152">
        <v>1.77</v>
      </c>
      <c r="AY261" s="161" t="s">
        <v>623</v>
      </c>
      <c r="AZ261" s="314" t="s">
        <v>655</v>
      </c>
      <c r="BA261" s="285" t="s">
        <v>742</v>
      </c>
      <c r="BB261" s="157" t="s">
        <v>621</v>
      </c>
      <c r="BC261" s="150" t="s">
        <v>596</v>
      </c>
      <c r="BD261" s="150"/>
      <c r="BE261" s="268">
        <v>5.44</v>
      </c>
      <c r="BF261" s="268">
        <v>5.5</v>
      </c>
      <c r="BG261" s="86" t="s">
        <v>127</v>
      </c>
      <c r="BH261" s="87">
        <v>0</v>
      </c>
      <c r="BI261" s="317"/>
      <c r="BJ261" s="148" t="s">
        <v>736</v>
      </c>
      <c r="BK261" s="160"/>
      <c r="BL261" s="36" t="str">
        <f>VLOOKUP($AP261,'[1]V1 V2'!$B$5:$BW$1894,74,0)</f>
        <v>C.F.18.A</v>
      </c>
      <c r="BM261" s="36" t="str">
        <f>IF('[1]V1 V2'!X260="","",'[1]V1 V2'!X260)</f>
        <v/>
      </c>
    </row>
    <row r="262" spans="1:65" ht="16" thickBot="1" x14ac:dyDescent="0.4">
      <c r="A262">
        <v>1</v>
      </c>
      <c r="B262" s="310"/>
      <c r="C262" s="311"/>
      <c r="D262" s="312"/>
      <c r="E262" s="36"/>
      <c r="F262" s="144"/>
      <c r="G262" s="145"/>
      <c r="H262" s="317" t="s">
        <v>771</v>
      </c>
      <c r="I262" s="87"/>
      <c r="J262" s="86"/>
      <c r="K262" s="268"/>
      <c r="L262" s="269"/>
      <c r="M262" s="150"/>
      <c r="N262" s="150"/>
      <c r="O262" s="151" t="s">
        <v>89</v>
      </c>
      <c r="P262" s="161"/>
      <c r="Q262" s="161" t="s">
        <v>89</v>
      </c>
      <c r="R262" s="153"/>
      <c r="S262" s="152"/>
      <c r="T262" s="150"/>
      <c r="U262" s="80"/>
      <c r="V262" s="154" t="s">
        <v>89</v>
      </c>
      <c r="W262" s="154" t="s">
        <v>89</v>
      </c>
      <c r="X262" s="253"/>
      <c r="Y262" s="154"/>
      <c r="Z262" s="155">
        <v>20</v>
      </c>
      <c r="AA262" s="315"/>
      <c r="AB262" s="21" t="s">
        <v>2</v>
      </c>
      <c r="AH262" s="63">
        <v>1</v>
      </c>
      <c r="AO262" s="10" t="s">
        <v>3</v>
      </c>
      <c r="AP262" s="315"/>
      <c r="AQ262" s="155">
        <v>20</v>
      </c>
      <c r="AR262" s="154"/>
      <c r="AS262" s="154"/>
      <c r="AT262" s="259"/>
      <c r="AU262" s="259"/>
      <c r="AV262" s="80"/>
      <c r="AW262" s="150"/>
      <c r="AX262" s="152"/>
      <c r="AY262" s="153"/>
      <c r="AZ262" s="161"/>
      <c r="BA262" s="161"/>
      <c r="BB262" s="151" t="s">
        <v>89</v>
      </c>
      <c r="BC262" s="150"/>
      <c r="BD262" s="150"/>
      <c r="BE262" s="269"/>
      <c r="BF262" s="268"/>
      <c r="BG262" s="86"/>
      <c r="BH262" s="87"/>
      <c r="BI262" s="317" t="s">
        <v>772</v>
      </c>
      <c r="BJ262" s="148"/>
      <c r="BK262" s="160"/>
      <c r="BL262" s="36"/>
      <c r="BM262" s="36" t="str">
        <f>IF('[1]V1 V2'!X261="","",'[1]V1 V2'!X261)</f>
        <v/>
      </c>
    </row>
    <row r="263" spans="1:65" ht="16" thickBot="1" x14ac:dyDescent="0.4">
      <c r="A263">
        <v>1</v>
      </c>
      <c r="B263" s="310" t="s">
        <v>773</v>
      </c>
      <c r="C263" s="311"/>
      <c r="D263" s="312"/>
      <c r="E263" s="36" t="str">
        <f>VLOOKUP($B263,'[1]V1 V2'!$B$5:$BW$1894,74,0)</f>
        <v>C.F.1</v>
      </c>
      <c r="F263" s="144"/>
      <c r="G263" s="145" t="s">
        <v>736</v>
      </c>
      <c r="H263" s="98"/>
      <c r="I263" s="257"/>
      <c r="J263" s="158" t="s">
        <v>774</v>
      </c>
      <c r="K263" s="268">
        <v>5.62</v>
      </c>
      <c r="L263" s="268">
        <v>5.5</v>
      </c>
      <c r="M263" s="150"/>
      <c r="N263" s="150"/>
      <c r="O263" s="151" t="s">
        <v>621</v>
      </c>
      <c r="P263" s="285" t="s">
        <v>737</v>
      </c>
      <c r="Q263" s="314" t="s">
        <v>655</v>
      </c>
      <c r="R263" s="161" t="s">
        <v>623</v>
      </c>
      <c r="S263" s="152">
        <v>1.77</v>
      </c>
      <c r="T263" s="150" t="s">
        <v>585</v>
      </c>
      <c r="U263" s="80"/>
      <c r="V263" s="259" t="s">
        <v>775</v>
      </c>
      <c r="W263" s="259" t="s">
        <v>776</v>
      </c>
      <c r="X263" s="154">
        <v>33272.389000000003</v>
      </c>
      <c r="Y263" s="154">
        <v>1532.6600000000003</v>
      </c>
      <c r="Z263" s="155"/>
      <c r="AA263" s="315" t="s">
        <v>773</v>
      </c>
      <c r="AB263" s="21" t="s">
        <v>2</v>
      </c>
      <c r="AH263" s="63">
        <v>1</v>
      </c>
      <c r="AO263" s="10" t="s">
        <v>3</v>
      </c>
      <c r="AP263" s="315" t="s">
        <v>777</v>
      </c>
      <c r="AQ263" s="155"/>
      <c r="AR263" s="154">
        <v>1533.56</v>
      </c>
      <c r="AS263" s="154">
        <f>AS261-AQ262</f>
        <v>33351.188999999991</v>
      </c>
      <c r="AT263" s="259" t="s">
        <v>778</v>
      </c>
      <c r="AU263" s="259" t="s">
        <v>779</v>
      </c>
      <c r="AV263" s="80"/>
      <c r="AW263" s="150" t="s">
        <v>585</v>
      </c>
      <c r="AX263" s="152">
        <v>1.77</v>
      </c>
      <c r="AY263" s="161" t="s">
        <v>623</v>
      </c>
      <c r="AZ263" s="314" t="s">
        <v>655</v>
      </c>
      <c r="BA263" s="285" t="s">
        <v>742</v>
      </c>
      <c r="BB263" s="151" t="s">
        <v>621</v>
      </c>
      <c r="BC263" s="150"/>
      <c r="BD263" s="150"/>
      <c r="BE263" s="268">
        <v>5.5</v>
      </c>
      <c r="BF263" s="268">
        <v>5.62</v>
      </c>
      <c r="BG263" s="319" t="s">
        <v>774</v>
      </c>
      <c r="BH263" s="320"/>
      <c r="BI263" s="317"/>
      <c r="BJ263" s="148" t="s">
        <v>736</v>
      </c>
      <c r="BK263" s="160"/>
      <c r="BL263" s="36" t="str">
        <f>VLOOKUP($AP263,'[1]V1 V2'!$B$5:$BW$1894,74,0)</f>
        <v>C.F.1</v>
      </c>
      <c r="BM263" s="36" t="str">
        <f>IF('[1]V1 V2'!X262="","",'[1]V1 V2'!X262)</f>
        <v/>
      </c>
    </row>
    <row r="264" spans="1:65" ht="16" thickBot="1" x14ac:dyDescent="0.4">
      <c r="A264">
        <v>1</v>
      </c>
      <c r="B264" s="304"/>
      <c r="C264" s="305"/>
      <c r="D264" s="306"/>
      <c r="E264" s="36"/>
      <c r="F264" s="168"/>
      <c r="G264" s="169"/>
      <c r="H264" s="170"/>
      <c r="I264" s="57"/>
      <c r="J264" s="56"/>
      <c r="K264" s="171"/>
      <c r="L264" s="142"/>
      <c r="M264" s="172"/>
      <c r="N264" s="173"/>
      <c r="O264" s="174" t="s">
        <v>89</v>
      </c>
      <c r="P264" s="221"/>
      <c r="Q264" s="221" t="s">
        <v>89</v>
      </c>
      <c r="R264" s="182"/>
      <c r="S264" s="175"/>
      <c r="T264" s="173"/>
      <c r="U264" s="62"/>
      <c r="V264" s="177" t="s">
        <v>89</v>
      </c>
      <c r="W264" s="177" t="s">
        <v>89</v>
      </c>
      <c r="X264" s="230"/>
      <c r="Y264" s="177"/>
      <c r="Z264" s="178">
        <v>20</v>
      </c>
      <c r="AA264" s="297"/>
      <c r="AB264" s="21" t="s">
        <v>2</v>
      </c>
      <c r="AH264" s="63">
        <v>1</v>
      </c>
      <c r="AO264" s="10" t="s">
        <v>3</v>
      </c>
      <c r="AP264" s="297"/>
      <c r="AQ264" s="178">
        <v>20</v>
      </c>
      <c r="AR264" s="177"/>
      <c r="AS264" s="222"/>
      <c r="AT264" s="298"/>
      <c r="AU264" s="298"/>
      <c r="AV264" s="62"/>
      <c r="AW264" s="173"/>
      <c r="AX264" s="175"/>
      <c r="AY264" s="182"/>
      <c r="AZ264" s="223"/>
      <c r="BA264" s="176"/>
      <c r="BB264" s="180" t="s">
        <v>89</v>
      </c>
      <c r="BC264" s="172"/>
      <c r="BD264" s="172"/>
      <c r="BE264" s="269"/>
      <c r="BF264" s="171"/>
      <c r="BG264" s="56"/>
      <c r="BH264" s="57"/>
      <c r="BI264" s="321"/>
      <c r="BJ264" s="169"/>
      <c r="BK264" s="181"/>
      <c r="BL264" s="36"/>
      <c r="BM264" s="36" t="str">
        <f>IF('[1]V1 V2'!X263="","",'[1]V1 V2'!X263)</f>
        <v/>
      </c>
    </row>
    <row r="265" spans="1:65" ht="16" thickBot="1" x14ac:dyDescent="0.4">
      <c r="A265">
        <v>1</v>
      </c>
      <c r="B265" s="304" t="s">
        <v>780</v>
      </c>
      <c r="C265" s="305"/>
      <c r="D265" s="306"/>
      <c r="E265" s="36" t="str">
        <f>VLOOKUP($B265,'[1]V1 V2'!$B$5:$BW$1894,74,0)</f>
        <v>C.F.1</v>
      </c>
      <c r="F265" s="168"/>
      <c r="G265" s="169"/>
      <c r="H265" s="170"/>
      <c r="I265" s="57"/>
      <c r="J265" s="56" t="s">
        <v>127</v>
      </c>
      <c r="K265" s="171"/>
      <c r="L265" s="268">
        <v>5.56</v>
      </c>
      <c r="M265" s="172"/>
      <c r="N265" s="173"/>
      <c r="O265" s="174" t="s">
        <v>621</v>
      </c>
      <c r="P265" s="285" t="s">
        <v>670</v>
      </c>
      <c r="Q265" s="288" t="s">
        <v>655</v>
      </c>
      <c r="R265" s="176" t="s">
        <v>623</v>
      </c>
      <c r="S265" s="175">
        <v>1.77</v>
      </c>
      <c r="T265" s="173" t="s">
        <v>30</v>
      </c>
      <c r="U265" s="62"/>
      <c r="V265" s="298" t="s">
        <v>781</v>
      </c>
      <c r="W265" s="298" t="s">
        <v>782</v>
      </c>
      <c r="X265" s="177">
        <v>33252.389000000003</v>
      </c>
      <c r="Y265" s="177">
        <v>1552.6600000000003</v>
      </c>
      <c r="Z265" s="178"/>
      <c r="AA265" s="297" t="s">
        <v>780</v>
      </c>
      <c r="AB265" s="21" t="s">
        <v>2</v>
      </c>
      <c r="AH265" s="63">
        <v>1</v>
      </c>
      <c r="AO265" s="10" t="s">
        <v>3</v>
      </c>
      <c r="AP265" s="297" t="s">
        <v>783</v>
      </c>
      <c r="AQ265" s="178"/>
      <c r="AR265" s="177">
        <v>1553.56</v>
      </c>
      <c r="AS265" s="222">
        <f>AS263-AQ264</f>
        <v>33331.188999999991</v>
      </c>
      <c r="AT265" s="298" t="s">
        <v>784</v>
      </c>
      <c r="AU265" s="298" t="s">
        <v>785</v>
      </c>
      <c r="AV265" s="62"/>
      <c r="AW265" s="173" t="s">
        <v>30</v>
      </c>
      <c r="AX265" s="175">
        <v>1.77</v>
      </c>
      <c r="AY265" s="176" t="s">
        <v>623</v>
      </c>
      <c r="AZ265" s="288" t="s">
        <v>655</v>
      </c>
      <c r="BA265" s="285" t="s">
        <v>670</v>
      </c>
      <c r="BB265" s="180" t="s">
        <v>621</v>
      </c>
      <c r="BC265" s="172"/>
      <c r="BD265" s="172"/>
      <c r="BE265" s="268">
        <v>5.56</v>
      </c>
      <c r="BF265" s="171"/>
      <c r="BG265" s="183" t="s">
        <v>127</v>
      </c>
      <c r="BH265" s="57"/>
      <c r="BI265" s="170"/>
      <c r="BJ265" s="169"/>
      <c r="BK265" s="181"/>
      <c r="BL265" s="36" t="str">
        <f>VLOOKUP($AP265,'[1]V1 V2'!$B$5:$BW$1894,74,0)</f>
        <v>C.F.1</v>
      </c>
      <c r="BM265" s="36" t="str">
        <f>IF('[1]V1 V2'!X264="","",'[1]V1 V2'!X264)</f>
        <v/>
      </c>
    </row>
    <row r="266" spans="1:65" ht="16" thickBot="1" x14ac:dyDescent="0.4">
      <c r="A266">
        <v>1</v>
      </c>
      <c r="B266" s="304"/>
      <c r="C266" s="305"/>
      <c r="D266" s="306"/>
      <c r="E266" s="36"/>
      <c r="F266" s="168"/>
      <c r="G266" s="169"/>
      <c r="H266" s="170"/>
      <c r="I266" s="57"/>
      <c r="J266" s="56"/>
      <c r="K266" s="171"/>
      <c r="L266" s="142"/>
      <c r="M266" s="172"/>
      <c r="N266" s="173"/>
      <c r="O266" s="174" t="s">
        <v>89</v>
      </c>
      <c r="P266" s="223"/>
      <c r="Q266" s="221" t="s">
        <v>89</v>
      </c>
      <c r="R266" s="182"/>
      <c r="S266" s="175"/>
      <c r="T266" s="173"/>
      <c r="U266" s="62"/>
      <c r="V266" s="177" t="s">
        <v>89</v>
      </c>
      <c r="W266" s="177" t="s">
        <v>89</v>
      </c>
      <c r="X266" s="230"/>
      <c r="Y266" s="177"/>
      <c r="Z266" s="178">
        <v>20</v>
      </c>
      <c r="AA266" s="297"/>
      <c r="AB266" s="21" t="s">
        <v>2</v>
      </c>
      <c r="AH266" s="63">
        <v>1</v>
      </c>
      <c r="AO266" s="10" t="s">
        <v>3</v>
      </c>
      <c r="AP266" s="297"/>
      <c r="AQ266" s="178">
        <v>20</v>
      </c>
      <c r="AR266" s="177"/>
      <c r="AS266" s="222"/>
      <c r="AT266" s="298"/>
      <c r="AU266" s="298"/>
      <c r="AV266" s="62"/>
      <c r="AW266" s="173"/>
      <c r="AX266" s="175"/>
      <c r="AY266" s="182"/>
      <c r="AZ266" s="223"/>
      <c r="BA266" s="223"/>
      <c r="BB266" s="180" t="s">
        <v>89</v>
      </c>
      <c r="BC266" s="172"/>
      <c r="BD266" s="172"/>
      <c r="BE266" s="142"/>
      <c r="BF266" s="171"/>
      <c r="BG266" s="56"/>
      <c r="BH266" s="57"/>
      <c r="BI266" s="170"/>
      <c r="BJ266" s="169"/>
      <c r="BK266" s="181"/>
      <c r="BL266" s="36"/>
      <c r="BM266" s="36" t="str">
        <f>IF('[1]V1 V2'!X265="","",'[1]V1 V2'!X265)</f>
        <v/>
      </c>
    </row>
    <row r="267" spans="1:65" ht="16" thickBot="1" x14ac:dyDescent="0.4">
      <c r="A267">
        <v>1</v>
      </c>
      <c r="B267" s="304" t="s">
        <v>786</v>
      </c>
      <c r="C267" s="305"/>
      <c r="D267" s="306"/>
      <c r="E267" s="36" t="str">
        <f>VLOOKUP($B267,'[1]V1 V2'!$B$5:$BW$1894,74,0)</f>
        <v>C.F.2</v>
      </c>
      <c r="F267" s="168"/>
      <c r="G267" s="169"/>
      <c r="H267" s="170"/>
      <c r="I267" s="57"/>
      <c r="J267" s="56">
        <v>-20</v>
      </c>
      <c r="K267" s="171"/>
      <c r="L267" s="171">
        <v>5.6</v>
      </c>
      <c r="M267" s="172"/>
      <c r="N267" s="173"/>
      <c r="O267" s="174" t="s">
        <v>621</v>
      </c>
      <c r="P267" s="285" t="s">
        <v>670</v>
      </c>
      <c r="Q267" s="288" t="s">
        <v>655</v>
      </c>
      <c r="R267" s="176" t="s">
        <v>623</v>
      </c>
      <c r="S267" s="175">
        <v>1.77</v>
      </c>
      <c r="T267" s="173" t="s">
        <v>30</v>
      </c>
      <c r="U267" s="62"/>
      <c r="V267" s="298" t="s">
        <v>787</v>
      </c>
      <c r="W267" s="298" t="s">
        <v>788</v>
      </c>
      <c r="X267" s="177">
        <v>33232.389000000003</v>
      </c>
      <c r="Y267" s="177">
        <v>1572.6600000000003</v>
      </c>
      <c r="Z267" s="178"/>
      <c r="AA267" s="297" t="s">
        <v>786</v>
      </c>
      <c r="AB267" s="21" t="s">
        <v>2</v>
      </c>
      <c r="AH267" s="63">
        <v>1</v>
      </c>
      <c r="AO267" s="10" t="s">
        <v>3</v>
      </c>
      <c r="AP267" s="297" t="s">
        <v>789</v>
      </c>
      <c r="AQ267" s="178"/>
      <c r="AR267" s="177">
        <v>1573.56</v>
      </c>
      <c r="AS267" s="222">
        <f>AS265-AQ266</f>
        <v>33311.188999999991</v>
      </c>
      <c r="AT267" s="298" t="s">
        <v>790</v>
      </c>
      <c r="AU267" s="298" t="s">
        <v>791</v>
      </c>
      <c r="AV267" s="62"/>
      <c r="AW267" s="173" t="s">
        <v>30</v>
      </c>
      <c r="AX267" s="175">
        <v>1.77</v>
      </c>
      <c r="AY267" s="176" t="s">
        <v>623</v>
      </c>
      <c r="AZ267" s="288" t="s">
        <v>655</v>
      </c>
      <c r="BA267" s="285" t="s">
        <v>670</v>
      </c>
      <c r="BB267" s="180" t="s">
        <v>621</v>
      </c>
      <c r="BC267" s="172"/>
      <c r="BD267" s="172"/>
      <c r="BE267" s="171">
        <v>5.6</v>
      </c>
      <c r="BF267" s="171"/>
      <c r="BG267" s="56">
        <v>-20</v>
      </c>
      <c r="BH267" s="57"/>
      <c r="BI267" s="170"/>
      <c r="BJ267" s="169"/>
      <c r="BK267" s="181"/>
      <c r="BL267" s="36" t="str">
        <f>VLOOKUP($AP267,'[1]V1 V2'!$B$5:$BW$1894,74,0)</f>
        <v>C.F.2</v>
      </c>
      <c r="BM267" s="36" t="str">
        <f>IF('[1]V1 V2'!X266="","",'[1]V1 V2'!X266)</f>
        <v/>
      </c>
    </row>
    <row r="268" spans="1:65" ht="16" thickBot="1" x14ac:dyDescent="0.4">
      <c r="A268">
        <v>1</v>
      </c>
      <c r="B268" s="304"/>
      <c r="C268" s="305"/>
      <c r="D268" s="307" t="s">
        <v>720</v>
      </c>
      <c r="E268" s="36"/>
      <c r="F268" s="168"/>
      <c r="G268" s="169"/>
      <c r="H268" s="170"/>
      <c r="I268" s="57"/>
      <c r="J268" s="56"/>
      <c r="K268" s="171"/>
      <c r="L268" s="142"/>
      <c r="M268" s="172"/>
      <c r="N268" s="173"/>
      <c r="O268" s="174" t="s">
        <v>89</v>
      </c>
      <c r="P268" s="221"/>
      <c r="Q268" s="221" t="s">
        <v>89</v>
      </c>
      <c r="R268" s="182"/>
      <c r="S268" s="175"/>
      <c r="T268" s="173"/>
      <c r="U268" s="62"/>
      <c r="V268" s="177" t="s">
        <v>89</v>
      </c>
      <c r="W268" s="177" t="s">
        <v>89</v>
      </c>
      <c r="X268" s="230"/>
      <c r="Y268" s="177"/>
      <c r="Z268" s="178">
        <v>20</v>
      </c>
      <c r="AA268" s="297"/>
      <c r="AB268" s="21" t="s">
        <v>2</v>
      </c>
      <c r="AH268" s="63">
        <v>1</v>
      </c>
      <c r="AO268" s="10" t="s">
        <v>3</v>
      </c>
      <c r="AP268" s="297"/>
      <c r="AQ268" s="178">
        <v>20</v>
      </c>
      <c r="AR268" s="177"/>
      <c r="AS268" s="222"/>
      <c r="AT268" s="298"/>
      <c r="AU268" s="298"/>
      <c r="AV268" s="62"/>
      <c r="AW268" s="173"/>
      <c r="AX268" s="175"/>
      <c r="AY268" s="182"/>
      <c r="AZ268" s="221"/>
      <c r="BA268" s="221"/>
      <c r="BB268" s="180" t="s">
        <v>89</v>
      </c>
      <c r="BC268" s="172"/>
      <c r="BD268" s="172"/>
      <c r="BE268" s="142"/>
      <c r="BF268" s="171"/>
      <c r="BG268" s="56"/>
      <c r="BH268" s="57"/>
      <c r="BI268" s="170"/>
      <c r="BJ268" s="169"/>
      <c r="BK268" s="181"/>
      <c r="BL268" s="36"/>
      <c r="BM268" s="308" t="str">
        <f>IF('[1]V1 V2'!X267="","",'[1]V1 V2'!X267)</f>
        <v>1PEAD D110mm ou 2PEAD D63mm+ 1PEAD 32mm</v>
      </c>
    </row>
    <row r="269" spans="1:65" ht="16" thickBot="1" x14ac:dyDescent="0.4">
      <c r="A269">
        <v>1</v>
      </c>
      <c r="B269" s="304" t="s">
        <v>792</v>
      </c>
      <c r="C269" s="305"/>
      <c r="D269" s="309" t="s">
        <v>722</v>
      </c>
      <c r="E269" s="36" t="str">
        <f>VLOOKUP($B269,'[1]V1 V2'!$B$5:$BW$1894,74,0)</f>
        <v>C.F.1</v>
      </c>
      <c r="F269" s="168"/>
      <c r="G269" s="169"/>
      <c r="H269" s="170"/>
      <c r="I269" s="57"/>
      <c r="J269" s="56" t="s">
        <v>127</v>
      </c>
      <c r="K269" s="171"/>
      <c r="L269" s="171">
        <v>5.6</v>
      </c>
      <c r="M269" s="172"/>
      <c r="N269" s="173"/>
      <c r="O269" s="174" t="s">
        <v>621</v>
      </c>
      <c r="P269" s="285" t="s">
        <v>670</v>
      </c>
      <c r="Q269" s="288" t="s">
        <v>655</v>
      </c>
      <c r="R269" s="176" t="s">
        <v>623</v>
      </c>
      <c r="S269" s="175">
        <v>1.77</v>
      </c>
      <c r="T269" s="173" t="s">
        <v>30</v>
      </c>
      <c r="U269" s="62"/>
      <c r="V269" s="298" t="s">
        <v>793</v>
      </c>
      <c r="W269" s="298" t="s">
        <v>794</v>
      </c>
      <c r="X269" s="177">
        <v>33212.389000000003</v>
      </c>
      <c r="Y269" s="177">
        <v>1592.6600000000003</v>
      </c>
      <c r="Z269" s="178"/>
      <c r="AA269" s="297" t="s">
        <v>792</v>
      </c>
      <c r="AB269" s="21" t="s">
        <v>2</v>
      </c>
      <c r="AH269" s="63">
        <v>1</v>
      </c>
      <c r="AO269" s="10" t="s">
        <v>3</v>
      </c>
      <c r="AP269" s="297" t="s">
        <v>795</v>
      </c>
      <c r="AQ269" s="178"/>
      <c r="AR269" s="177">
        <v>1593.56</v>
      </c>
      <c r="AS269" s="222">
        <f>AS267-AQ268</f>
        <v>33291.188999999991</v>
      </c>
      <c r="AT269" s="298" t="s">
        <v>796</v>
      </c>
      <c r="AU269" s="298" t="s">
        <v>797</v>
      </c>
      <c r="AV269" s="62"/>
      <c r="AW269" s="173" t="s">
        <v>30</v>
      </c>
      <c r="AX269" s="175">
        <v>1.77</v>
      </c>
      <c r="AY269" s="176" t="s">
        <v>623</v>
      </c>
      <c r="AZ269" s="288" t="s">
        <v>655</v>
      </c>
      <c r="BA269" s="285" t="s">
        <v>670</v>
      </c>
      <c r="BB269" s="180" t="s">
        <v>621</v>
      </c>
      <c r="BC269" s="172"/>
      <c r="BD269" s="172"/>
      <c r="BE269" s="171">
        <v>5.6</v>
      </c>
      <c r="BF269" s="171"/>
      <c r="BG269" s="183" t="s">
        <v>127</v>
      </c>
      <c r="BH269" s="57"/>
      <c r="BI269" s="170"/>
      <c r="BJ269" s="169"/>
      <c r="BK269" s="181"/>
      <c r="BL269" s="36" t="str">
        <f>VLOOKUP($AP269,'[1]V1 V2'!$B$5:$BW$1894,74,0)</f>
        <v>C.F.1</v>
      </c>
      <c r="BM269" s="202" t="str">
        <f>IF('[1]V1 V2'!X268="","",'[1]V1 V2'!X268)</f>
        <v>FR</v>
      </c>
    </row>
    <row r="270" spans="1:65" ht="16" thickBot="1" x14ac:dyDescent="0.4">
      <c r="A270">
        <v>1</v>
      </c>
      <c r="B270" s="304"/>
      <c r="C270" s="305"/>
      <c r="D270" s="307" t="s">
        <v>728</v>
      </c>
      <c r="E270" s="36"/>
      <c r="F270" s="168"/>
      <c r="G270" s="169"/>
      <c r="H270" s="170"/>
      <c r="I270" s="57"/>
      <c r="J270" s="56"/>
      <c r="K270" s="171"/>
      <c r="L270" s="142"/>
      <c r="M270" s="172"/>
      <c r="N270" s="173"/>
      <c r="O270" s="174" t="s">
        <v>89</v>
      </c>
      <c r="P270" s="223"/>
      <c r="Q270" s="221" t="s">
        <v>89</v>
      </c>
      <c r="R270" s="182"/>
      <c r="S270" s="175"/>
      <c r="T270" s="173"/>
      <c r="U270" s="62"/>
      <c r="V270" s="177" t="s">
        <v>89</v>
      </c>
      <c r="W270" s="177" t="s">
        <v>89</v>
      </c>
      <c r="X270" s="230"/>
      <c r="Y270" s="177"/>
      <c r="Z270" s="178">
        <v>20</v>
      </c>
      <c r="AA270" s="297"/>
      <c r="AB270" s="21" t="s">
        <v>2</v>
      </c>
      <c r="AH270" s="63">
        <v>1</v>
      </c>
      <c r="AO270" s="10" t="s">
        <v>3</v>
      </c>
      <c r="AP270" s="297"/>
      <c r="AQ270" s="178">
        <v>20</v>
      </c>
      <c r="AR270" s="177"/>
      <c r="AS270" s="222"/>
      <c r="AT270" s="298"/>
      <c r="AU270" s="298"/>
      <c r="AV270" s="62"/>
      <c r="AW270" s="173"/>
      <c r="AX270" s="175"/>
      <c r="AY270" s="182"/>
      <c r="AZ270" s="223"/>
      <c r="BA270" s="223"/>
      <c r="BB270" s="180" t="s">
        <v>89</v>
      </c>
      <c r="BC270" s="172"/>
      <c r="BD270" s="172"/>
      <c r="BE270" s="142"/>
      <c r="BF270" s="171"/>
      <c r="BG270" s="56"/>
      <c r="BH270" s="57"/>
      <c r="BI270" s="170"/>
      <c r="BJ270" s="169"/>
      <c r="BK270" s="181"/>
      <c r="BL270" s="36"/>
      <c r="BM270" s="308" t="str">
        <f>IF('[1]V1 V2'!X269="","",'[1]V1 V2'!X269)</f>
        <v>1PEAD D110mm ou 2PEAD D63mm</v>
      </c>
    </row>
    <row r="271" spans="1:65" ht="16" thickBot="1" x14ac:dyDescent="0.4">
      <c r="A271">
        <v>1</v>
      </c>
      <c r="B271" s="304" t="s">
        <v>798</v>
      </c>
      <c r="C271" s="305"/>
      <c r="D271" s="306"/>
      <c r="E271" s="36" t="str">
        <f>VLOOKUP($B271,'[1]V1 V2'!$B$5:$BW$1894,74,0)</f>
        <v>C.F.2</v>
      </c>
      <c r="F271" s="168"/>
      <c r="G271" s="169"/>
      <c r="H271" s="170"/>
      <c r="I271" s="57"/>
      <c r="J271" s="56" t="s">
        <v>774</v>
      </c>
      <c r="K271" s="171"/>
      <c r="L271" s="171">
        <v>5.6</v>
      </c>
      <c r="M271" s="172"/>
      <c r="N271" s="173"/>
      <c r="O271" s="174" t="s">
        <v>621</v>
      </c>
      <c r="P271" s="285" t="s">
        <v>670</v>
      </c>
      <c r="Q271" s="288" t="s">
        <v>655</v>
      </c>
      <c r="R271" s="176" t="s">
        <v>623</v>
      </c>
      <c r="S271" s="175">
        <v>1.77</v>
      </c>
      <c r="T271" s="173" t="s">
        <v>30</v>
      </c>
      <c r="U271" s="62"/>
      <c r="V271" s="298" t="s">
        <v>799</v>
      </c>
      <c r="W271" s="298" t="s">
        <v>800</v>
      </c>
      <c r="X271" s="177">
        <v>33192.389000000003</v>
      </c>
      <c r="Y271" s="177">
        <v>1612.6600000000003</v>
      </c>
      <c r="Z271" s="178"/>
      <c r="AA271" s="297" t="s">
        <v>798</v>
      </c>
      <c r="AB271" s="21" t="s">
        <v>2</v>
      </c>
      <c r="AH271" s="63">
        <v>1</v>
      </c>
      <c r="AO271" s="10" t="s">
        <v>3</v>
      </c>
      <c r="AP271" s="297" t="s">
        <v>801</v>
      </c>
      <c r="AQ271" s="178"/>
      <c r="AR271" s="177">
        <v>1613.56</v>
      </c>
      <c r="AS271" s="222">
        <f>AS269-AQ270</f>
        <v>33271.188999999991</v>
      </c>
      <c r="AT271" s="298" t="s">
        <v>802</v>
      </c>
      <c r="AU271" s="298" t="s">
        <v>803</v>
      </c>
      <c r="AV271" s="62"/>
      <c r="AW271" s="173" t="s">
        <v>30</v>
      </c>
      <c r="AX271" s="175">
        <v>1.77</v>
      </c>
      <c r="AY271" s="176" t="s">
        <v>623</v>
      </c>
      <c r="AZ271" s="288" t="s">
        <v>655</v>
      </c>
      <c r="BA271" s="285" t="s">
        <v>670</v>
      </c>
      <c r="BB271" s="180" t="s">
        <v>621</v>
      </c>
      <c r="BC271" s="172"/>
      <c r="BD271" s="172"/>
      <c r="BE271" s="171">
        <v>5.6</v>
      </c>
      <c r="BF271" s="171"/>
      <c r="BG271" s="56">
        <v>-20</v>
      </c>
      <c r="BH271" s="57"/>
      <c r="BI271" s="170"/>
      <c r="BJ271" s="169"/>
      <c r="BK271" s="181"/>
      <c r="BL271" s="36" t="str">
        <f>VLOOKUP($AP271,'[1]V1 V2'!$B$5:$BW$1894,74,0)</f>
        <v>C.F.2</v>
      </c>
      <c r="BM271" s="36" t="str">
        <f>IF('[1]V1 V2'!X270="","",'[1]V1 V2'!X270)</f>
        <v/>
      </c>
    </row>
    <row r="272" spans="1:65" ht="16" thickBot="1" x14ac:dyDescent="0.4">
      <c r="A272">
        <v>1</v>
      </c>
      <c r="B272" s="304"/>
      <c r="C272" s="305"/>
      <c r="D272" s="306"/>
      <c r="E272" s="36"/>
      <c r="F272" s="168"/>
      <c r="G272" s="169"/>
      <c r="H272" s="170"/>
      <c r="I272" s="57"/>
      <c r="J272" s="56"/>
      <c r="K272" s="171"/>
      <c r="L272" s="142"/>
      <c r="M272" s="172"/>
      <c r="N272" s="173"/>
      <c r="O272" s="174" t="s">
        <v>89</v>
      </c>
      <c r="P272" s="221"/>
      <c r="Q272" s="221" t="s">
        <v>89</v>
      </c>
      <c r="R272" s="182"/>
      <c r="S272" s="175"/>
      <c r="T272" s="173"/>
      <c r="U272" s="62"/>
      <c r="V272" s="177" t="s">
        <v>89</v>
      </c>
      <c r="W272" s="177" t="s">
        <v>89</v>
      </c>
      <c r="X272" s="230"/>
      <c r="Y272" s="177"/>
      <c r="Z272" s="178">
        <v>20</v>
      </c>
      <c r="AA272" s="297"/>
      <c r="AB272" s="21" t="s">
        <v>2</v>
      </c>
      <c r="AH272" s="63">
        <v>1</v>
      </c>
      <c r="AO272" s="10" t="s">
        <v>3</v>
      </c>
      <c r="AP272" s="297"/>
      <c r="AQ272" s="178">
        <v>20</v>
      </c>
      <c r="AR272" s="177"/>
      <c r="AS272" s="222"/>
      <c r="AT272" s="298"/>
      <c r="AU272" s="298"/>
      <c r="AV272" s="62"/>
      <c r="AW272" s="173"/>
      <c r="AX272" s="175"/>
      <c r="AY272" s="182"/>
      <c r="AZ272" s="223"/>
      <c r="BA272" s="221"/>
      <c r="BB272" s="180" t="s">
        <v>89</v>
      </c>
      <c r="BC272" s="172"/>
      <c r="BD272" s="172"/>
      <c r="BE272" s="142"/>
      <c r="BF272" s="171"/>
      <c r="BG272" s="56"/>
      <c r="BH272" s="57"/>
      <c r="BI272" s="170"/>
      <c r="BJ272" s="169"/>
      <c r="BK272" s="181"/>
      <c r="BL272" s="36"/>
      <c r="BM272" s="36" t="str">
        <f>IF('[1]V1 V2'!X271="","",'[1]V1 V2'!X271)</f>
        <v/>
      </c>
    </row>
    <row r="273" spans="1:65" ht="16" thickBot="1" x14ac:dyDescent="0.4">
      <c r="A273">
        <v>1</v>
      </c>
      <c r="B273" s="304" t="s">
        <v>804</v>
      </c>
      <c r="C273" s="305"/>
      <c r="D273" s="306"/>
      <c r="E273" s="36" t="str">
        <f>VLOOKUP($B273,'[1]V1 V2'!$B$5:$BW$1894,74,0)</f>
        <v>C.F.1</v>
      </c>
      <c r="F273" s="168"/>
      <c r="G273" s="169"/>
      <c r="H273" s="170"/>
      <c r="I273" s="57"/>
      <c r="J273" s="56" t="s">
        <v>127</v>
      </c>
      <c r="K273" s="171"/>
      <c r="L273" s="171">
        <v>5.6</v>
      </c>
      <c r="M273" s="172"/>
      <c r="N273" s="173"/>
      <c r="O273" s="174" t="s">
        <v>621</v>
      </c>
      <c r="P273" s="285" t="s">
        <v>670</v>
      </c>
      <c r="Q273" s="288" t="s">
        <v>655</v>
      </c>
      <c r="R273" s="176" t="s">
        <v>623</v>
      </c>
      <c r="S273" s="175">
        <v>1.77</v>
      </c>
      <c r="T273" s="173" t="s">
        <v>30</v>
      </c>
      <c r="U273" s="62"/>
      <c r="V273" s="298" t="s">
        <v>805</v>
      </c>
      <c r="W273" s="298" t="s">
        <v>806</v>
      </c>
      <c r="X273" s="177">
        <v>33172.389000000003</v>
      </c>
      <c r="Y273" s="177">
        <v>1632.6600000000003</v>
      </c>
      <c r="Z273" s="178"/>
      <c r="AA273" s="297" t="s">
        <v>804</v>
      </c>
      <c r="AB273" s="21" t="s">
        <v>2</v>
      </c>
      <c r="AH273" s="63">
        <v>1</v>
      </c>
      <c r="AO273" s="10" t="s">
        <v>3</v>
      </c>
      <c r="AP273" s="297" t="s">
        <v>807</v>
      </c>
      <c r="AQ273" s="178"/>
      <c r="AR273" s="177">
        <v>1633.56</v>
      </c>
      <c r="AS273" s="222">
        <f>AS271-AQ272</f>
        <v>33251.188999999991</v>
      </c>
      <c r="AT273" s="298" t="s">
        <v>808</v>
      </c>
      <c r="AU273" s="298" t="s">
        <v>809</v>
      </c>
      <c r="AV273" s="62"/>
      <c r="AW273" s="173" t="s">
        <v>30</v>
      </c>
      <c r="AX273" s="175">
        <v>1.77</v>
      </c>
      <c r="AY273" s="176" t="s">
        <v>623</v>
      </c>
      <c r="AZ273" s="288" t="s">
        <v>655</v>
      </c>
      <c r="BA273" s="285" t="s">
        <v>670</v>
      </c>
      <c r="BB273" s="180" t="s">
        <v>621</v>
      </c>
      <c r="BC273" s="172"/>
      <c r="BD273" s="172"/>
      <c r="BE273" s="171">
        <v>5.6</v>
      </c>
      <c r="BF273" s="171"/>
      <c r="BG273" s="183" t="s">
        <v>127</v>
      </c>
      <c r="BH273" s="57"/>
      <c r="BI273" s="170"/>
      <c r="BJ273" s="169"/>
      <c r="BK273" s="181"/>
      <c r="BL273" s="36" t="str">
        <f>VLOOKUP($AP273,'[1]V1 V2'!$B$5:$BW$1894,74,0)</f>
        <v>C.F.1</v>
      </c>
      <c r="BM273" s="36" t="str">
        <f>IF('[1]V1 V2'!X272="","",'[1]V1 V2'!X272)</f>
        <v/>
      </c>
    </row>
    <row r="274" spans="1:65" ht="16" thickBot="1" x14ac:dyDescent="0.4">
      <c r="A274">
        <v>1</v>
      </c>
      <c r="B274" s="304"/>
      <c r="C274" s="305"/>
      <c r="D274" s="306"/>
      <c r="E274" s="36"/>
      <c r="F274" s="168"/>
      <c r="G274" s="169"/>
      <c r="H274" s="170"/>
      <c r="I274" s="57"/>
      <c r="J274" s="56"/>
      <c r="K274" s="171"/>
      <c r="L274" s="142"/>
      <c r="M274" s="172"/>
      <c r="N274" s="173"/>
      <c r="O274" s="174" t="s">
        <v>89</v>
      </c>
      <c r="P274" s="223"/>
      <c r="Q274" s="221" t="s">
        <v>89</v>
      </c>
      <c r="R274" s="182"/>
      <c r="S274" s="175"/>
      <c r="T274" s="173"/>
      <c r="U274" s="62"/>
      <c r="V274" s="177" t="s">
        <v>89</v>
      </c>
      <c r="W274" s="177" t="s">
        <v>89</v>
      </c>
      <c r="X274" s="230"/>
      <c r="Y274" s="177"/>
      <c r="Z274" s="178">
        <v>20</v>
      </c>
      <c r="AA274" s="297"/>
      <c r="AB274" s="21" t="s">
        <v>2</v>
      </c>
      <c r="AH274" s="63">
        <v>1</v>
      </c>
      <c r="AO274" s="10" t="s">
        <v>3</v>
      </c>
      <c r="AP274" s="297"/>
      <c r="AQ274" s="178">
        <v>20</v>
      </c>
      <c r="AR274" s="177"/>
      <c r="AS274" s="222"/>
      <c r="AT274" s="298"/>
      <c r="AU274" s="298"/>
      <c r="AV274" s="62"/>
      <c r="AW274" s="173"/>
      <c r="AX274" s="175"/>
      <c r="AY274" s="182"/>
      <c r="AZ274" s="221"/>
      <c r="BA274" s="223"/>
      <c r="BB274" s="180" t="s">
        <v>89</v>
      </c>
      <c r="BC274" s="172"/>
      <c r="BD274" s="172"/>
      <c r="BE274" s="142"/>
      <c r="BF274" s="171"/>
      <c r="BG274" s="56"/>
      <c r="BH274" s="57"/>
      <c r="BI274" s="170"/>
      <c r="BJ274" s="169"/>
      <c r="BK274" s="181"/>
      <c r="BL274" s="36"/>
      <c r="BM274" s="36" t="str">
        <f>IF('[1]V1 V2'!X273="","",'[1]V1 V2'!X273)</f>
        <v/>
      </c>
    </row>
    <row r="275" spans="1:65" ht="16" thickBot="1" x14ac:dyDescent="0.4">
      <c r="A275">
        <v>1</v>
      </c>
      <c r="B275" s="304" t="s">
        <v>810</v>
      </c>
      <c r="C275" s="305"/>
      <c r="D275" s="306"/>
      <c r="E275" s="36" t="str">
        <f>VLOOKUP($B275,'[1]V1 V2'!$B$5:$BW$1894,74,0)</f>
        <v>C.F.2</v>
      </c>
      <c r="F275" s="168"/>
      <c r="G275" s="169"/>
      <c r="H275" s="170"/>
      <c r="I275" s="57"/>
      <c r="J275" s="56">
        <v>-20</v>
      </c>
      <c r="K275" s="171"/>
      <c r="L275" s="171">
        <v>5.6</v>
      </c>
      <c r="M275" s="172"/>
      <c r="N275" s="173"/>
      <c r="O275" s="174" t="s">
        <v>621</v>
      </c>
      <c r="P275" s="285" t="s">
        <v>670</v>
      </c>
      <c r="Q275" s="288" t="s">
        <v>655</v>
      </c>
      <c r="R275" s="176" t="s">
        <v>623</v>
      </c>
      <c r="S275" s="175">
        <v>1.77</v>
      </c>
      <c r="T275" s="173" t="s">
        <v>30</v>
      </c>
      <c r="U275" s="62"/>
      <c r="V275" s="230" t="s">
        <v>811</v>
      </c>
      <c r="W275" s="230" t="s">
        <v>812</v>
      </c>
      <c r="X275" s="177">
        <v>33152.389000000003</v>
      </c>
      <c r="Y275" s="177">
        <v>1652.6600000000003</v>
      </c>
      <c r="Z275" s="178"/>
      <c r="AA275" s="297" t="s">
        <v>810</v>
      </c>
      <c r="AB275" s="21" t="s">
        <v>2</v>
      </c>
      <c r="AH275" s="63">
        <v>1</v>
      </c>
      <c r="AO275" s="10" t="s">
        <v>3</v>
      </c>
      <c r="AP275" s="297" t="s">
        <v>813</v>
      </c>
      <c r="AQ275" s="178"/>
      <c r="AR275" s="177">
        <v>1653.56</v>
      </c>
      <c r="AS275" s="222">
        <f>AS273-AQ274</f>
        <v>33231.188999999991</v>
      </c>
      <c r="AT275" s="298" t="s">
        <v>814</v>
      </c>
      <c r="AU275" s="298" t="s">
        <v>815</v>
      </c>
      <c r="AV275" s="62"/>
      <c r="AW275" s="173" t="s">
        <v>30</v>
      </c>
      <c r="AX275" s="175">
        <v>1.77</v>
      </c>
      <c r="AY275" s="176" t="s">
        <v>623</v>
      </c>
      <c r="AZ275" s="288" t="s">
        <v>655</v>
      </c>
      <c r="BA275" s="285" t="s">
        <v>670</v>
      </c>
      <c r="BB275" s="180" t="s">
        <v>621</v>
      </c>
      <c r="BC275" s="172"/>
      <c r="BD275" s="172"/>
      <c r="BE275" s="171">
        <v>5.6</v>
      </c>
      <c r="BF275" s="171"/>
      <c r="BG275" s="56">
        <v>-20</v>
      </c>
      <c r="BH275" s="57"/>
      <c r="BI275" s="170"/>
      <c r="BJ275" s="169"/>
      <c r="BK275" s="181"/>
      <c r="BL275" s="36" t="str">
        <f>VLOOKUP($AP275,'[1]V1 V2'!$B$5:$BW$1894,74,0)</f>
        <v>C.F.2</v>
      </c>
      <c r="BM275" s="36" t="str">
        <f>IF('[1]V1 V2'!X274="","",'[1]V1 V2'!X274)</f>
        <v/>
      </c>
    </row>
    <row r="276" spans="1:65" ht="16" thickBot="1" x14ac:dyDescent="0.4">
      <c r="A276">
        <v>1</v>
      </c>
      <c r="B276" s="304"/>
      <c r="C276" s="305"/>
      <c r="D276" s="306"/>
      <c r="E276" s="36"/>
      <c r="F276" s="168"/>
      <c r="G276" s="169"/>
      <c r="H276" s="170"/>
      <c r="I276" s="57"/>
      <c r="J276" s="56"/>
      <c r="K276" s="171"/>
      <c r="L276" s="142"/>
      <c r="M276" s="172"/>
      <c r="N276" s="173"/>
      <c r="O276" s="174" t="s">
        <v>89</v>
      </c>
      <c r="P276" s="221"/>
      <c r="Q276" s="221" t="s">
        <v>89</v>
      </c>
      <c r="R276" s="182"/>
      <c r="S276" s="175"/>
      <c r="T276" s="173"/>
      <c r="U276" s="62"/>
      <c r="V276" s="177" t="s">
        <v>89</v>
      </c>
      <c r="W276" s="177" t="s">
        <v>89</v>
      </c>
      <c r="X276" s="230"/>
      <c r="Y276" s="177"/>
      <c r="Z276" s="178">
        <v>20</v>
      </c>
      <c r="AA276" s="297"/>
      <c r="AB276" s="21" t="s">
        <v>2</v>
      </c>
      <c r="AH276" s="63">
        <v>1</v>
      </c>
      <c r="AO276" s="10" t="s">
        <v>3</v>
      </c>
      <c r="AP276" s="297"/>
      <c r="AQ276" s="178">
        <v>20</v>
      </c>
      <c r="AR276" s="177"/>
      <c r="AS276" s="222"/>
      <c r="AT276" s="298"/>
      <c r="AU276" s="298"/>
      <c r="AV276" s="62"/>
      <c r="AW276" s="173"/>
      <c r="AX276" s="175"/>
      <c r="AY276" s="182"/>
      <c r="AZ276" s="223"/>
      <c r="BA276" s="221"/>
      <c r="BB276" s="180" t="s">
        <v>89</v>
      </c>
      <c r="BC276" s="172"/>
      <c r="BD276" s="172"/>
      <c r="BE276" s="142"/>
      <c r="BF276" s="171"/>
      <c r="BG276" s="56"/>
      <c r="BH276" s="57"/>
      <c r="BI276" s="170"/>
      <c r="BJ276" s="169"/>
      <c r="BK276" s="181"/>
      <c r="BL276" s="36"/>
      <c r="BM276" s="36" t="str">
        <f>IF('[1]V1 V2'!X275="","",'[1]V1 V2'!X275)</f>
        <v/>
      </c>
    </row>
    <row r="277" spans="1:65" ht="16" thickBot="1" x14ac:dyDescent="0.4">
      <c r="A277">
        <v>1</v>
      </c>
      <c r="B277" s="304" t="s">
        <v>816</v>
      </c>
      <c r="C277" s="305"/>
      <c r="D277" s="306"/>
      <c r="E277" s="36" t="str">
        <f>VLOOKUP($B277,'[1]V1 V2'!$B$5:$BW$1894,74,0)</f>
        <v>C.F.1</v>
      </c>
      <c r="F277" s="184"/>
      <c r="G277" s="185"/>
      <c r="H277" s="186"/>
      <c r="I277" s="136"/>
      <c r="J277" s="135" t="s">
        <v>127</v>
      </c>
      <c r="K277" s="187"/>
      <c r="L277" s="171">
        <v>5.6</v>
      </c>
      <c r="M277" s="188"/>
      <c r="N277" s="189"/>
      <c r="O277" s="190" t="s">
        <v>621</v>
      </c>
      <c r="P277" s="285" t="s">
        <v>670</v>
      </c>
      <c r="Q277" s="288" t="s">
        <v>655</v>
      </c>
      <c r="R277" s="176" t="s">
        <v>623</v>
      </c>
      <c r="S277" s="175">
        <v>1.77</v>
      </c>
      <c r="T277" s="173" t="s">
        <v>30</v>
      </c>
      <c r="U277" s="62"/>
      <c r="V277" s="298" t="s">
        <v>817</v>
      </c>
      <c r="W277" s="298" t="s">
        <v>818</v>
      </c>
      <c r="X277" s="177">
        <v>33132.389000000003</v>
      </c>
      <c r="Y277" s="177">
        <v>1672.6600000000003</v>
      </c>
      <c r="Z277" s="178"/>
      <c r="AA277" s="297" t="s">
        <v>816</v>
      </c>
      <c r="AB277" s="21" t="s">
        <v>2</v>
      </c>
      <c r="AH277" s="63">
        <v>1</v>
      </c>
      <c r="AO277" s="10" t="s">
        <v>3</v>
      </c>
      <c r="AP277" s="297" t="s">
        <v>819</v>
      </c>
      <c r="AQ277" s="178"/>
      <c r="AR277" s="177">
        <v>1673.56</v>
      </c>
      <c r="AS277" s="222">
        <f>AS275-AQ276</f>
        <v>33211.188999999991</v>
      </c>
      <c r="AT277" s="298" t="s">
        <v>820</v>
      </c>
      <c r="AU277" s="298" t="s">
        <v>821</v>
      </c>
      <c r="AV277" s="62"/>
      <c r="AW277" s="173" t="s">
        <v>30</v>
      </c>
      <c r="AX277" s="175">
        <v>1.77</v>
      </c>
      <c r="AY277" s="176" t="s">
        <v>623</v>
      </c>
      <c r="AZ277" s="288" t="s">
        <v>655</v>
      </c>
      <c r="BA277" s="285" t="s">
        <v>670</v>
      </c>
      <c r="BB277" s="192" t="s">
        <v>621</v>
      </c>
      <c r="BC277" s="188"/>
      <c r="BD277" s="188"/>
      <c r="BE277" s="171">
        <v>5.6</v>
      </c>
      <c r="BF277" s="187"/>
      <c r="BG277" s="183" t="s">
        <v>127</v>
      </c>
      <c r="BH277" s="136"/>
      <c r="BI277" s="186"/>
      <c r="BJ277" s="185"/>
      <c r="BK277" s="193"/>
      <c r="BL277" s="36" t="str">
        <f>VLOOKUP($AP277,'[1]V1 V2'!$B$5:$BW$1894,74,0)</f>
        <v>C.F.1</v>
      </c>
      <c r="BM277" s="36" t="str">
        <f>IF('[1]V1 V2'!X276="","",'[1]V1 V2'!X276)</f>
        <v/>
      </c>
    </row>
    <row r="278" spans="1:65" ht="16" thickBot="1" x14ac:dyDescent="0.4">
      <c r="A278">
        <v>1</v>
      </c>
      <c r="B278" s="304"/>
      <c r="C278" s="305"/>
      <c r="D278" s="306"/>
      <c r="E278" s="36"/>
      <c r="F278" s="194"/>
      <c r="G278" s="195"/>
      <c r="H278" s="196"/>
      <c r="I278" s="57"/>
      <c r="J278" s="56"/>
      <c r="K278" s="171"/>
      <c r="L278" s="142"/>
      <c r="M278" s="172"/>
      <c r="N278" s="173"/>
      <c r="O278" s="174" t="s">
        <v>89</v>
      </c>
      <c r="P278" s="223"/>
      <c r="Q278" s="221" t="s">
        <v>89</v>
      </c>
      <c r="R278" s="182"/>
      <c r="S278" s="175"/>
      <c r="T278" s="173"/>
      <c r="U278" s="62"/>
      <c r="V278" s="177" t="s">
        <v>89</v>
      </c>
      <c r="W278" s="177" t="s">
        <v>89</v>
      </c>
      <c r="X278" s="230"/>
      <c r="Y278" s="177"/>
      <c r="Z278" s="178">
        <v>20</v>
      </c>
      <c r="AA278" s="297"/>
      <c r="AB278" s="21" t="s">
        <v>2</v>
      </c>
      <c r="AH278" s="63">
        <v>1</v>
      </c>
      <c r="AO278" s="10" t="s">
        <v>3</v>
      </c>
      <c r="AP278" s="297"/>
      <c r="AQ278" s="178">
        <v>20</v>
      </c>
      <c r="AR278" s="177"/>
      <c r="AS278" s="222"/>
      <c r="AT278" s="298"/>
      <c r="AU278" s="298"/>
      <c r="AV278" s="62"/>
      <c r="AW278" s="173"/>
      <c r="AX278" s="175"/>
      <c r="AY278" s="182"/>
      <c r="AZ278" s="223"/>
      <c r="BA278" s="223"/>
      <c r="BB278" s="180" t="s">
        <v>89</v>
      </c>
      <c r="BC278" s="172"/>
      <c r="BD278" s="172"/>
      <c r="BE278" s="142"/>
      <c r="BF278" s="171"/>
      <c r="BG278" s="56"/>
      <c r="BH278" s="57"/>
      <c r="BI278" s="196"/>
      <c r="BJ278" s="195"/>
      <c r="BK278" s="197"/>
      <c r="BL278" s="36"/>
      <c r="BM278" s="36" t="str">
        <f>IF('[1]V1 V2'!X277="","",'[1]V1 V2'!X277)</f>
        <v/>
      </c>
    </row>
    <row r="279" spans="1:65" ht="16" thickBot="1" x14ac:dyDescent="0.4">
      <c r="A279">
        <v>1</v>
      </c>
      <c r="B279" s="304" t="s">
        <v>822</v>
      </c>
      <c r="C279" s="305"/>
      <c r="D279" s="306"/>
      <c r="E279" s="36" t="str">
        <f>VLOOKUP($B279,'[1]V1 V2'!$B$5:$BW$1894,74,0)</f>
        <v>C.F.2</v>
      </c>
      <c r="F279" s="194"/>
      <c r="G279" s="195"/>
      <c r="H279" s="196"/>
      <c r="I279" s="57"/>
      <c r="J279" s="56" t="s">
        <v>774</v>
      </c>
      <c r="K279" s="171"/>
      <c r="L279" s="171">
        <v>5.6</v>
      </c>
      <c r="M279" s="172"/>
      <c r="N279" s="173"/>
      <c r="O279" s="174" t="s">
        <v>621</v>
      </c>
      <c r="P279" s="285" t="s">
        <v>670</v>
      </c>
      <c r="Q279" s="288" t="s">
        <v>655</v>
      </c>
      <c r="R279" s="176" t="s">
        <v>623</v>
      </c>
      <c r="S279" s="175">
        <v>1.77</v>
      </c>
      <c r="T279" s="173" t="s">
        <v>30</v>
      </c>
      <c r="U279" s="62"/>
      <c r="V279" s="298" t="s">
        <v>823</v>
      </c>
      <c r="W279" s="298" t="s">
        <v>824</v>
      </c>
      <c r="X279" s="177">
        <v>33112.389000000003</v>
      </c>
      <c r="Y279" s="177">
        <v>1692.6600000000003</v>
      </c>
      <c r="Z279" s="178"/>
      <c r="AA279" s="297" t="s">
        <v>822</v>
      </c>
      <c r="AB279" s="21" t="s">
        <v>2</v>
      </c>
      <c r="AH279" s="63">
        <v>1</v>
      </c>
      <c r="AO279" s="10" t="s">
        <v>3</v>
      </c>
      <c r="AP279" s="297" t="s">
        <v>825</v>
      </c>
      <c r="AQ279" s="178"/>
      <c r="AR279" s="177">
        <v>1693.56</v>
      </c>
      <c r="AS279" s="222">
        <f>AS277-AQ278</f>
        <v>33191.188999999991</v>
      </c>
      <c r="AT279" s="298" t="s">
        <v>826</v>
      </c>
      <c r="AU279" s="298" t="s">
        <v>827</v>
      </c>
      <c r="AV279" s="62"/>
      <c r="AW279" s="173" t="s">
        <v>30</v>
      </c>
      <c r="AX279" s="175">
        <v>1.77</v>
      </c>
      <c r="AY279" s="176" t="s">
        <v>623</v>
      </c>
      <c r="AZ279" s="288" t="s">
        <v>655</v>
      </c>
      <c r="BA279" s="285" t="s">
        <v>670</v>
      </c>
      <c r="BB279" s="180" t="s">
        <v>621</v>
      </c>
      <c r="BC279" s="172"/>
      <c r="BD279" s="172"/>
      <c r="BE279" s="171">
        <v>5.6</v>
      </c>
      <c r="BF279" s="171"/>
      <c r="BG279" s="56">
        <v>-20</v>
      </c>
      <c r="BH279" s="57"/>
      <c r="BI279" s="196"/>
      <c r="BJ279" s="195"/>
      <c r="BK279" s="197"/>
      <c r="BL279" s="36" t="str">
        <f>VLOOKUP($AP279,'[1]V1 V2'!$B$5:$BW$1894,74,0)</f>
        <v>C.F.2</v>
      </c>
      <c r="BM279" s="36" t="str">
        <f>IF('[1]V1 V2'!X278="","",'[1]V1 V2'!X278)</f>
        <v/>
      </c>
    </row>
    <row r="280" spans="1:65" ht="16" thickBot="1" x14ac:dyDescent="0.4">
      <c r="A280">
        <v>1</v>
      </c>
      <c r="B280" s="304"/>
      <c r="C280" s="305"/>
      <c r="D280" s="306"/>
      <c r="E280" s="36"/>
      <c r="F280" s="194"/>
      <c r="G280" s="195"/>
      <c r="H280" s="196"/>
      <c r="I280" s="57"/>
      <c r="J280" s="56"/>
      <c r="K280" s="171"/>
      <c r="L280" s="142"/>
      <c r="M280" s="172"/>
      <c r="N280" s="173"/>
      <c r="O280" s="174" t="s">
        <v>89</v>
      </c>
      <c r="P280" s="221"/>
      <c r="Q280" s="221" t="s">
        <v>89</v>
      </c>
      <c r="R280" s="182"/>
      <c r="S280" s="175"/>
      <c r="T280" s="173"/>
      <c r="U280" s="62"/>
      <c r="V280" s="177" t="s">
        <v>89</v>
      </c>
      <c r="W280" s="177" t="s">
        <v>89</v>
      </c>
      <c r="X280" s="230"/>
      <c r="Y280" s="177"/>
      <c r="Z280" s="178">
        <v>20</v>
      </c>
      <c r="AA280" s="297"/>
      <c r="AB280" s="21" t="s">
        <v>2</v>
      </c>
      <c r="AH280" s="63">
        <v>1</v>
      </c>
      <c r="AO280" s="10" t="s">
        <v>3</v>
      </c>
      <c r="AP280" s="297"/>
      <c r="AQ280" s="178">
        <v>20</v>
      </c>
      <c r="AR280" s="177"/>
      <c r="AS280" s="222"/>
      <c r="AT280" s="298"/>
      <c r="AU280" s="298"/>
      <c r="AV280" s="62"/>
      <c r="AW280" s="173"/>
      <c r="AX280" s="175"/>
      <c r="AY280" s="182"/>
      <c r="AZ280" s="221"/>
      <c r="BA280" s="221"/>
      <c r="BB280" s="180" t="s">
        <v>89</v>
      </c>
      <c r="BC280" s="172"/>
      <c r="BD280" s="172"/>
      <c r="BE280" s="142"/>
      <c r="BF280" s="171"/>
      <c r="BG280" s="56"/>
      <c r="BH280" s="57"/>
      <c r="BI280" s="196"/>
      <c r="BJ280" s="195"/>
      <c r="BK280" s="197"/>
      <c r="BL280" s="36"/>
      <c r="BM280" s="36" t="str">
        <f>IF('[1]V1 V2'!X279="","",'[1]V1 V2'!X279)</f>
        <v/>
      </c>
    </row>
    <row r="281" spans="1:65" ht="16" thickBot="1" x14ac:dyDescent="0.4">
      <c r="A281">
        <v>1</v>
      </c>
      <c r="B281" s="304" t="s">
        <v>828</v>
      </c>
      <c r="C281" s="305"/>
      <c r="D281" s="306"/>
      <c r="E281" s="36" t="str">
        <f>VLOOKUP($B281,'[1]V1 V2'!$B$5:$BW$1894,74,0)</f>
        <v>C.F.1</v>
      </c>
      <c r="F281" s="194"/>
      <c r="G281" s="195"/>
      <c r="H281" s="196"/>
      <c r="I281" s="57"/>
      <c r="J281" s="56" t="s">
        <v>127</v>
      </c>
      <c r="K281" s="171"/>
      <c r="L281" s="171">
        <v>5.6</v>
      </c>
      <c r="M281" s="172"/>
      <c r="N281" s="173"/>
      <c r="O281" s="174" t="s">
        <v>621</v>
      </c>
      <c r="P281" s="285" t="s">
        <v>670</v>
      </c>
      <c r="Q281" s="288" t="s">
        <v>655</v>
      </c>
      <c r="R281" s="176" t="s">
        <v>623</v>
      </c>
      <c r="S281" s="175">
        <v>1.77</v>
      </c>
      <c r="T281" s="173" t="s">
        <v>30</v>
      </c>
      <c r="U281" s="62"/>
      <c r="V281" s="298" t="s">
        <v>829</v>
      </c>
      <c r="W281" s="298" t="s">
        <v>830</v>
      </c>
      <c r="X281" s="177">
        <v>33092.389000000003</v>
      </c>
      <c r="Y281" s="177">
        <v>1712.6600000000003</v>
      </c>
      <c r="Z281" s="178"/>
      <c r="AA281" s="297" t="s">
        <v>828</v>
      </c>
      <c r="AB281" s="21" t="s">
        <v>2</v>
      </c>
      <c r="AH281" s="63">
        <v>1</v>
      </c>
      <c r="AO281" s="10" t="s">
        <v>3</v>
      </c>
      <c r="AP281" s="297" t="s">
        <v>831</v>
      </c>
      <c r="AQ281" s="178"/>
      <c r="AR281" s="177">
        <v>1713.56</v>
      </c>
      <c r="AS281" s="222">
        <f>AS279-AQ280</f>
        <v>33171.188999999991</v>
      </c>
      <c r="AT281" s="298" t="s">
        <v>832</v>
      </c>
      <c r="AU281" s="298" t="s">
        <v>833</v>
      </c>
      <c r="AV281" s="62"/>
      <c r="AW281" s="173" t="s">
        <v>30</v>
      </c>
      <c r="AX281" s="175">
        <v>1.77</v>
      </c>
      <c r="AY281" s="176" t="s">
        <v>623</v>
      </c>
      <c r="AZ281" s="288" t="s">
        <v>655</v>
      </c>
      <c r="BA281" s="285" t="s">
        <v>670</v>
      </c>
      <c r="BB281" s="180" t="s">
        <v>621</v>
      </c>
      <c r="BC281" s="172"/>
      <c r="BD281" s="172"/>
      <c r="BE281" s="171">
        <v>5.6</v>
      </c>
      <c r="BF281" s="171"/>
      <c r="BG281" s="183" t="s">
        <v>127</v>
      </c>
      <c r="BH281" s="57"/>
      <c r="BI281" s="196"/>
      <c r="BJ281" s="195"/>
      <c r="BK281" s="197"/>
      <c r="BL281" s="36" t="str">
        <f>VLOOKUP($AP281,'[1]V1 V2'!$B$5:$BW$1894,74,0)</f>
        <v>C.F.1</v>
      </c>
      <c r="BM281" s="36" t="str">
        <f>IF('[1]V1 V2'!X280="","",'[1]V1 V2'!X280)</f>
        <v/>
      </c>
    </row>
    <row r="282" spans="1:65" ht="16" thickBot="1" x14ac:dyDescent="0.4">
      <c r="A282">
        <v>1</v>
      </c>
      <c r="B282" s="304"/>
      <c r="C282" s="305"/>
      <c r="D282" s="306"/>
      <c r="E282" s="36"/>
      <c r="F282" s="194"/>
      <c r="G282" s="195"/>
      <c r="H282" s="196"/>
      <c r="I282" s="57"/>
      <c r="J282" s="56"/>
      <c r="K282" s="171"/>
      <c r="L282" s="142"/>
      <c r="M282" s="172"/>
      <c r="N282" s="173"/>
      <c r="O282" s="174" t="s">
        <v>89</v>
      </c>
      <c r="P282" s="223"/>
      <c r="Q282" s="221" t="s">
        <v>89</v>
      </c>
      <c r="R282" s="182"/>
      <c r="S282" s="175"/>
      <c r="T282" s="173"/>
      <c r="U282" s="62"/>
      <c r="V282" s="177" t="s">
        <v>89</v>
      </c>
      <c r="W282" s="177" t="s">
        <v>89</v>
      </c>
      <c r="X282" s="230"/>
      <c r="Y282" s="177"/>
      <c r="Z282" s="178">
        <v>20</v>
      </c>
      <c r="AA282" s="297"/>
      <c r="AB282" s="21" t="s">
        <v>2</v>
      </c>
      <c r="AH282" s="63">
        <v>1</v>
      </c>
      <c r="AO282" s="10" t="s">
        <v>3</v>
      </c>
      <c r="AP282" s="297"/>
      <c r="AQ282" s="178">
        <v>20</v>
      </c>
      <c r="AR282" s="177"/>
      <c r="AS282" s="222"/>
      <c r="AT282" s="298"/>
      <c r="AU282" s="298"/>
      <c r="AV282" s="62"/>
      <c r="AW282" s="173"/>
      <c r="AX282" s="175"/>
      <c r="AY282" s="182"/>
      <c r="AZ282" s="223"/>
      <c r="BA282" s="223"/>
      <c r="BB282" s="180" t="s">
        <v>89</v>
      </c>
      <c r="BC282" s="172"/>
      <c r="BD282" s="172"/>
      <c r="BE282" s="142"/>
      <c r="BF282" s="171"/>
      <c r="BG282" s="56"/>
      <c r="BH282" s="57"/>
      <c r="BI282" s="196"/>
      <c r="BJ282" s="195"/>
      <c r="BK282" s="197"/>
      <c r="BL282" s="36"/>
      <c r="BM282" s="36" t="str">
        <f>IF('[1]V1 V2'!X281="","",'[1]V1 V2'!X281)</f>
        <v/>
      </c>
    </row>
    <row r="283" spans="1:65" ht="16" thickBot="1" x14ac:dyDescent="0.4">
      <c r="A283">
        <v>1</v>
      </c>
      <c r="B283" s="304" t="s">
        <v>834</v>
      </c>
      <c r="C283" s="305"/>
      <c r="D283" s="306"/>
      <c r="E283" s="36" t="str">
        <f>VLOOKUP($B283,'[1]V1 V2'!$B$5:$BW$1894,74,0)</f>
        <v>C.F.2</v>
      </c>
      <c r="F283" s="194"/>
      <c r="G283" s="195"/>
      <c r="H283" s="196"/>
      <c r="I283" s="57"/>
      <c r="J283" s="56">
        <v>-20</v>
      </c>
      <c r="K283" s="171"/>
      <c r="L283" s="171">
        <v>5.6</v>
      </c>
      <c r="M283" s="172"/>
      <c r="N283" s="173"/>
      <c r="O283" s="174" t="s">
        <v>621</v>
      </c>
      <c r="P283" s="285" t="s">
        <v>670</v>
      </c>
      <c r="Q283" s="288" t="s">
        <v>655</v>
      </c>
      <c r="R283" s="176" t="s">
        <v>623</v>
      </c>
      <c r="S283" s="175">
        <v>1.77</v>
      </c>
      <c r="T283" s="173" t="s">
        <v>30</v>
      </c>
      <c r="U283" s="62"/>
      <c r="V283" s="298" t="s">
        <v>835</v>
      </c>
      <c r="W283" s="298" t="s">
        <v>836</v>
      </c>
      <c r="X283" s="177">
        <v>33072.389000000003</v>
      </c>
      <c r="Y283" s="177">
        <v>1732.6600000000003</v>
      </c>
      <c r="Z283" s="178"/>
      <c r="AA283" s="297" t="s">
        <v>834</v>
      </c>
      <c r="AB283" s="21" t="s">
        <v>2</v>
      </c>
      <c r="AH283" s="63">
        <v>1</v>
      </c>
      <c r="AO283" s="10" t="s">
        <v>3</v>
      </c>
      <c r="AP283" s="297" t="s">
        <v>837</v>
      </c>
      <c r="AQ283" s="178"/>
      <c r="AR283" s="177">
        <v>1733.56</v>
      </c>
      <c r="AS283" s="222">
        <f>AS281-AQ282</f>
        <v>33151.188999999991</v>
      </c>
      <c r="AT283" s="298" t="s">
        <v>838</v>
      </c>
      <c r="AU283" s="298" t="s">
        <v>839</v>
      </c>
      <c r="AV283" s="62"/>
      <c r="AW283" s="173" t="s">
        <v>30</v>
      </c>
      <c r="AX283" s="175">
        <v>1.77</v>
      </c>
      <c r="AY283" s="176" t="s">
        <v>623</v>
      </c>
      <c r="AZ283" s="288" t="s">
        <v>655</v>
      </c>
      <c r="BA283" s="285" t="s">
        <v>670</v>
      </c>
      <c r="BB283" s="180" t="s">
        <v>621</v>
      </c>
      <c r="BC283" s="172"/>
      <c r="BD283" s="172"/>
      <c r="BE283" s="171">
        <v>5.6</v>
      </c>
      <c r="BF283" s="171"/>
      <c r="BG283" s="56">
        <v>-20</v>
      </c>
      <c r="BH283" s="57"/>
      <c r="BI283" s="196"/>
      <c r="BJ283" s="195"/>
      <c r="BK283" s="197"/>
      <c r="BL283" s="36" t="str">
        <f>VLOOKUP($AP283,'[1]V1 V2'!$B$5:$BW$1894,74,0)</f>
        <v>C.F.2</v>
      </c>
      <c r="BM283" s="36" t="str">
        <f>IF('[1]V1 V2'!X282="","",'[1]V1 V2'!X282)</f>
        <v/>
      </c>
    </row>
    <row r="284" spans="1:65" ht="16" thickBot="1" x14ac:dyDescent="0.4">
      <c r="A284">
        <v>1</v>
      </c>
      <c r="B284" s="304"/>
      <c r="C284" s="305"/>
      <c r="D284" s="307" t="s">
        <v>720</v>
      </c>
      <c r="E284" s="36"/>
      <c r="F284" s="194"/>
      <c r="G284" s="195"/>
      <c r="H284" s="196"/>
      <c r="I284" s="57"/>
      <c r="J284" s="56"/>
      <c r="K284" s="171"/>
      <c r="L284" s="142"/>
      <c r="M284" s="172"/>
      <c r="N284" s="173"/>
      <c r="O284" s="174" t="s">
        <v>89</v>
      </c>
      <c r="P284" s="221"/>
      <c r="Q284" s="221" t="s">
        <v>89</v>
      </c>
      <c r="R284" s="182"/>
      <c r="S284" s="175"/>
      <c r="T284" s="173"/>
      <c r="U284" s="62"/>
      <c r="V284" s="177" t="s">
        <v>89</v>
      </c>
      <c r="W284" s="177" t="s">
        <v>89</v>
      </c>
      <c r="X284" s="230"/>
      <c r="Y284" s="177"/>
      <c r="Z284" s="178">
        <v>20</v>
      </c>
      <c r="AA284" s="297"/>
      <c r="AB284" s="21" t="s">
        <v>2</v>
      </c>
      <c r="AH284" s="63">
        <v>1</v>
      </c>
      <c r="AO284" s="10" t="s">
        <v>3</v>
      </c>
      <c r="AP284" s="297"/>
      <c r="AQ284" s="178">
        <v>20</v>
      </c>
      <c r="AR284" s="177"/>
      <c r="AS284" s="222"/>
      <c r="AT284" s="298"/>
      <c r="AU284" s="298"/>
      <c r="AV284" s="62"/>
      <c r="AW284" s="173"/>
      <c r="AX284" s="175"/>
      <c r="AY284" s="182"/>
      <c r="AZ284" s="223"/>
      <c r="BA284" s="221"/>
      <c r="BB284" s="180" t="s">
        <v>89</v>
      </c>
      <c r="BC284" s="172"/>
      <c r="BD284" s="172"/>
      <c r="BE284" s="142"/>
      <c r="BF284" s="171"/>
      <c r="BG284" s="56"/>
      <c r="BH284" s="57"/>
      <c r="BI284" s="196"/>
      <c r="BJ284" s="195"/>
      <c r="BK284" s="197"/>
      <c r="BL284" s="36"/>
      <c r="BM284" s="308" t="str">
        <f>IF('[1]V1 V2'!X283="","",'[1]V1 V2'!X283)</f>
        <v>1PEAD D110mm ou 2PEAD D63mm+ 1PEAD 32mm</v>
      </c>
    </row>
    <row r="285" spans="1:65" ht="16" thickBot="1" x14ac:dyDescent="0.4">
      <c r="A285">
        <v>1</v>
      </c>
      <c r="B285" s="304" t="s">
        <v>840</v>
      </c>
      <c r="C285" s="305"/>
      <c r="D285" s="309" t="s">
        <v>722</v>
      </c>
      <c r="E285" s="36" t="str">
        <f>VLOOKUP($B285,'[1]V1 V2'!$B$5:$BW$1894,74,0)</f>
        <v>C.F.1</v>
      </c>
      <c r="F285" s="194"/>
      <c r="G285" s="195"/>
      <c r="H285" s="196"/>
      <c r="I285" s="57"/>
      <c r="J285" s="56" t="s">
        <v>127</v>
      </c>
      <c r="K285" s="171"/>
      <c r="L285" s="171">
        <v>5.6</v>
      </c>
      <c r="M285" s="172"/>
      <c r="N285" s="173"/>
      <c r="O285" s="174" t="s">
        <v>621</v>
      </c>
      <c r="P285" s="285" t="s">
        <v>670</v>
      </c>
      <c r="Q285" s="288" t="s">
        <v>655</v>
      </c>
      <c r="R285" s="176" t="s">
        <v>623</v>
      </c>
      <c r="S285" s="175">
        <v>1.77</v>
      </c>
      <c r="T285" s="173" t="s">
        <v>30</v>
      </c>
      <c r="U285" s="62"/>
      <c r="V285" s="298" t="s">
        <v>841</v>
      </c>
      <c r="W285" s="298" t="s">
        <v>842</v>
      </c>
      <c r="X285" s="177">
        <v>33052.389000000003</v>
      </c>
      <c r="Y285" s="177">
        <v>1752.6600000000003</v>
      </c>
      <c r="Z285" s="178"/>
      <c r="AA285" s="297" t="s">
        <v>840</v>
      </c>
      <c r="AB285" s="21" t="s">
        <v>2</v>
      </c>
      <c r="AH285" s="63">
        <v>1</v>
      </c>
      <c r="AO285" s="10" t="s">
        <v>3</v>
      </c>
      <c r="AP285" s="297" t="s">
        <v>843</v>
      </c>
      <c r="AQ285" s="178"/>
      <c r="AR285" s="177">
        <v>1753.56</v>
      </c>
      <c r="AS285" s="222">
        <f>AS283-AQ284</f>
        <v>33131.188999999991</v>
      </c>
      <c r="AT285" s="298" t="s">
        <v>844</v>
      </c>
      <c r="AU285" s="298" t="s">
        <v>845</v>
      </c>
      <c r="AV285" s="62"/>
      <c r="AW285" s="173" t="s">
        <v>30</v>
      </c>
      <c r="AX285" s="175">
        <v>1.77</v>
      </c>
      <c r="AY285" s="176" t="s">
        <v>623</v>
      </c>
      <c r="AZ285" s="288" t="s">
        <v>655</v>
      </c>
      <c r="BA285" s="285" t="s">
        <v>670</v>
      </c>
      <c r="BB285" s="180" t="s">
        <v>621</v>
      </c>
      <c r="BC285" s="172"/>
      <c r="BD285" s="172"/>
      <c r="BE285" s="171">
        <v>5.6</v>
      </c>
      <c r="BF285" s="171"/>
      <c r="BG285" s="183" t="s">
        <v>127</v>
      </c>
      <c r="BH285" s="57"/>
      <c r="BI285" s="196"/>
      <c r="BJ285" s="195"/>
      <c r="BK285" s="197"/>
      <c r="BL285" s="36" t="str">
        <f>VLOOKUP($AP285,'[1]V1 V2'!$B$5:$BW$1894,74,0)</f>
        <v>C.F.1</v>
      </c>
      <c r="BM285" s="202" t="str">
        <f>IF('[1]V1 V2'!X284="","",'[1]V1 V2'!X284)</f>
        <v>FR</v>
      </c>
    </row>
    <row r="286" spans="1:65" ht="16" thickBot="1" x14ac:dyDescent="0.4">
      <c r="A286">
        <v>1</v>
      </c>
      <c r="B286" s="304"/>
      <c r="C286" s="305"/>
      <c r="D286" s="307" t="s">
        <v>728</v>
      </c>
      <c r="E286" s="36"/>
      <c r="F286" s="194"/>
      <c r="G286" s="195"/>
      <c r="H286" s="196"/>
      <c r="I286" s="57"/>
      <c r="J286" s="56"/>
      <c r="K286" s="171"/>
      <c r="L286" s="142"/>
      <c r="M286" s="172"/>
      <c r="N286" s="173"/>
      <c r="O286" s="174" t="s">
        <v>89</v>
      </c>
      <c r="P286" s="221"/>
      <c r="Q286" s="221" t="s">
        <v>89</v>
      </c>
      <c r="R286" s="182"/>
      <c r="S286" s="175"/>
      <c r="T286" s="173"/>
      <c r="U286" s="62"/>
      <c r="V286" s="177" t="s">
        <v>89</v>
      </c>
      <c r="W286" s="177" t="s">
        <v>89</v>
      </c>
      <c r="X286" s="230"/>
      <c r="Y286" s="177"/>
      <c r="Z286" s="178">
        <v>20</v>
      </c>
      <c r="AA286" s="297"/>
      <c r="AB286" s="21" t="s">
        <v>2</v>
      </c>
      <c r="AH286" s="63">
        <v>1</v>
      </c>
      <c r="AO286" s="10" t="s">
        <v>3</v>
      </c>
      <c r="AP286" s="297"/>
      <c r="AQ286" s="178">
        <v>20</v>
      </c>
      <c r="AR286" s="177"/>
      <c r="AS286" s="222"/>
      <c r="AT286" s="298"/>
      <c r="AU286" s="298"/>
      <c r="AV286" s="62"/>
      <c r="AW286" s="173"/>
      <c r="AX286" s="175"/>
      <c r="AY286" s="182"/>
      <c r="AZ286" s="221"/>
      <c r="BA286" s="223"/>
      <c r="BB286" s="180" t="s">
        <v>89</v>
      </c>
      <c r="BC286" s="172"/>
      <c r="BD286" s="172"/>
      <c r="BE286" s="142"/>
      <c r="BF286" s="171"/>
      <c r="BG286" s="56"/>
      <c r="BH286" s="57"/>
      <c r="BI286" s="196"/>
      <c r="BJ286" s="195"/>
      <c r="BK286" s="197"/>
      <c r="BL286" s="36"/>
      <c r="BM286" s="308" t="str">
        <f>IF('[1]V1 V2'!X285="","",'[1]V1 V2'!X285)</f>
        <v>1PEAD D110mm ou 2PEAD D63mm</v>
      </c>
    </row>
    <row r="287" spans="1:65" ht="16" thickBot="1" x14ac:dyDescent="0.4">
      <c r="A287">
        <v>1</v>
      </c>
      <c r="B287" s="310" t="s">
        <v>846</v>
      </c>
      <c r="C287" s="311"/>
      <c r="D287" s="312"/>
      <c r="E287" s="36" t="str">
        <f>VLOOKUP($B287,'[1]V1 V2'!$B$5:$BW$1894,74,0)</f>
        <v>C.F.7.A</v>
      </c>
      <c r="F287" s="144"/>
      <c r="G287" s="145" t="s">
        <v>736</v>
      </c>
      <c r="H287" s="69"/>
      <c r="I287" s="87"/>
      <c r="J287" s="86">
        <v>-20</v>
      </c>
      <c r="K287" s="147">
        <v>5.6</v>
      </c>
      <c r="L287" s="147">
        <v>5.84</v>
      </c>
      <c r="M287" s="150"/>
      <c r="N287" s="150"/>
      <c r="O287" s="151" t="s">
        <v>621</v>
      </c>
      <c r="P287" s="285" t="s">
        <v>737</v>
      </c>
      <c r="Q287" s="314" t="s">
        <v>655</v>
      </c>
      <c r="R287" s="161" t="s">
        <v>623</v>
      </c>
      <c r="S287" s="152">
        <v>1.77</v>
      </c>
      <c r="T287" s="150" t="s">
        <v>585</v>
      </c>
      <c r="U287" s="80"/>
      <c r="V287" s="259" t="s">
        <v>847</v>
      </c>
      <c r="W287" s="259" t="s">
        <v>848</v>
      </c>
      <c r="X287" s="154">
        <v>33032.389000000003</v>
      </c>
      <c r="Y287" s="154">
        <v>1772.6600000000003</v>
      </c>
      <c r="Z287" s="155"/>
      <c r="AA287" s="315" t="s">
        <v>846</v>
      </c>
      <c r="AB287" s="21" t="s">
        <v>2</v>
      </c>
      <c r="AH287" s="63">
        <v>1</v>
      </c>
      <c r="AO287" s="10" t="s">
        <v>3</v>
      </c>
      <c r="AP287" s="315" t="s">
        <v>849</v>
      </c>
      <c r="AQ287" s="155"/>
      <c r="AR287" s="154">
        <v>1773.56</v>
      </c>
      <c r="AS287" s="154">
        <f>AS285-AQ286</f>
        <v>33111.188999999991</v>
      </c>
      <c r="AT287" s="259" t="s">
        <v>850</v>
      </c>
      <c r="AU287" s="259" t="s">
        <v>851</v>
      </c>
      <c r="AV287" s="80"/>
      <c r="AW287" s="150" t="s">
        <v>585</v>
      </c>
      <c r="AX287" s="152">
        <v>1.77</v>
      </c>
      <c r="AY287" s="161" t="s">
        <v>623</v>
      </c>
      <c r="AZ287" s="314" t="s">
        <v>655</v>
      </c>
      <c r="BA287" s="285" t="s">
        <v>742</v>
      </c>
      <c r="BB287" s="151" t="s">
        <v>621</v>
      </c>
      <c r="BC287" s="150"/>
      <c r="BD287" s="150"/>
      <c r="BE287" s="147">
        <v>5.84</v>
      </c>
      <c r="BF287" s="147">
        <v>5.6</v>
      </c>
      <c r="BG287" s="86">
        <v>-20</v>
      </c>
      <c r="BH287" s="87"/>
      <c r="BI287" s="69"/>
      <c r="BJ287" s="145" t="s">
        <v>736</v>
      </c>
      <c r="BK287" s="160"/>
      <c r="BL287" s="36" t="str">
        <f>VLOOKUP($AP287,'[1]V1 V2'!$B$5:$BW$1894,74,0)</f>
        <v>C.F.7.A</v>
      </c>
      <c r="BM287" s="36" t="str">
        <f>IF('[1]V1 V2'!X286="","",'[1]V1 V2'!X286)</f>
        <v/>
      </c>
    </row>
    <row r="288" spans="1:65" ht="16" thickBot="1" x14ac:dyDescent="0.4">
      <c r="A288">
        <v>1</v>
      </c>
      <c r="B288" s="310"/>
      <c r="C288" s="311"/>
      <c r="D288" s="312"/>
      <c r="E288" s="36"/>
      <c r="F288" s="144"/>
      <c r="G288" s="145"/>
      <c r="H288" s="317" t="s">
        <v>771</v>
      </c>
      <c r="I288" s="87"/>
      <c r="J288" s="86"/>
      <c r="K288" s="147"/>
      <c r="L288" s="148"/>
      <c r="M288" s="150"/>
      <c r="N288" s="150"/>
      <c r="O288" s="151" t="s">
        <v>89</v>
      </c>
      <c r="P288" s="161"/>
      <c r="Q288" s="161" t="s">
        <v>89</v>
      </c>
      <c r="R288" s="153"/>
      <c r="S288" s="152"/>
      <c r="T288" s="150"/>
      <c r="U288" s="80"/>
      <c r="V288" s="154" t="s">
        <v>89</v>
      </c>
      <c r="W288" s="154" t="s">
        <v>89</v>
      </c>
      <c r="X288" s="253"/>
      <c r="Y288" s="154"/>
      <c r="Z288" s="155">
        <v>20</v>
      </c>
      <c r="AA288" s="315"/>
      <c r="AB288" s="21" t="s">
        <v>2</v>
      </c>
      <c r="AH288" s="63">
        <v>1</v>
      </c>
      <c r="AO288" s="10" t="s">
        <v>3</v>
      </c>
      <c r="AP288" s="315"/>
      <c r="AQ288" s="155">
        <v>20</v>
      </c>
      <c r="AR288" s="154"/>
      <c r="AS288" s="154"/>
      <c r="AT288" s="259"/>
      <c r="AU288" s="259"/>
      <c r="AV288" s="80"/>
      <c r="AW288" s="150"/>
      <c r="AX288" s="152"/>
      <c r="AY288" s="153"/>
      <c r="AZ288" s="153"/>
      <c r="BA288" s="161"/>
      <c r="BB288" s="151" t="s">
        <v>89</v>
      </c>
      <c r="BC288" s="150"/>
      <c r="BD288" s="150"/>
      <c r="BE288" s="148"/>
      <c r="BF288" s="147"/>
      <c r="BG288" s="86"/>
      <c r="BH288" s="87"/>
      <c r="BI288" s="317" t="s">
        <v>771</v>
      </c>
      <c r="BJ288" s="145"/>
      <c r="BK288" s="160"/>
      <c r="BL288" s="36"/>
      <c r="BM288" s="36" t="str">
        <f>IF('[1]V1 V2'!X287="","",'[1]V1 V2'!X287)</f>
        <v/>
      </c>
    </row>
    <row r="289" spans="1:66" ht="16" thickBot="1" x14ac:dyDescent="0.4">
      <c r="A289">
        <v>1</v>
      </c>
      <c r="B289" s="310" t="s">
        <v>852</v>
      </c>
      <c r="C289" s="311"/>
      <c r="D289" s="312"/>
      <c r="E289" s="36" t="str">
        <f>VLOOKUP($B289,'[1]V1 V2'!$B$5:$BW$1894,74,0)</f>
        <v>C.F.18.A</v>
      </c>
      <c r="F289" s="144"/>
      <c r="G289" s="145" t="s">
        <v>736</v>
      </c>
      <c r="H289" s="318"/>
      <c r="I289" s="87" t="s">
        <v>127</v>
      </c>
      <c r="J289" s="86">
        <v>0</v>
      </c>
      <c r="K289" s="147">
        <v>5.6</v>
      </c>
      <c r="L289" s="147">
        <v>5.72</v>
      </c>
      <c r="M289" s="150"/>
      <c r="N289" s="150" t="s">
        <v>621</v>
      </c>
      <c r="O289" s="151" t="s">
        <v>596</v>
      </c>
      <c r="P289" s="285" t="s">
        <v>737</v>
      </c>
      <c r="Q289" s="314" t="s">
        <v>655</v>
      </c>
      <c r="R289" s="161" t="s">
        <v>623</v>
      </c>
      <c r="S289" s="152">
        <v>1.77</v>
      </c>
      <c r="T289" s="150" t="s">
        <v>746</v>
      </c>
      <c r="U289" s="80"/>
      <c r="V289" s="259" t="s">
        <v>853</v>
      </c>
      <c r="W289" s="259" t="s">
        <v>854</v>
      </c>
      <c r="X289" s="154">
        <v>33012.389000000003</v>
      </c>
      <c r="Y289" s="154">
        <v>1792.6600000000003</v>
      </c>
      <c r="Z289" s="155"/>
      <c r="AA289" s="315" t="s">
        <v>852</v>
      </c>
      <c r="AB289" s="21" t="s">
        <v>2</v>
      </c>
      <c r="AH289" s="63">
        <v>1</v>
      </c>
      <c r="AO289" s="10" t="s">
        <v>3</v>
      </c>
      <c r="AP289" s="315" t="s">
        <v>855</v>
      </c>
      <c r="AQ289" s="155"/>
      <c r="AR289" s="154">
        <v>1793.56</v>
      </c>
      <c r="AS289" s="154">
        <f>AS287-AQ288</f>
        <v>33091.188999999991</v>
      </c>
      <c r="AT289" s="259" t="s">
        <v>856</v>
      </c>
      <c r="AU289" s="259" t="s">
        <v>857</v>
      </c>
      <c r="AV289" s="322"/>
      <c r="AW289" s="150" t="s">
        <v>746</v>
      </c>
      <c r="AX289" s="152">
        <v>1.77</v>
      </c>
      <c r="AY289" s="161" t="s">
        <v>623</v>
      </c>
      <c r="AZ289" s="314" t="s">
        <v>655</v>
      </c>
      <c r="BA289" s="285" t="s">
        <v>742</v>
      </c>
      <c r="BB289" s="151" t="s">
        <v>596</v>
      </c>
      <c r="BC289" s="150" t="s">
        <v>621</v>
      </c>
      <c r="BD289" s="150"/>
      <c r="BE289" s="147">
        <v>5.72</v>
      </c>
      <c r="BF289" s="147">
        <v>5.6</v>
      </c>
      <c r="BG289" s="86">
        <v>0</v>
      </c>
      <c r="BH289" s="201" t="s">
        <v>127</v>
      </c>
      <c r="BI289" s="318"/>
      <c r="BJ289" s="145" t="s">
        <v>736</v>
      </c>
      <c r="BK289" s="160"/>
      <c r="BL289" s="36" t="str">
        <f>VLOOKUP($AP289,'[1]V1 V2'!$B$5:$BW$1894,74,0)</f>
        <v>C.F.18.A</v>
      </c>
      <c r="BM289" s="36" t="str">
        <f>IF('[1]V1 V2'!X288="","",'[1]V1 V2'!X288)</f>
        <v/>
      </c>
    </row>
    <row r="290" spans="1:66" ht="16" thickBot="1" x14ac:dyDescent="0.4">
      <c r="A290">
        <v>1</v>
      </c>
      <c r="B290" s="310"/>
      <c r="C290" s="311"/>
      <c r="D290" s="312"/>
      <c r="E290" s="36"/>
      <c r="F290" s="144"/>
      <c r="G290" s="145"/>
      <c r="H290" s="317"/>
      <c r="I290" s="87"/>
      <c r="J290" s="86"/>
      <c r="K290" s="147"/>
      <c r="L290" s="148"/>
      <c r="M290" s="150"/>
      <c r="N290" s="150"/>
      <c r="O290" s="151" t="s">
        <v>89</v>
      </c>
      <c r="P290" s="161"/>
      <c r="Q290" s="161" t="s">
        <v>89</v>
      </c>
      <c r="R290" s="153"/>
      <c r="S290" s="152"/>
      <c r="T290" s="150"/>
      <c r="U290" s="80"/>
      <c r="V290" s="154" t="s">
        <v>89</v>
      </c>
      <c r="W290" s="154" t="s">
        <v>89</v>
      </c>
      <c r="X290" s="253"/>
      <c r="Y290" s="154"/>
      <c r="Z290" s="155">
        <v>20</v>
      </c>
      <c r="AA290" s="315"/>
      <c r="AB290" s="21" t="s">
        <v>2</v>
      </c>
      <c r="AH290" s="63">
        <v>1</v>
      </c>
      <c r="AO290" s="10" t="s">
        <v>3</v>
      </c>
      <c r="AP290" s="315"/>
      <c r="AQ290" s="155">
        <v>20</v>
      </c>
      <c r="AR290" s="154"/>
      <c r="AS290" s="154"/>
      <c r="AT290" s="259"/>
      <c r="AU290" s="259"/>
      <c r="AV290" s="80"/>
      <c r="AW290" s="150"/>
      <c r="AX290" s="152"/>
      <c r="AY290" s="153"/>
      <c r="AZ290" s="153"/>
      <c r="BA290" s="161"/>
      <c r="BB290" s="151" t="s">
        <v>89</v>
      </c>
      <c r="BC290" s="150"/>
      <c r="BD290" s="150"/>
      <c r="BE290" s="148"/>
      <c r="BF290" s="147"/>
      <c r="BG290" s="86"/>
      <c r="BH290" s="87"/>
      <c r="BI290" s="317"/>
      <c r="BJ290" s="145"/>
      <c r="BK290" s="160"/>
      <c r="BL290" s="36"/>
      <c r="BM290" s="36" t="str">
        <f>IF('[1]V1 V2'!X289="","",'[1]V1 V2'!X289)</f>
        <v/>
      </c>
    </row>
    <row r="291" spans="1:66" ht="16" thickBot="1" x14ac:dyDescent="0.4">
      <c r="A291">
        <v>1</v>
      </c>
      <c r="B291" s="310" t="s">
        <v>858</v>
      </c>
      <c r="C291" s="311"/>
      <c r="D291" s="312"/>
      <c r="E291" s="36" t="str">
        <f>VLOOKUP($B291,'[1]V1 V2'!$B$5:$BW$1894,74,0)</f>
        <v>C.F.18.B</v>
      </c>
      <c r="F291" s="144"/>
      <c r="G291" s="145"/>
      <c r="H291" s="92" t="s">
        <v>8</v>
      </c>
      <c r="I291" s="87">
        <v>0</v>
      </c>
      <c r="J291" s="86">
        <v>-20</v>
      </c>
      <c r="K291" s="147">
        <v>5.6</v>
      </c>
      <c r="L291" s="147">
        <v>5.6</v>
      </c>
      <c r="M291" s="150"/>
      <c r="N291" s="150" t="s">
        <v>621</v>
      </c>
      <c r="O291" s="151" t="s">
        <v>596</v>
      </c>
      <c r="P291" s="285" t="s">
        <v>737</v>
      </c>
      <c r="Q291" s="314" t="s">
        <v>655</v>
      </c>
      <c r="R291" s="161" t="s">
        <v>623</v>
      </c>
      <c r="S291" s="152">
        <v>1.77</v>
      </c>
      <c r="T291" s="150" t="s">
        <v>753</v>
      </c>
      <c r="U291" s="80"/>
      <c r="V291" s="259" t="s">
        <v>859</v>
      </c>
      <c r="W291" s="259" t="s">
        <v>860</v>
      </c>
      <c r="X291" s="154">
        <v>32992.389000000003</v>
      </c>
      <c r="Y291" s="154">
        <v>1812.6600000000003</v>
      </c>
      <c r="Z291" s="155"/>
      <c r="AA291" s="315" t="s">
        <v>858</v>
      </c>
      <c r="AB291" s="21" t="s">
        <v>2</v>
      </c>
      <c r="AH291" s="63">
        <v>1</v>
      </c>
      <c r="AO291" s="10" t="s">
        <v>3</v>
      </c>
      <c r="AP291" s="315" t="s">
        <v>861</v>
      </c>
      <c r="AQ291" s="155"/>
      <c r="AR291" s="154">
        <v>1813.56</v>
      </c>
      <c r="AS291" s="154">
        <f>AS289-AQ290</f>
        <v>33071.188999999991</v>
      </c>
      <c r="AT291" s="259" t="s">
        <v>862</v>
      </c>
      <c r="AU291" s="259" t="s">
        <v>863</v>
      </c>
      <c r="AV291" s="322"/>
      <c r="AW291" s="150" t="s">
        <v>753</v>
      </c>
      <c r="AX291" s="152">
        <v>1.77</v>
      </c>
      <c r="AY291" s="161" t="s">
        <v>623</v>
      </c>
      <c r="AZ291" s="314" t="s">
        <v>655</v>
      </c>
      <c r="BA291" s="285" t="s">
        <v>742</v>
      </c>
      <c r="BB291" s="151" t="s">
        <v>596</v>
      </c>
      <c r="BC291" s="150" t="s">
        <v>621</v>
      </c>
      <c r="BD291" s="150"/>
      <c r="BE291" s="147">
        <v>5.6</v>
      </c>
      <c r="BF291" s="147">
        <v>5.6</v>
      </c>
      <c r="BG291" s="86">
        <v>-20</v>
      </c>
      <c r="BH291" s="87">
        <v>0</v>
      </c>
      <c r="BI291" s="92" t="s">
        <v>8</v>
      </c>
      <c r="BJ291" s="145"/>
      <c r="BK291" s="160"/>
      <c r="BL291" s="36" t="str">
        <f>VLOOKUP($AP291,'[1]V1 V2'!$B$5:$BW$1894,74,0)</f>
        <v>C.F.18.B</v>
      </c>
      <c r="BM291" s="36" t="str">
        <f>IF('[1]V1 V2'!X290="","",'[1]V1 V2'!X290)</f>
        <v/>
      </c>
    </row>
    <row r="292" spans="1:66" ht="16" thickBot="1" x14ac:dyDescent="0.4">
      <c r="A292">
        <v>1</v>
      </c>
      <c r="B292" s="310"/>
      <c r="C292" s="311"/>
      <c r="D292" s="312"/>
      <c r="E292" s="36"/>
      <c r="F292" s="144"/>
      <c r="G292" s="145"/>
      <c r="H292" s="317"/>
      <c r="I292" s="87"/>
      <c r="J292" s="86"/>
      <c r="K292" s="147"/>
      <c r="L292" s="148"/>
      <c r="M292" s="150"/>
      <c r="N292" s="150"/>
      <c r="O292" s="151" t="s">
        <v>89</v>
      </c>
      <c r="P292" s="161"/>
      <c r="Q292" s="161" t="s">
        <v>89</v>
      </c>
      <c r="R292" s="153"/>
      <c r="S292" s="152"/>
      <c r="T292" s="150"/>
      <c r="U292" s="80"/>
      <c r="V292" s="154" t="s">
        <v>89</v>
      </c>
      <c r="W292" s="154" t="s">
        <v>89</v>
      </c>
      <c r="X292" s="253"/>
      <c r="Y292" s="154"/>
      <c r="Z292" s="155">
        <v>20</v>
      </c>
      <c r="AA292" s="315"/>
      <c r="AB292" s="21" t="s">
        <v>2</v>
      </c>
      <c r="AH292" s="63">
        <v>1</v>
      </c>
      <c r="AO292" s="10" t="s">
        <v>3</v>
      </c>
      <c r="AP292" s="315"/>
      <c r="AQ292" s="155">
        <v>20</v>
      </c>
      <c r="AR292" s="154"/>
      <c r="AS292" s="154"/>
      <c r="AT292" s="259"/>
      <c r="AU292" s="259"/>
      <c r="AV292" s="80"/>
      <c r="AW292" s="150"/>
      <c r="AX292" s="152"/>
      <c r="AY292" s="153"/>
      <c r="AZ292" s="161"/>
      <c r="BA292" s="161"/>
      <c r="BB292" s="151" t="s">
        <v>89</v>
      </c>
      <c r="BC292" s="150"/>
      <c r="BD292" s="150"/>
      <c r="BE292" s="148"/>
      <c r="BF292" s="147"/>
      <c r="BG292" s="86"/>
      <c r="BH292" s="87"/>
      <c r="BI292" s="317"/>
      <c r="BJ292" s="145"/>
      <c r="BK292" s="160"/>
      <c r="BL292" s="36"/>
      <c r="BM292" s="36" t="str">
        <f>IF('[1]V1 V2'!X291="","",'[1]V1 V2'!X291)</f>
        <v/>
      </c>
    </row>
    <row r="293" spans="1:66" ht="16" thickBot="1" x14ac:dyDescent="0.4">
      <c r="A293">
        <v>1</v>
      </c>
      <c r="B293" s="310" t="s">
        <v>864</v>
      </c>
      <c r="C293" s="311"/>
      <c r="D293" s="312"/>
      <c r="E293" s="36" t="str">
        <f>VLOOKUP($B293,'[1]V1 V2'!$B$5:$BW$1894,74,0)</f>
        <v>C.F.18.B</v>
      </c>
      <c r="F293" s="144"/>
      <c r="G293" s="145"/>
      <c r="H293" s="317"/>
      <c r="I293" s="87" t="s">
        <v>127</v>
      </c>
      <c r="J293" s="86">
        <v>0</v>
      </c>
      <c r="K293" s="147">
        <v>5.6</v>
      </c>
      <c r="L293" s="147">
        <v>5.6</v>
      </c>
      <c r="M293" s="150"/>
      <c r="N293" s="150" t="s">
        <v>596</v>
      </c>
      <c r="O293" s="151" t="s">
        <v>621</v>
      </c>
      <c r="P293" s="285" t="s">
        <v>737</v>
      </c>
      <c r="Q293" s="314" t="s">
        <v>655</v>
      </c>
      <c r="R293" s="161" t="s">
        <v>623</v>
      </c>
      <c r="S293" s="152">
        <v>1.77</v>
      </c>
      <c r="T293" s="150" t="s">
        <v>753</v>
      </c>
      <c r="U293" s="80"/>
      <c r="V293" s="259" t="s">
        <v>865</v>
      </c>
      <c r="W293" s="259" t="s">
        <v>866</v>
      </c>
      <c r="X293" s="154">
        <v>32972.389000000003</v>
      </c>
      <c r="Y293" s="154">
        <v>1832.6600000000003</v>
      </c>
      <c r="Z293" s="155"/>
      <c r="AA293" s="315" t="s">
        <v>864</v>
      </c>
      <c r="AB293" s="21" t="s">
        <v>2</v>
      </c>
      <c r="AH293" s="63">
        <v>1</v>
      </c>
      <c r="AO293" s="10" t="s">
        <v>3</v>
      </c>
      <c r="AP293" s="315" t="s">
        <v>867</v>
      </c>
      <c r="AQ293" s="155"/>
      <c r="AR293" s="154">
        <v>1833.56</v>
      </c>
      <c r="AS293" s="154">
        <f>AS291-AQ292</f>
        <v>33051.188999999991</v>
      </c>
      <c r="AT293" s="259" t="s">
        <v>868</v>
      </c>
      <c r="AU293" s="259" t="s">
        <v>869</v>
      </c>
      <c r="AV293" s="322"/>
      <c r="AW293" s="150" t="s">
        <v>753</v>
      </c>
      <c r="AX293" s="152">
        <v>1.77</v>
      </c>
      <c r="AY293" s="161" t="s">
        <v>623</v>
      </c>
      <c r="AZ293" s="314" t="s">
        <v>655</v>
      </c>
      <c r="BA293" s="285" t="s">
        <v>742</v>
      </c>
      <c r="BB293" s="151" t="s">
        <v>621</v>
      </c>
      <c r="BC293" s="150" t="s">
        <v>870</v>
      </c>
      <c r="BD293" s="150"/>
      <c r="BE293" s="147">
        <v>5.6</v>
      </c>
      <c r="BF293" s="147">
        <v>5.6</v>
      </c>
      <c r="BG293" s="86">
        <v>0</v>
      </c>
      <c r="BH293" s="201" t="s">
        <v>127</v>
      </c>
      <c r="BI293" s="317"/>
      <c r="BJ293" s="145"/>
      <c r="BK293" s="160"/>
      <c r="BL293" s="36" t="str">
        <f>VLOOKUP($AP293,'[1]V1 V2'!$B$5:$BW$1894,74,0)</f>
        <v>C.F.18.B</v>
      </c>
      <c r="BM293" s="36" t="str">
        <f>IF('[1]V1 V2'!X292="","",'[1]V1 V2'!X292)</f>
        <v/>
      </c>
    </row>
    <row r="294" spans="1:66" ht="16" thickBot="1" x14ac:dyDescent="0.4">
      <c r="A294">
        <v>1</v>
      </c>
      <c r="B294" s="310"/>
      <c r="C294" s="311"/>
      <c r="D294" s="312"/>
      <c r="E294" s="36"/>
      <c r="F294" s="144"/>
      <c r="G294" s="145"/>
      <c r="H294" s="317" t="s">
        <v>871</v>
      </c>
      <c r="I294" s="87"/>
      <c r="J294" s="86"/>
      <c r="K294" s="147"/>
      <c r="L294" s="148"/>
      <c r="M294" s="149"/>
      <c r="N294" s="150"/>
      <c r="O294" s="151" t="s">
        <v>89</v>
      </c>
      <c r="P294" s="161"/>
      <c r="Q294" s="161" t="s">
        <v>89</v>
      </c>
      <c r="R294" s="153"/>
      <c r="S294" s="152"/>
      <c r="T294" s="150"/>
      <c r="U294" s="80"/>
      <c r="V294" s="154" t="s">
        <v>89</v>
      </c>
      <c r="W294" s="154" t="s">
        <v>89</v>
      </c>
      <c r="X294" s="253"/>
      <c r="Y294" s="154"/>
      <c r="Z294" s="155">
        <v>20</v>
      </c>
      <c r="AA294" s="315"/>
      <c r="AB294" s="21" t="s">
        <v>2</v>
      </c>
      <c r="AH294" s="63">
        <v>1</v>
      </c>
      <c r="AO294" s="10" t="s">
        <v>3</v>
      </c>
      <c r="AP294" s="315"/>
      <c r="AQ294" s="155">
        <v>20</v>
      </c>
      <c r="AR294" s="154"/>
      <c r="AS294" s="154"/>
      <c r="AT294" s="259"/>
      <c r="AU294" s="259"/>
      <c r="AV294" s="80"/>
      <c r="AW294" s="150"/>
      <c r="AX294" s="152"/>
      <c r="AY294" s="153"/>
      <c r="AZ294" s="153"/>
      <c r="BA294" s="161"/>
      <c r="BB294" s="157" t="s">
        <v>89</v>
      </c>
      <c r="BC294" s="149"/>
      <c r="BD294" s="149"/>
      <c r="BE294" s="148"/>
      <c r="BF294" s="147"/>
      <c r="BG294" s="86"/>
      <c r="BH294" s="87"/>
      <c r="BI294" s="318"/>
      <c r="BJ294" s="145"/>
      <c r="BK294" s="160"/>
      <c r="BL294" s="36"/>
      <c r="BM294" s="36" t="str">
        <f>IF('[1]V1 V2'!X293="","",'[1]V1 V2'!X293)</f>
        <v/>
      </c>
    </row>
    <row r="295" spans="1:66" ht="16" thickBot="1" x14ac:dyDescent="0.4">
      <c r="A295">
        <v>1</v>
      </c>
      <c r="B295" s="310" t="s">
        <v>872</v>
      </c>
      <c r="C295" s="311"/>
      <c r="D295" s="312"/>
      <c r="E295" s="36" t="str">
        <f>VLOOKUP($B295,'[1]V1 V2'!$B$5:$BW$1894,74,0)</f>
        <v>C.F.17</v>
      </c>
      <c r="F295" s="144"/>
      <c r="G295" s="145" t="s">
        <v>736</v>
      </c>
      <c r="H295" s="317"/>
      <c r="I295" s="87">
        <v>0</v>
      </c>
      <c r="J295" s="86">
        <v>-20</v>
      </c>
      <c r="K295" s="147">
        <v>5.72</v>
      </c>
      <c r="L295" s="147">
        <v>5.6</v>
      </c>
      <c r="M295" s="150"/>
      <c r="N295" s="150" t="s">
        <v>596</v>
      </c>
      <c r="O295" s="151" t="s">
        <v>621</v>
      </c>
      <c r="P295" s="285" t="s">
        <v>737</v>
      </c>
      <c r="Q295" s="314" t="s">
        <v>655</v>
      </c>
      <c r="R295" s="161" t="s">
        <v>623</v>
      </c>
      <c r="S295" s="152">
        <v>1.77</v>
      </c>
      <c r="T295" s="150" t="s">
        <v>746</v>
      </c>
      <c r="U295" s="80"/>
      <c r="V295" s="259" t="s">
        <v>873</v>
      </c>
      <c r="W295" s="259" t="s">
        <v>874</v>
      </c>
      <c r="X295" s="154">
        <v>32952.389000000003</v>
      </c>
      <c r="Y295" s="154">
        <v>1852.6600000000003</v>
      </c>
      <c r="Z295" s="155"/>
      <c r="AA295" s="315" t="s">
        <v>872</v>
      </c>
      <c r="AB295" s="21" t="s">
        <v>2</v>
      </c>
      <c r="AH295" s="63">
        <v>1</v>
      </c>
      <c r="AO295" s="10" t="s">
        <v>3</v>
      </c>
      <c r="AP295" s="315" t="s">
        <v>875</v>
      </c>
      <c r="AQ295" s="155"/>
      <c r="AR295" s="154">
        <v>1853.56</v>
      </c>
      <c r="AS295" s="154">
        <f>AS293-AQ294</f>
        <v>33031.188999999991</v>
      </c>
      <c r="AT295" s="259" t="s">
        <v>876</v>
      </c>
      <c r="AU295" s="259" t="s">
        <v>877</v>
      </c>
      <c r="AV295" s="322"/>
      <c r="AW295" s="150" t="s">
        <v>746</v>
      </c>
      <c r="AX295" s="152">
        <v>1.77</v>
      </c>
      <c r="AY295" s="161" t="s">
        <v>623</v>
      </c>
      <c r="AZ295" s="314" t="s">
        <v>655</v>
      </c>
      <c r="BA295" s="285" t="s">
        <v>742</v>
      </c>
      <c r="BB295" s="157" t="s">
        <v>621</v>
      </c>
      <c r="BC295" s="150" t="s">
        <v>870</v>
      </c>
      <c r="BD295" s="150"/>
      <c r="BE295" s="147">
        <v>5.6</v>
      </c>
      <c r="BF295" s="147">
        <v>5.72</v>
      </c>
      <c r="BG295" s="86">
        <v>-20</v>
      </c>
      <c r="BH295" s="87">
        <v>0</v>
      </c>
      <c r="BI295" s="317"/>
      <c r="BJ295" s="145" t="s">
        <v>736</v>
      </c>
      <c r="BK295" s="160"/>
      <c r="BL295" s="36" t="str">
        <f>VLOOKUP($AP295,'[1]V1 V2'!$B$5:$BW$1894,74,0)</f>
        <v>C.F.17</v>
      </c>
      <c r="BM295" s="36" t="str">
        <f>IF('[1]V1 V2'!X294="","",'[1]V1 V2'!X294)</f>
        <v/>
      </c>
    </row>
    <row r="296" spans="1:66" ht="16" thickBot="1" x14ac:dyDescent="0.4">
      <c r="A296">
        <v>1</v>
      </c>
      <c r="B296" s="310"/>
      <c r="C296" s="311"/>
      <c r="D296" s="312"/>
      <c r="E296" s="36"/>
      <c r="F296" s="144"/>
      <c r="G296" s="145"/>
      <c r="H296" s="317" t="s">
        <v>871</v>
      </c>
      <c r="I296" s="87"/>
      <c r="J296" s="86"/>
      <c r="K296" s="147"/>
      <c r="L296" s="148"/>
      <c r="M296" s="149"/>
      <c r="N296" s="150"/>
      <c r="O296" s="151" t="s">
        <v>89</v>
      </c>
      <c r="P296" s="161"/>
      <c r="Q296" s="161" t="s">
        <v>89</v>
      </c>
      <c r="R296" s="153"/>
      <c r="S296" s="152"/>
      <c r="T296" s="150"/>
      <c r="U296" s="80"/>
      <c r="V296" s="154" t="s">
        <v>89</v>
      </c>
      <c r="W296" s="154" t="s">
        <v>89</v>
      </c>
      <c r="X296" s="253"/>
      <c r="Y296" s="154"/>
      <c r="Z296" s="155">
        <v>20</v>
      </c>
      <c r="AA296" s="315"/>
      <c r="AB296" s="21" t="s">
        <v>2</v>
      </c>
      <c r="AH296" s="63">
        <v>1</v>
      </c>
      <c r="AO296" s="10" t="s">
        <v>3</v>
      </c>
      <c r="AP296" s="315"/>
      <c r="AQ296" s="155">
        <v>20</v>
      </c>
      <c r="AR296" s="154"/>
      <c r="AS296" s="154"/>
      <c r="AT296" s="259"/>
      <c r="AU296" s="259"/>
      <c r="AV296" s="80"/>
      <c r="AW296" s="150"/>
      <c r="AX296" s="152"/>
      <c r="AY296" s="153"/>
      <c r="AZ296" s="153"/>
      <c r="BA296" s="161"/>
      <c r="BB296" s="157" t="s">
        <v>89</v>
      </c>
      <c r="BC296" s="149"/>
      <c r="BD296" s="149"/>
      <c r="BE296" s="148"/>
      <c r="BF296" s="147"/>
      <c r="BG296" s="86"/>
      <c r="BH296" s="87"/>
      <c r="BI296" s="318" t="s">
        <v>878</v>
      </c>
      <c r="BJ296" s="145"/>
      <c r="BK296" s="160"/>
      <c r="BL296" s="36"/>
      <c r="BM296" s="36" t="str">
        <f>IF('[1]V1 V2'!X295="","",'[1]V1 V2'!X295)</f>
        <v/>
      </c>
    </row>
    <row r="297" spans="1:66" ht="16" thickBot="1" x14ac:dyDescent="0.4">
      <c r="A297">
        <v>1</v>
      </c>
      <c r="B297" s="310" t="s">
        <v>879</v>
      </c>
      <c r="C297" s="311"/>
      <c r="D297" s="312"/>
      <c r="E297" s="36" t="str">
        <f>VLOOKUP($B297,'[1]V1 V2'!$B$5:$BW$1894,74,0)</f>
        <v>C.F.6</v>
      </c>
      <c r="F297" s="144"/>
      <c r="G297" s="145" t="s">
        <v>736</v>
      </c>
      <c r="H297" s="98"/>
      <c r="I297" s="257"/>
      <c r="J297" s="158">
        <v>-20</v>
      </c>
      <c r="K297" s="147">
        <v>5.84</v>
      </c>
      <c r="L297" s="148">
        <v>5.6</v>
      </c>
      <c r="M297" s="149"/>
      <c r="N297" s="150"/>
      <c r="O297" s="151" t="s">
        <v>596</v>
      </c>
      <c r="P297" s="285" t="s">
        <v>737</v>
      </c>
      <c r="Q297" s="314" t="s">
        <v>655</v>
      </c>
      <c r="R297" s="161" t="s">
        <v>623</v>
      </c>
      <c r="S297" s="152">
        <v>1.77</v>
      </c>
      <c r="T297" s="150" t="s">
        <v>585</v>
      </c>
      <c r="U297" s="80" t="s">
        <v>48</v>
      </c>
      <c r="V297" s="259" t="s">
        <v>880</v>
      </c>
      <c r="W297" s="259" t="s">
        <v>881</v>
      </c>
      <c r="X297" s="154">
        <v>32932.389000000003</v>
      </c>
      <c r="Y297" s="154">
        <v>1872.6600000000003</v>
      </c>
      <c r="Z297" s="155"/>
      <c r="AA297" s="315" t="s">
        <v>879</v>
      </c>
      <c r="AB297" s="21" t="s">
        <v>2</v>
      </c>
      <c r="AH297" s="63">
        <v>1</v>
      </c>
      <c r="AO297" s="10" t="s">
        <v>3</v>
      </c>
      <c r="AP297" s="315" t="s">
        <v>882</v>
      </c>
      <c r="AQ297" s="155"/>
      <c r="AR297" s="154">
        <v>1873.56</v>
      </c>
      <c r="AS297" s="154">
        <f>AS295-AQ296</f>
        <v>33011.188999999991</v>
      </c>
      <c r="AT297" s="259" t="s">
        <v>883</v>
      </c>
      <c r="AU297" s="259" t="s">
        <v>884</v>
      </c>
      <c r="AV297" s="80" t="s">
        <v>48</v>
      </c>
      <c r="AW297" s="150" t="s">
        <v>585</v>
      </c>
      <c r="AX297" s="152">
        <v>1.77</v>
      </c>
      <c r="AY297" s="161" t="s">
        <v>623</v>
      </c>
      <c r="AZ297" s="314" t="s">
        <v>655</v>
      </c>
      <c r="BA297" s="285" t="s">
        <v>742</v>
      </c>
      <c r="BB297" s="157" t="s">
        <v>596</v>
      </c>
      <c r="BC297" s="149"/>
      <c r="BD297" s="149"/>
      <c r="BE297" s="148">
        <v>5.6</v>
      </c>
      <c r="BF297" s="147">
        <v>5.84</v>
      </c>
      <c r="BG297" s="158">
        <v>-20</v>
      </c>
      <c r="BH297" s="257"/>
      <c r="BI297" s="98"/>
      <c r="BJ297" s="145" t="s">
        <v>736</v>
      </c>
      <c r="BK297" s="160"/>
      <c r="BL297" s="36" t="str">
        <f>VLOOKUP($AP297,'[1]V1 V2'!$B$5:$BW$1894,74,0)</f>
        <v>C.F.6</v>
      </c>
      <c r="BM297" s="36" t="str">
        <f>IF('[1]V1 V2'!X296="","",'[1]V1 V2'!X296)</f>
        <v/>
      </c>
      <c r="BN297">
        <v>1</v>
      </c>
    </row>
    <row r="298" spans="1:66" ht="16" thickBot="1" x14ac:dyDescent="0.4">
      <c r="A298">
        <v>1</v>
      </c>
      <c r="B298" s="304"/>
      <c r="C298" s="305"/>
      <c r="D298" s="306"/>
      <c r="E298" s="36"/>
      <c r="F298" s="168"/>
      <c r="G298" s="169"/>
      <c r="H298" s="170"/>
      <c r="I298" s="57"/>
      <c r="J298" s="56"/>
      <c r="K298" s="171"/>
      <c r="L298" s="142"/>
      <c r="M298" s="172"/>
      <c r="N298" s="173"/>
      <c r="O298" s="174" t="s">
        <v>89</v>
      </c>
      <c r="P298" s="223"/>
      <c r="Q298" s="221" t="s">
        <v>89</v>
      </c>
      <c r="R298" s="182"/>
      <c r="S298" s="175"/>
      <c r="T298" s="173"/>
      <c r="U298" s="62"/>
      <c r="V298" s="177" t="s">
        <v>89</v>
      </c>
      <c r="W298" s="177" t="s">
        <v>89</v>
      </c>
      <c r="X298" s="230"/>
      <c r="Y298" s="177"/>
      <c r="Z298" s="178">
        <v>20.100000000000001</v>
      </c>
      <c r="AA298" s="297"/>
      <c r="AB298" s="21" t="s">
        <v>2</v>
      </c>
      <c r="AH298" s="63">
        <v>1</v>
      </c>
      <c r="AO298" s="10" t="s">
        <v>3</v>
      </c>
      <c r="AP298" s="297"/>
      <c r="AQ298" s="178">
        <v>19.899999999999999</v>
      </c>
      <c r="AR298" s="177"/>
      <c r="AS298" s="222"/>
      <c r="AT298" s="298"/>
      <c r="AU298" s="298"/>
      <c r="AV298" s="62"/>
      <c r="AW298" s="173"/>
      <c r="AX298" s="175"/>
      <c r="AY298" s="182"/>
      <c r="AZ298" s="221"/>
      <c r="BA298" s="171"/>
      <c r="BB298" s="180" t="s">
        <v>89</v>
      </c>
      <c r="BC298" s="172"/>
      <c r="BD298" s="172"/>
      <c r="BE298" s="142"/>
      <c r="BF298" s="171"/>
      <c r="BG298" s="56"/>
      <c r="BH298" s="57"/>
      <c r="BI298" s="170"/>
      <c r="BJ298" s="169"/>
      <c r="BK298" s="181"/>
      <c r="BL298" s="36"/>
      <c r="BM298" s="36" t="str">
        <f>IF('[1]V1 V2'!X297="","",'[1]V1 V2'!X297)</f>
        <v/>
      </c>
    </row>
    <row r="299" spans="1:66" ht="16" thickBot="1" x14ac:dyDescent="0.4">
      <c r="A299">
        <v>1</v>
      </c>
      <c r="B299" s="304" t="s">
        <v>885</v>
      </c>
      <c r="C299" s="305"/>
      <c r="D299" s="306"/>
      <c r="E299" s="36" t="str">
        <f>VLOOKUP($B299,'[1]V1 V2'!$B$5:$BW$1894,74,0)</f>
        <v>C.F.5.B</v>
      </c>
      <c r="F299" s="168"/>
      <c r="G299" s="169"/>
      <c r="H299" s="170"/>
      <c r="I299" s="57"/>
      <c r="J299" s="56">
        <v>-20</v>
      </c>
      <c r="K299" s="171"/>
      <c r="L299" s="171">
        <v>5.6</v>
      </c>
      <c r="M299" s="172"/>
      <c r="N299" s="173"/>
      <c r="O299" s="174" t="s">
        <v>596</v>
      </c>
      <c r="P299" s="285" t="s">
        <v>670</v>
      </c>
      <c r="Q299" s="288" t="s">
        <v>655</v>
      </c>
      <c r="R299" s="176" t="s">
        <v>623</v>
      </c>
      <c r="S299" s="175">
        <v>1.77</v>
      </c>
      <c r="T299" s="173" t="s">
        <v>30</v>
      </c>
      <c r="U299" s="62" t="s">
        <v>48</v>
      </c>
      <c r="V299" s="298" t="s">
        <v>886</v>
      </c>
      <c r="W299" s="298" t="s">
        <v>887</v>
      </c>
      <c r="X299" s="177">
        <v>32912.289000000004</v>
      </c>
      <c r="Y299" s="177">
        <v>1892.7600000000002</v>
      </c>
      <c r="Z299" s="178"/>
      <c r="AA299" s="297" t="s">
        <v>885</v>
      </c>
      <c r="AB299" s="21" t="s">
        <v>2</v>
      </c>
      <c r="AH299" s="63">
        <v>1</v>
      </c>
      <c r="AO299" s="10" t="s">
        <v>3</v>
      </c>
      <c r="AP299" s="297" t="s">
        <v>888</v>
      </c>
      <c r="AQ299" s="178"/>
      <c r="AR299" s="177">
        <v>1893.46</v>
      </c>
      <c r="AS299" s="222">
        <f>AS297-AQ298</f>
        <v>32991.28899999999</v>
      </c>
      <c r="AT299" s="298" t="s">
        <v>889</v>
      </c>
      <c r="AU299" s="298" t="s">
        <v>890</v>
      </c>
      <c r="AV299" s="62" t="s">
        <v>48</v>
      </c>
      <c r="AW299" s="173" t="s">
        <v>30</v>
      </c>
      <c r="AX299" s="175">
        <v>1.77</v>
      </c>
      <c r="AY299" s="176" t="s">
        <v>623</v>
      </c>
      <c r="AZ299" s="288" t="s">
        <v>655</v>
      </c>
      <c r="BA299" s="285" t="s">
        <v>670</v>
      </c>
      <c r="BB299" s="180" t="s">
        <v>596</v>
      </c>
      <c r="BC299" s="172"/>
      <c r="BD299" s="172"/>
      <c r="BE299" s="171">
        <v>5.6</v>
      </c>
      <c r="BF299" s="171"/>
      <c r="BG299" s="56">
        <v>-20</v>
      </c>
      <c r="BH299" s="57"/>
      <c r="BI299" s="170"/>
      <c r="BJ299" s="169"/>
      <c r="BK299" s="181"/>
      <c r="BL299" s="36" t="str">
        <f>VLOOKUP($AP299,'[1]V1 V2'!$B$5:$BW$1894,74,0)</f>
        <v>C.F.5.B</v>
      </c>
      <c r="BM299" s="36" t="str">
        <f>IF('[1]V1 V2'!X298="","",'[1]V1 V2'!X298)</f>
        <v/>
      </c>
    </row>
    <row r="300" spans="1:66" ht="16" thickBot="1" x14ac:dyDescent="0.4">
      <c r="A300">
        <v>1</v>
      </c>
      <c r="B300" s="304"/>
      <c r="C300" s="305"/>
      <c r="D300" s="306"/>
      <c r="E300" s="36"/>
      <c r="F300" s="168"/>
      <c r="G300" s="169"/>
      <c r="H300" s="170"/>
      <c r="I300" s="57"/>
      <c r="J300" s="56"/>
      <c r="K300" s="171"/>
      <c r="L300" s="142"/>
      <c r="M300" s="172"/>
      <c r="N300" s="173"/>
      <c r="O300" s="174" t="s">
        <v>89</v>
      </c>
      <c r="P300" s="223"/>
      <c r="Q300" s="221" t="s">
        <v>89</v>
      </c>
      <c r="R300" s="182"/>
      <c r="S300" s="175"/>
      <c r="T300" s="173"/>
      <c r="U300" s="62"/>
      <c r="V300" s="177" t="s">
        <v>89</v>
      </c>
      <c r="W300" s="177" t="s">
        <v>89</v>
      </c>
      <c r="X300" s="230"/>
      <c r="Y300" s="177"/>
      <c r="Z300" s="178">
        <v>20.100000000000001</v>
      </c>
      <c r="AA300" s="297"/>
      <c r="AB300" s="21" t="s">
        <v>2</v>
      </c>
      <c r="AH300" s="63">
        <v>1</v>
      </c>
      <c r="AO300" s="10" t="s">
        <v>3</v>
      </c>
      <c r="AP300" s="297"/>
      <c r="AQ300" s="178">
        <v>19.899999999999999</v>
      </c>
      <c r="AR300" s="177"/>
      <c r="AS300" s="222"/>
      <c r="AT300" s="298"/>
      <c r="AU300" s="298"/>
      <c r="AV300" s="62"/>
      <c r="AW300" s="173"/>
      <c r="AX300" s="175"/>
      <c r="AY300" s="182"/>
      <c r="AZ300" s="223"/>
      <c r="BA300" s="221"/>
      <c r="BB300" s="180" t="s">
        <v>89</v>
      </c>
      <c r="BC300" s="172"/>
      <c r="BD300" s="172"/>
      <c r="BE300" s="142"/>
      <c r="BF300" s="171"/>
      <c r="BG300" s="56"/>
      <c r="BH300" s="57"/>
      <c r="BI300" s="170"/>
      <c r="BJ300" s="169"/>
      <c r="BK300" s="181"/>
      <c r="BL300" s="36"/>
      <c r="BM300" s="36" t="str">
        <f>IF('[1]V1 V2'!X299="","",'[1]V1 V2'!X299)</f>
        <v/>
      </c>
    </row>
    <row r="301" spans="1:66" ht="16" thickBot="1" x14ac:dyDescent="0.4">
      <c r="A301">
        <v>1</v>
      </c>
      <c r="B301" s="304" t="s">
        <v>891</v>
      </c>
      <c r="C301" s="305"/>
      <c r="D301" s="306"/>
      <c r="E301" s="36" t="str">
        <f>VLOOKUP($B301,'[1]V1 V2'!$B$5:$BW$1894,74,0)</f>
        <v>C.F.5.B</v>
      </c>
      <c r="F301" s="168"/>
      <c r="G301" s="169"/>
      <c r="H301" s="170"/>
      <c r="I301" s="57"/>
      <c r="J301" s="56">
        <v>-20</v>
      </c>
      <c r="K301" s="171"/>
      <c r="L301" s="171">
        <v>5.6</v>
      </c>
      <c r="M301" s="172"/>
      <c r="N301" s="173"/>
      <c r="O301" s="174" t="s">
        <v>596</v>
      </c>
      <c r="P301" s="285" t="s">
        <v>670</v>
      </c>
      <c r="Q301" s="288" t="s">
        <v>655</v>
      </c>
      <c r="R301" s="176" t="s">
        <v>623</v>
      </c>
      <c r="S301" s="175">
        <v>1.77</v>
      </c>
      <c r="T301" s="173" t="s">
        <v>30</v>
      </c>
      <c r="U301" s="62">
        <v>265</v>
      </c>
      <c r="V301" s="298" t="s">
        <v>892</v>
      </c>
      <c r="W301" s="298" t="s">
        <v>893</v>
      </c>
      <c r="X301" s="177">
        <v>32892.189000000006</v>
      </c>
      <c r="Y301" s="177">
        <v>1912.8600000000001</v>
      </c>
      <c r="Z301" s="178"/>
      <c r="AA301" s="297" t="s">
        <v>891</v>
      </c>
      <c r="AB301" s="21" t="s">
        <v>2</v>
      </c>
      <c r="AH301" s="63">
        <v>1</v>
      </c>
      <c r="AO301" s="10" t="s">
        <v>3</v>
      </c>
      <c r="AP301" s="297" t="s">
        <v>894</v>
      </c>
      <c r="AQ301" s="178"/>
      <c r="AR301" s="177">
        <v>1913.3600000000001</v>
      </c>
      <c r="AS301" s="222">
        <f>AS299-AQ300</f>
        <v>32971.388999999988</v>
      </c>
      <c r="AT301" s="298" t="s">
        <v>895</v>
      </c>
      <c r="AU301" s="298" t="s">
        <v>896</v>
      </c>
      <c r="AV301" s="62">
        <v>265</v>
      </c>
      <c r="AW301" s="173" t="s">
        <v>30</v>
      </c>
      <c r="AX301" s="175">
        <v>1.77</v>
      </c>
      <c r="AY301" s="176" t="s">
        <v>623</v>
      </c>
      <c r="AZ301" s="288" t="s">
        <v>655</v>
      </c>
      <c r="BA301" s="285" t="s">
        <v>670</v>
      </c>
      <c r="BB301" s="180" t="s">
        <v>596</v>
      </c>
      <c r="BC301" s="172"/>
      <c r="BD301" s="172"/>
      <c r="BE301" s="171">
        <v>5.6</v>
      </c>
      <c r="BF301" s="171"/>
      <c r="BG301" s="56">
        <v>-20</v>
      </c>
      <c r="BH301" s="57"/>
      <c r="BI301" s="170"/>
      <c r="BJ301" s="169"/>
      <c r="BK301" s="181"/>
      <c r="BL301" s="36" t="str">
        <f>VLOOKUP($AP301,'[1]V1 V2'!$B$5:$BW$1894,74,0)</f>
        <v>C.F.5.B</v>
      </c>
      <c r="BM301" s="36" t="str">
        <f>IF('[1]V1 V2'!X300="","",'[1]V1 V2'!X300)</f>
        <v/>
      </c>
    </row>
    <row r="302" spans="1:66" ht="16" thickBot="1" x14ac:dyDescent="0.4">
      <c r="A302">
        <v>1</v>
      </c>
      <c r="B302" s="304"/>
      <c r="C302" s="305"/>
      <c r="D302" s="306"/>
      <c r="E302" s="36"/>
      <c r="F302" s="168"/>
      <c r="G302" s="169"/>
      <c r="H302" s="170"/>
      <c r="I302" s="57"/>
      <c r="J302" s="56"/>
      <c r="K302" s="171"/>
      <c r="L302" s="181"/>
      <c r="M302" s="172"/>
      <c r="N302" s="173"/>
      <c r="O302" s="174"/>
      <c r="P302" s="221"/>
      <c r="Q302" s="221" t="s">
        <v>89</v>
      </c>
      <c r="R302" s="176"/>
      <c r="S302" s="175"/>
      <c r="T302" s="173"/>
      <c r="U302" s="62"/>
      <c r="V302" s="177" t="s">
        <v>89</v>
      </c>
      <c r="W302" s="177" t="s">
        <v>89</v>
      </c>
      <c r="X302" s="230"/>
      <c r="Y302" s="177"/>
      <c r="Z302" s="178">
        <v>20.100000000000001</v>
      </c>
      <c r="AA302" s="297"/>
      <c r="AB302" s="21" t="s">
        <v>2</v>
      </c>
      <c r="AH302" s="63">
        <v>1</v>
      </c>
      <c r="AO302" s="10" t="s">
        <v>3</v>
      </c>
      <c r="AP302" s="297"/>
      <c r="AQ302" s="178">
        <v>19.899999999999999</v>
      </c>
      <c r="AR302" s="177"/>
      <c r="AS302" s="222"/>
      <c r="AT302" s="298"/>
      <c r="AU302" s="298"/>
      <c r="AV302" s="62"/>
      <c r="AW302" s="173"/>
      <c r="AX302" s="175"/>
      <c r="AY302" s="176"/>
      <c r="AZ302" s="223"/>
      <c r="BA302" s="223"/>
      <c r="BB302" s="180" t="s">
        <v>89</v>
      </c>
      <c r="BC302" s="172"/>
      <c r="BD302" s="172"/>
      <c r="BE302" s="181"/>
      <c r="BF302" s="171"/>
      <c r="BG302" s="56"/>
      <c r="BH302" s="57"/>
      <c r="BI302" s="170"/>
      <c r="BJ302" s="169"/>
      <c r="BK302" s="181"/>
      <c r="BL302" s="36"/>
      <c r="BM302" s="36" t="str">
        <f>IF('[1]V1 V2'!X301="","",'[1]V1 V2'!X301)</f>
        <v/>
      </c>
    </row>
    <row r="303" spans="1:66" ht="16" thickBot="1" x14ac:dyDescent="0.4">
      <c r="A303">
        <v>1</v>
      </c>
      <c r="B303" s="232" t="s">
        <v>897</v>
      </c>
      <c r="C303" s="233"/>
      <c r="D303" s="234"/>
      <c r="E303" s="36" t="str">
        <f>VLOOKUP($B303,'[1]V1 V2'!$B$5:$BW$1894,74,0)</f>
        <v>C.F.5.B</v>
      </c>
      <c r="F303" s="184"/>
      <c r="G303" s="185"/>
      <c r="H303" s="186"/>
      <c r="I303" s="136"/>
      <c r="J303" s="135">
        <v>-20</v>
      </c>
      <c r="K303" s="187"/>
      <c r="L303" s="187">
        <v>5.6</v>
      </c>
      <c r="M303" s="188"/>
      <c r="N303" s="189"/>
      <c r="O303" s="190" t="s">
        <v>596</v>
      </c>
      <c r="P303" s="285" t="s">
        <v>670</v>
      </c>
      <c r="Q303" s="288" t="s">
        <v>655</v>
      </c>
      <c r="R303" s="221" t="s">
        <v>623</v>
      </c>
      <c r="S303" s="191">
        <v>1.77</v>
      </c>
      <c r="T303" s="189" t="s">
        <v>30</v>
      </c>
      <c r="U303" s="132">
        <v>265</v>
      </c>
      <c r="V303" s="255" t="s">
        <v>898</v>
      </c>
      <c r="W303" s="255" t="s">
        <v>899</v>
      </c>
      <c r="X303" s="222">
        <v>32872.089000000007</v>
      </c>
      <c r="Y303" s="222">
        <v>1932.96</v>
      </c>
      <c r="Z303" s="198"/>
      <c r="AA303" s="238" t="s">
        <v>897</v>
      </c>
      <c r="AB303" s="21" t="s">
        <v>2</v>
      </c>
      <c r="AH303" s="63">
        <v>1</v>
      </c>
      <c r="AO303" s="10" t="s">
        <v>3</v>
      </c>
      <c r="AP303" s="238" t="s">
        <v>900</v>
      </c>
      <c r="AQ303" s="198"/>
      <c r="AR303" s="222">
        <v>1933.2600000000002</v>
      </c>
      <c r="AS303" s="222">
        <f>AS301-AQ302</f>
        <v>32951.488999999987</v>
      </c>
      <c r="AT303" s="255" t="s">
        <v>901</v>
      </c>
      <c r="AU303" s="255" t="s">
        <v>902</v>
      </c>
      <c r="AV303" s="132">
        <v>265</v>
      </c>
      <c r="AW303" s="189" t="s">
        <v>30</v>
      </c>
      <c r="AX303" s="191">
        <v>1.77</v>
      </c>
      <c r="AY303" s="221" t="s">
        <v>623</v>
      </c>
      <c r="AZ303" s="288" t="s">
        <v>655</v>
      </c>
      <c r="BA303" s="285" t="s">
        <v>670</v>
      </c>
      <c r="BB303" s="192" t="s">
        <v>596</v>
      </c>
      <c r="BC303" s="188"/>
      <c r="BD303" s="188"/>
      <c r="BE303" s="187">
        <v>5.6</v>
      </c>
      <c r="BF303" s="187"/>
      <c r="BG303" s="135">
        <v>-20</v>
      </c>
      <c r="BH303" s="136"/>
      <c r="BI303" s="186"/>
      <c r="BJ303" s="185"/>
      <c r="BK303" s="193"/>
      <c r="BL303" s="36" t="str">
        <f>VLOOKUP($AP303,'[1]V1 V2'!$B$5:$BW$1894,74,0)</f>
        <v>C.F.5.B</v>
      </c>
      <c r="BM303" s="36" t="str">
        <f>IF('[1]V1 V2'!X302="","",'[1]V1 V2'!X302)</f>
        <v/>
      </c>
    </row>
    <row r="304" spans="1:66" ht="16" thickBot="1" x14ac:dyDescent="0.4">
      <c r="A304">
        <v>1</v>
      </c>
      <c r="B304" s="232"/>
      <c r="C304" s="233"/>
      <c r="D304" s="234"/>
      <c r="E304" s="36"/>
      <c r="F304" s="184"/>
      <c r="G304" s="185"/>
      <c r="H304" s="186"/>
      <c r="I304" s="136"/>
      <c r="J304" s="135"/>
      <c r="K304" s="187"/>
      <c r="L304" s="193"/>
      <c r="M304" s="188"/>
      <c r="N304" s="189"/>
      <c r="O304" s="190"/>
      <c r="P304" s="223"/>
      <c r="Q304" s="221" t="s">
        <v>89</v>
      </c>
      <c r="R304" s="221"/>
      <c r="S304" s="191"/>
      <c r="T304" s="189"/>
      <c r="U304" s="132"/>
      <c r="V304" s="222" t="s">
        <v>89</v>
      </c>
      <c r="W304" s="222" t="s">
        <v>89</v>
      </c>
      <c r="X304" s="226"/>
      <c r="Y304" s="222"/>
      <c r="Z304" s="198">
        <v>20.100000000000001</v>
      </c>
      <c r="AA304" s="238"/>
      <c r="AB304" s="21" t="s">
        <v>2</v>
      </c>
      <c r="AH304" s="63">
        <v>1</v>
      </c>
      <c r="AO304" s="10" t="s">
        <v>3</v>
      </c>
      <c r="AP304" s="238"/>
      <c r="AQ304" s="198">
        <v>19.8</v>
      </c>
      <c r="AR304" s="222"/>
      <c r="AS304" s="222"/>
      <c r="AT304" s="255"/>
      <c r="AU304" s="255"/>
      <c r="AV304" s="132"/>
      <c r="AW304" s="189"/>
      <c r="AX304" s="191"/>
      <c r="AY304" s="221"/>
      <c r="AZ304" s="221"/>
      <c r="BA304" s="221"/>
      <c r="BB304" s="192" t="s">
        <v>89</v>
      </c>
      <c r="BC304" s="188"/>
      <c r="BD304" s="188"/>
      <c r="BE304" s="224"/>
      <c r="BF304" s="187"/>
      <c r="BG304" s="135"/>
      <c r="BH304" s="136"/>
      <c r="BI304" s="186"/>
      <c r="BJ304" s="185"/>
      <c r="BK304" s="193"/>
      <c r="BL304" s="36"/>
      <c r="BM304" s="36" t="str">
        <f>IF('[1]V1 V2'!X303="","",'[1]V1 V2'!X303)</f>
        <v/>
      </c>
    </row>
    <row r="305" spans="1:65" ht="16" thickBot="1" x14ac:dyDescent="0.4">
      <c r="A305">
        <v>1</v>
      </c>
      <c r="B305" s="232" t="s">
        <v>903</v>
      </c>
      <c r="C305" s="233"/>
      <c r="D305" s="234"/>
      <c r="E305" s="36" t="str">
        <f>VLOOKUP($B305,'[1]V1 V2'!$B$5:$BW$1894,74,0)</f>
        <v>C.F.5.B</v>
      </c>
      <c r="F305" s="184"/>
      <c r="G305" s="185"/>
      <c r="H305" s="186"/>
      <c r="I305" s="136"/>
      <c r="J305" s="135">
        <v>-20</v>
      </c>
      <c r="K305" s="187"/>
      <c r="L305" s="187">
        <v>5.6</v>
      </c>
      <c r="M305" s="188"/>
      <c r="N305" s="189"/>
      <c r="O305" s="190" t="s">
        <v>596</v>
      </c>
      <c r="P305" s="285" t="s">
        <v>670</v>
      </c>
      <c r="Q305" s="288" t="s">
        <v>655</v>
      </c>
      <c r="R305" s="221" t="s">
        <v>623</v>
      </c>
      <c r="S305" s="191">
        <v>1.77</v>
      </c>
      <c r="T305" s="189" t="s">
        <v>30</v>
      </c>
      <c r="U305" s="132">
        <v>265</v>
      </c>
      <c r="V305" s="255" t="s">
        <v>904</v>
      </c>
      <c r="W305" s="255" t="s">
        <v>905</v>
      </c>
      <c r="X305" s="222">
        <v>32851.989000000009</v>
      </c>
      <c r="Y305" s="222">
        <v>1953.06</v>
      </c>
      <c r="Z305" s="198"/>
      <c r="AA305" s="238" t="s">
        <v>903</v>
      </c>
      <c r="AB305" s="21" t="s">
        <v>2</v>
      </c>
      <c r="AH305" s="63">
        <v>1</v>
      </c>
      <c r="AO305" s="10" t="s">
        <v>3</v>
      </c>
      <c r="AP305" s="238" t="s">
        <v>906</v>
      </c>
      <c r="AQ305" s="198"/>
      <c r="AR305" s="222">
        <v>1953.0600000000002</v>
      </c>
      <c r="AS305" s="222">
        <f>AS303-AQ304</f>
        <v>32931.688999999984</v>
      </c>
      <c r="AT305" s="255" t="s">
        <v>907</v>
      </c>
      <c r="AU305" s="255" t="s">
        <v>908</v>
      </c>
      <c r="AV305" s="132">
        <v>265</v>
      </c>
      <c r="AW305" s="189" t="s">
        <v>30</v>
      </c>
      <c r="AX305" s="191">
        <v>1.77</v>
      </c>
      <c r="AY305" s="221" t="s">
        <v>623</v>
      </c>
      <c r="AZ305" s="288" t="s">
        <v>655</v>
      </c>
      <c r="BA305" s="285" t="s">
        <v>670</v>
      </c>
      <c r="BB305" s="192" t="s">
        <v>596</v>
      </c>
      <c r="BC305" s="188"/>
      <c r="BD305" s="188"/>
      <c r="BE305" s="187">
        <v>5.6</v>
      </c>
      <c r="BF305" s="187"/>
      <c r="BG305" s="135">
        <v>-20</v>
      </c>
      <c r="BH305" s="136"/>
      <c r="BI305" s="186"/>
      <c r="BJ305" s="185"/>
      <c r="BK305" s="193"/>
      <c r="BL305" s="36" t="str">
        <f>VLOOKUP($AP305,'[1]V1 V2'!$B$5:$BW$1894,74,0)</f>
        <v>C.F.5.B</v>
      </c>
      <c r="BM305" s="36" t="str">
        <f>IF('[1]V1 V2'!X304="","",'[1]V1 V2'!X304)</f>
        <v/>
      </c>
    </row>
    <row r="306" spans="1:65" ht="16" thickBot="1" x14ac:dyDescent="0.4">
      <c r="A306">
        <v>1</v>
      </c>
      <c r="B306" s="232"/>
      <c r="C306" s="233"/>
      <c r="D306" s="234"/>
      <c r="E306" s="36"/>
      <c r="F306" s="184"/>
      <c r="G306" s="185"/>
      <c r="H306" s="186"/>
      <c r="I306" s="136"/>
      <c r="J306" s="135"/>
      <c r="K306" s="187"/>
      <c r="L306" s="193"/>
      <c r="M306" s="188"/>
      <c r="N306" s="189"/>
      <c r="O306" s="190"/>
      <c r="P306" s="221"/>
      <c r="Q306" s="221" t="s">
        <v>89</v>
      </c>
      <c r="R306" s="221"/>
      <c r="S306" s="191"/>
      <c r="T306" s="189"/>
      <c r="U306" s="132"/>
      <c r="V306" s="222" t="s">
        <v>89</v>
      </c>
      <c r="W306" s="222" t="s">
        <v>89</v>
      </c>
      <c r="X306" s="226"/>
      <c r="Y306" s="222"/>
      <c r="Z306" s="198">
        <v>20.100000000000001</v>
      </c>
      <c r="AA306" s="238"/>
      <c r="AB306" s="21" t="s">
        <v>2</v>
      </c>
      <c r="AH306" s="63">
        <v>1</v>
      </c>
      <c r="AO306" s="10" t="s">
        <v>3</v>
      </c>
      <c r="AP306" s="238"/>
      <c r="AQ306" s="198">
        <v>19.899999999999999</v>
      </c>
      <c r="AR306" s="222"/>
      <c r="AS306" s="222"/>
      <c r="AT306" s="255"/>
      <c r="AU306" s="255"/>
      <c r="AV306" s="132"/>
      <c r="AW306" s="189"/>
      <c r="AX306" s="191"/>
      <c r="AY306" s="221"/>
      <c r="AZ306" s="223"/>
      <c r="BA306" s="223"/>
      <c r="BB306" s="192" t="s">
        <v>89</v>
      </c>
      <c r="BC306" s="188"/>
      <c r="BD306" s="188"/>
      <c r="BE306" s="193"/>
      <c r="BF306" s="187"/>
      <c r="BG306" s="135"/>
      <c r="BH306" s="136"/>
      <c r="BI306" s="186"/>
      <c r="BJ306" s="185"/>
      <c r="BK306" s="193"/>
      <c r="BL306" s="36"/>
      <c r="BM306" s="36" t="str">
        <f>IF('[1]V1 V2'!X305="","",'[1]V1 V2'!X305)</f>
        <v/>
      </c>
    </row>
    <row r="307" spans="1:65" ht="16" thickBot="1" x14ac:dyDescent="0.4">
      <c r="A307">
        <v>1</v>
      </c>
      <c r="B307" s="232" t="s">
        <v>909</v>
      </c>
      <c r="C307" s="233"/>
      <c r="D307" s="234"/>
      <c r="E307" s="36" t="str">
        <f>VLOOKUP($B307,'[1]V1 V2'!$B$5:$BW$1894,74,0)</f>
        <v>C.F.5.B</v>
      </c>
      <c r="F307" s="263"/>
      <c r="G307" s="264"/>
      <c r="H307" s="186"/>
      <c r="I307" s="136"/>
      <c r="J307" s="135">
        <v>-20</v>
      </c>
      <c r="K307" s="187"/>
      <c r="L307" s="187">
        <v>5.6</v>
      </c>
      <c r="M307" s="188"/>
      <c r="N307" s="189"/>
      <c r="O307" s="190" t="s">
        <v>596</v>
      </c>
      <c r="P307" s="285" t="s">
        <v>670</v>
      </c>
      <c r="Q307" s="288" t="s">
        <v>655</v>
      </c>
      <c r="R307" s="221" t="s">
        <v>623</v>
      </c>
      <c r="S307" s="191">
        <v>1.77</v>
      </c>
      <c r="T307" s="189" t="s">
        <v>30</v>
      </c>
      <c r="U307" s="132">
        <v>265</v>
      </c>
      <c r="V307" s="255" t="s">
        <v>910</v>
      </c>
      <c r="W307" s="255" t="s">
        <v>911</v>
      </c>
      <c r="X307" s="222">
        <v>32831.88900000001</v>
      </c>
      <c r="Y307" s="222">
        <v>1973.1599999999999</v>
      </c>
      <c r="Z307" s="198"/>
      <c r="AA307" s="238" t="s">
        <v>909</v>
      </c>
      <c r="AB307" s="21" t="s">
        <v>2</v>
      </c>
      <c r="AH307" s="63">
        <v>1</v>
      </c>
      <c r="AO307" s="10" t="s">
        <v>3</v>
      </c>
      <c r="AP307" s="238" t="s">
        <v>912</v>
      </c>
      <c r="AQ307" s="198"/>
      <c r="AR307" s="222">
        <v>1972.9600000000003</v>
      </c>
      <c r="AS307" s="222">
        <f>AS305-AQ306</f>
        <v>32911.788999999982</v>
      </c>
      <c r="AT307" s="255" t="s">
        <v>913</v>
      </c>
      <c r="AU307" s="255" t="s">
        <v>914</v>
      </c>
      <c r="AV307" s="132">
        <v>265</v>
      </c>
      <c r="AW307" s="189" t="s">
        <v>30</v>
      </c>
      <c r="AX307" s="191">
        <v>1.77</v>
      </c>
      <c r="AY307" s="221" t="s">
        <v>623</v>
      </c>
      <c r="AZ307" s="288" t="s">
        <v>655</v>
      </c>
      <c r="BA307" s="285" t="s">
        <v>670</v>
      </c>
      <c r="BB307" s="192" t="s">
        <v>596</v>
      </c>
      <c r="BC307" s="188"/>
      <c r="BD307" s="188"/>
      <c r="BE307" s="187">
        <v>5.6</v>
      </c>
      <c r="BF307" s="187"/>
      <c r="BG307" s="135">
        <v>-20</v>
      </c>
      <c r="BH307" s="136"/>
      <c r="BI307" s="186"/>
      <c r="BJ307" s="264"/>
      <c r="BK307" s="283"/>
      <c r="BL307" s="36" t="str">
        <f>VLOOKUP($AP307,'[1]V1 V2'!$B$5:$BW$1894,74,0)</f>
        <v>C.F.5.B</v>
      </c>
      <c r="BM307" s="36" t="str">
        <f>IF('[1]V1 V2'!X306="","",'[1]V1 V2'!X306)</f>
        <v/>
      </c>
    </row>
    <row r="308" spans="1:65" ht="16" thickBot="1" x14ac:dyDescent="0.4">
      <c r="A308">
        <v>1</v>
      </c>
      <c r="B308" s="232"/>
      <c r="C308" s="233"/>
      <c r="D308" s="307" t="s">
        <v>720</v>
      </c>
      <c r="E308" s="36"/>
      <c r="F308" s="263"/>
      <c r="G308" s="264"/>
      <c r="H308" s="186"/>
      <c r="I308" s="136"/>
      <c r="J308" s="135"/>
      <c r="K308" s="187"/>
      <c r="L308" s="193"/>
      <c r="M308" s="188"/>
      <c r="N308" s="189"/>
      <c r="O308" s="190"/>
      <c r="P308" s="223"/>
      <c r="Q308" s="221" t="s">
        <v>89</v>
      </c>
      <c r="R308" s="221"/>
      <c r="S308" s="191"/>
      <c r="T308" s="189"/>
      <c r="U308" s="132"/>
      <c r="V308" s="222" t="s">
        <v>89</v>
      </c>
      <c r="W308" s="222" t="s">
        <v>89</v>
      </c>
      <c r="X308" s="226"/>
      <c r="Y308" s="222"/>
      <c r="Z308" s="198">
        <v>20.100000000000001</v>
      </c>
      <c r="AA308" s="238"/>
      <c r="AB308" s="21" t="s">
        <v>2</v>
      </c>
      <c r="AH308" s="63">
        <v>1</v>
      </c>
      <c r="AO308" s="10" t="s">
        <v>3</v>
      </c>
      <c r="AP308" s="238"/>
      <c r="AQ308" s="198">
        <v>19.899999999999999</v>
      </c>
      <c r="AR308" s="222"/>
      <c r="AS308" s="222"/>
      <c r="AT308" s="255"/>
      <c r="AU308" s="255"/>
      <c r="AV308" s="132"/>
      <c r="AW308" s="189"/>
      <c r="AX308" s="191"/>
      <c r="AY308" s="221"/>
      <c r="AZ308" s="223"/>
      <c r="BA308" s="221"/>
      <c r="BB308" s="192" t="s">
        <v>89</v>
      </c>
      <c r="BC308" s="188"/>
      <c r="BD308" s="188"/>
      <c r="BE308" s="224"/>
      <c r="BF308" s="187"/>
      <c r="BG308" s="135"/>
      <c r="BH308" s="136"/>
      <c r="BI308" s="186"/>
      <c r="BJ308" s="264"/>
      <c r="BK308" s="283"/>
      <c r="BL308" s="36"/>
      <c r="BM308" s="308" t="str">
        <f>IF('[1]V1 V2'!X307="","",'[1]V1 V2'!X307)</f>
        <v>1PEAD D110mm ou 2PEAD D63mm+ 1PEAD 32mm</v>
      </c>
    </row>
    <row r="309" spans="1:65" ht="16" thickBot="1" x14ac:dyDescent="0.4">
      <c r="A309">
        <v>1</v>
      </c>
      <c r="B309" s="232" t="s">
        <v>915</v>
      </c>
      <c r="C309" s="233"/>
      <c r="D309" s="309" t="s">
        <v>722</v>
      </c>
      <c r="E309" s="36" t="str">
        <f>VLOOKUP($B309,'[1]V1 V2'!$B$5:$BW$1894,74,0)</f>
        <v>C.F.5.B</v>
      </c>
      <c r="F309" s="184"/>
      <c r="G309" s="185"/>
      <c r="H309" s="186"/>
      <c r="I309" s="136"/>
      <c r="J309" s="135">
        <v>-20</v>
      </c>
      <c r="K309" s="187"/>
      <c r="L309" s="224">
        <v>5.6</v>
      </c>
      <c r="M309" s="188"/>
      <c r="N309" s="189"/>
      <c r="O309" s="190" t="s">
        <v>596</v>
      </c>
      <c r="P309" s="285" t="s">
        <v>670</v>
      </c>
      <c r="Q309" s="288" t="s">
        <v>655</v>
      </c>
      <c r="R309" s="221" t="s">
        <v>623</v>
      </c>
      <c r="S309" s="191">
        <v>1.77</v>
      </c>
      <c r="T309" s="189" t="s">
        <v>30</v>
      </c>
      <c r="U309" s="132">
        <v>265</v>
      </c>
      <c r="V309" s="255" t="s">
        <v>916</v>
      </c>
      <c r="W309" s="255" t="s">
        <v>917</v>
      </c>
      <c r="X309" s="222">
        <v>32811.789000000012</v>
      </c>
      <c r="Y309" s="222">
        <v>1993.2599999999998</v>
      </c>
      <c r="Z309" s="198"/>
      <c r="AA309" s="238" t="s">
        <v>915</v>
      </c>
      <c r="AB309" s="21" t="s">
        <v>2</v>
      </c>
      <c r="AH309" s="63">
        <v>1</v>
      </c>
      <c r="AO309" s="10" t="s">
        <v>3</v>
      </c>
      <c r="AP309" s="238" t="s">
        <v>918</v>
      </c>
      <c r="AQ309" s="198"/>
      <c r="AR309" s="222">
        <v>1992.8600000000004</v>
      </c>
      <c r="AS309" s="222">
        <f>AS307-AQ308</f>
        <v>32891.888999999981</v>
      </c>
      <c r="AT309" s="255" t="s">
        <v>919</v>
      </c>
      <c r="AU309" s="255" t="s">
        <v>920</v>
      </c>
      <c r="AV309" s="132">
        <v>265</v>
      </c>
      <c r="AW309" s="189" t="s">
        <v>30</v>
      </c>
      <c r="AX309" s="191">
        <v>1.77</v>
      </c>
      <c r="AY309" s="221" t="s">
        <v>623</v>
      </c>
      <c r="AZ309" s="288" t="s">
        <v>655</v>
      </c>
      <c r="BA309" s="285" t="s">
        <v>670</v>
      </c>
      <c r="BB309" s="192" t="s">
        <v>596</v>
      </c>
      <c r="BC309" s="188"/>
      <c r="BD309" s="188"/>
      <c r="BE309" s="224">
        <v>5.6</v>
      </c>
      <c r="BF309" s="187"/>
      <c r="BG309" s="135">
        <v>-20</v>
      </c>
      <c r="BH309" s="136"/>
      <c r="BI309" s="186"/>
      <c r="BJ309" s="185"/>
      <c r="BK309" s="193"/>
      <c r="BL309" s="36" t="str">
        <f>VLOOKUP($AP309,'[1]V1 V2'!$B$5:$BW$1894,74,0)</f>
        <v>C.F.5.B</v>
      </c>
      <c r="BM309" s="202" t="str">
        <f>IF('[1]V1 V2'!X308="","",'[1]V1 V2'!X308)</f>
        <v>FR</v>
      </c>
    </row>
    <row r="310" spans="1:65" ht="16" thickBot="1" x14ac:dyDescent="0.4">
      <c r="A310">
        <v>1</v>
      </c>
      <c r="B310" s="232"/>
      <c r="C310" s="233"/>
      <c r="D310" s="307" t="s">
        <v>728</v>
      </c>
      <c r="E310" s="36"/>
      <c r="F310" s="184"/>
      <c r="G310" s="185"/>
      <c r="H310" s="186"/>
      <c r="I310" s="136"/>
      <c r="J310" s="135"/>
      <c r="K310" s="187"/>
      <c r="L310" s="224"/>
      <c r="M310" s="188"/>
      <c r="N310" s="189"/>
      <c r="O310" s="190" t="s">
        <v>89</v>
      </c>
      <c r="P310" s="221"/>
      <c r="Q310" s="221" t="s">
        <v>89</v>
      </c>
      <c r="R310" s="223"/>
      <c r="S310" s="191"/>
      <c r="T310" s="189"/>
      <c r="U310" s="132"/>
      <c r="V310" s="222" t="s">
        <v>89</v>
      </c>
      <c r="W310" s="222" t="s">
        <v>89</v>
      </c>
      <c r="X310" s="226"/>
      <c r="Y310" s="222"/>
      <c r="Z310" s="198">
        <v>20.100000000000001</v>
      </c>
      <c r="AA310" s="238"/>
      <c r="AB310" s="21" t="s">
        <v>2</v>
      </c>
      <c r="AH310" s="63">
        <v>1</v>
      </c>
      <c r="AO310" s="10" t="s">
        <v>3</v>
      </c>
      <c r="AP310" s="238"/>
      <c r="AQ310" s="198">
        <v>19.899999999999999</v>
      </c>
      <c r="AR310" s="222"/>
      <c r="AS310" s="222"/>
      <c r="AT310" s="255"/>
      <c r="AU310" s="255"/>
      <c r="AV310" s="132"/>
      <c r="AW310" s="189"/>
      <c r="AX310" s="191"/>
      <c r="AY310" s="221"/>
      <c r="AZ310" s="221"/>
      <c r="BA310" s="223"/>
      <c r="BB310" s="192" t="s">
        <v>89</v>
      </c>
      <c r="BC310" s="188"/>
      <c r="BD310" s="188"/>
      <c r="BE310" s="193"/>
      <c r="BF310" s="187"/>
      <c r="BG310" s="135"/>
      <c r="BH310" s="136"/>
      <c r="BI310" s="186"/>
      <c r="BJ310" s="185"/>
      <c r="BK310" s="193"/>
      <c r="BL310" s="36"/>
      <c r="BM310" s="308" t="str">
        <f>IF('[1]V1 V2'!X309="","",'[1]V1 V2'!X309)</f>
        <v>1PEAD D110mm ou 2PEAD D63mm</v>
      </c>
    </row>
    <row r="311" spans="1:65" ht="16" thickBot="1" x14ac:dyDescent="0.4">
      <c r="A311">
        <v>1</v>
      </c>
      <c r="B311" s="232" t="s">
        <v>921</v>
      </c>
      <c r="C311" s="233"/>
      <c r="D311" s="234"/>
      <c r="E311" s="36" t="str">
        <f>VLOOKUP($B311,'[1]V1 V2'!$B$5:$BW$1894,74,0)</f>
        <v>C.F.5.A</v>
      </c>
      <c r="F311" s="184"/>
      <c r="G311" s="185"/>
      <c r="H311" s="186"/>
      <c r="I311" s="136"/>
      <c r="J311" s="135">
        <v>-20</v>
      </c>
      <c r="K311" s="187"/>
      <c r="L311" s="187">
        <v>5.6</v>
      </c>
      <c r="M311" s="188"/>
      <c r="N311" s="189"/>
      <c r="O311" s="190" t="s">
        <v>596</v>
      </c>
      <c r="P311" s="285" t="s">
        <v>670</v>
      </c>
      <c r="Q311" s="288" t="s">
        <v>655</v>
      </c>
      <c r="R311" s="221" t="s">
        <v>623</v>
      </c>
      <c r="S311" s="191">
        <v>1.77</v>
      </c>
      <c r="T311" s="189" t="s">
        <v>30</v>
      </c>
      <c r="U311" s="132">
        <v>265</v>
      </c>
      <c r="V311" s="255" t="s">
        <v>922</v>
      </c>
      <c r="W311" s="255" t="s">
        <v>923</v>
      </c>
      <c r="X311" s="222">
        <v>32791.689000000013</v>
      </c>
      <c r="Y311" s="222">
        <v>2013.3599999999997</v>
      </c>
      <c r="Z311" s="198"/>
      <c r="AA311" s="238" t="s">
        <v>921</v>
      </c>
      <c r="AB311" s="21" t="s">
        <v>2</v>
      </c>
      <c r="AH311" s="63">
        <v>1</v>
      </c>
      <c r="AO311" s="10" t="s">
        <v>3</v>
      </c>
      <c r="AP311" s="238" t="s">
        <v>924</v>
      </c>
      <c r="AQ311" s="198"/>
      <c r="AR311" s="222">
        <v>2012.7600000000004</v>
      </c>
      <c r="AS311" s="222">
        <f>AS309-AQ310</f>
        <v>32871.98899999998</v>
      </c>
      <c r="AT311" s="255" t="s">
        <v>925</v>
      </c>
      <c r="AU311" s="255" t="s">
        <v>926</v>
      </c>
      <c r="AV311" s="132">
        <v>265</v>
      </c>
      <c r="AW311" s="271" t="s">
        <v>30</v>
      </c>
      <c r="AX311" s="191">
        <v>1.77</v>
      </c>
      <c r="AY311" s="221" t="s">
        <v>623</v>
      </c>
      <c r="AZ311" s="288" t="s">
        <v>655</v>
      </c>
      <c r="BA311" s="285" t="s">
        <v>670</v>
      </c>
      <c r="BB311" s="192" t="s">
        <v>596</v>
      </c>
      <c r="BC311" s="188"/>
      <c r="BD311" s="188"/>
      <c r="BE311" s="193">
        <v>5.6</v>
      </c>
      <c r="BF311" s="268"/>
      <c r="BG311" s="135">
        <v>-20</v>
      </c>
      <c r="BH311" s="136"/>
      <c r="BI311" s="186"/>
      <c r="BJ311" s="264"/>
      <c r="BK311" s="193"/>
      <c r="BL311" s="36" t="str">
        <f>VLOOKUP($AP311,'[1]V1 V2'!$B$5:$BW$1894,74,0)</f>
        <v>C.F.5.A</v>
      </c>
      <c r="BM311" s="36" t="str">
        <f>IF('[1]V1 V2'!X310="","",'[1]V1 V2'!X310)</f>
        <v/>
      </c>
    </row>
    <row r="312" spans="1:65" ht="16" thickBot="1" x14ac:dyDescent="0.4">
      <c r="A312">
        <v>1</v>
      </c>
      <c r="B312" s="232"/>
      <c r="C312" s="233"/>
      <c r="D312" s="234"/>
      <c r="E312" s="36"/>
      <c r="F312" s="184"/>
      <c r="G312" s="185"/>
      <c r="H312" s="186"/>
      <c r="I312" s="136"/>
      <c r="J312" s="135"/>
      <c r="K312" s="187"/>
      <c r="L312" s="193"/>
      <c r="M312" s="188"/>
      <c r="N312" s="189"/>
      <c r="O312" s="190"/>
      <c r="P312" s="223"/>
      <c r="Q312" s="221" t="s">
        <v>89</v>
      </c>
      <c r="R312" s="221"/>
      <c r="S312" s="191"/>
      <c r="T312" s="189"/>
      <c r="U312" s="132"/>
      <c r="V312" s="222" t="s">
        <v>89</v>
      </c>
      <c r="W312" s="222" t="s">
        <v>89</v>
      </c>
      <c r="X312" s="226"/>
      <c r="Y312" s="222"/>
      <c r="Z312" s="198">
        <v>20.100000000000001</v>
      </c>
      <c r="AA312" s="238"/>
      <c r="AB312" s="21" t="s">
        <v>2</v>
      </c>
      <c r="AH312" s="63">
        <v>1</v>
      </c>
      <c r="AO312" s="10" t="s">
        <v>3</v>
      </c>
      <c r="AP312" s="239"/>
      <c r="AQ312" s="198">
        <v>19.899999999999999</v>
      </c>
      <c r="AR312" s="222"/>
      <c r="AS312" s="222"/>
      <c r="AT312" s="255"/>
      <c r="AU312" s="255"/>
      <c r="AV312" s="132"/>
      <c r="AW312" s="189"/>
      <c r="AX312" s="191"/>
      <c r="AY312" s="221"/>
      <c r="AZ312" s="223"/>
      <c r="BA312" s="221"/>
      <c r="BB312" s="192"/>
      <c r="BC312" s="188"/>
      <c r="BD312" s="188"/>
      <c r="BE312" s="193"/>
      <c r="BF312" s="187"/>
      <c r="BG312" s="135"/>
      <c r="BH312" s="136"/>
      <c r="BI312" s="186"/>
      <c r="BJ312" s="185"/>
      <c r="BK312" s="193"/>
      <c r="BL312" s="36"/>
      <c r="BM312" s="36" t="str">
        <f>IF('[1]V1 V2'!X311="","",'[1]V1 V2'!X311)</f>
        <v/>
      </c>
    </row>
    <row r="313" spans="1:65" ht="16" thickBot="1" x14ac:dyDescent="0.4">
      <c r="A313">
        <v>1</v>
      </c>
      <c r="B313" s="232" t="s">
        <v>927</v>
      </c>
      <c r="C313" s="233"/>
      <c r="D313" s="234"/>
      <c r="E313" s="36" t="str">
        <f>VLOOKUP($B313,'[1]V1 V2'!$B$5:$BW$1894,74,0)</f>
        <v>C.F.5.B</v>
      </c>
      <c r="F313" s="184"/>
      <c r="G313" s="185"/>
      <c r="H313" s="186"/>
      <c r="I313" s="136"/>
      <c r="J313" s="135">
        <v>-20</v>
      </c>
      <c r="K313" s="187"/>
      <c r="L313" s="187">
        <v>5.6</v>
      </c>
      <c r="M313" s="188"/>
      <c r="N313" s="189"/>
      <c r="O313" s="190" t="s">
        <v>596</v>
      </c>
      <c r="P313" s="285" t="s">
        <v>670</v>
      </c>
      <c r="Q313" s="288" t="s">
        <v>655</v>
      </c>
      <c r="R313" s="221" t="s">
        <v>623</v>
      </c>
      <c r="S313" s="191">
        <v>1.77</v>
      </c>
      <c r="T313" s="189" t="s">
        <v>30</v>
      </c>
      <c r="U313" s="132" t="s">
        <v>48</v>
      </c>
      <c r="V313" s="255" t="s">
        <v>928</v>
      </c>
      <c r="W313" s="255" t="s">
        <v>929</v>
      </c>
      <c r="X313" s="222">
        <v>32771.589000000014</v>
      </c>
      <c r="Y313" s="222">
        <v>2033.4599999999996</v>
      </c>
      <c r="Z313" s="198"/>
      <c r="AA313" s="238" t="s">
        <v>927</v>
      </c>
      <c r="AB313" s="21" t="s">
        <v>2</v>
      </c>
      <c r="AH313" s="63">
        <v>1</v>
      </c>
      <c r="AO313" s="10" t="s">
        <v>3</v>
      </c>
      <c r="AP313" s="238" t="s">
        <v>930</v>
      </c>
      <c r="AQ313" s="198"/>
      <c r="AR313" s="222">
        <v>2032.6600000000005</v>
      </c>
      <c r="AS313" s="222">
        <f>AS311-AQ312</f>
        <v>32852.088999999978</v>
      </c>
      <c r="AT313" s="255" t="s">
        <v>931</v>
      </c>
      <c r="AU313" s="255" t="s">
        <v>932</v>
      </c>
      <c r="AV313" s="132" t="s">
        <v>48</v>
      </c>
      <c r="AW313" s="271" t="s">
        <v>30</v>
      </c>
      <c r="AX313" s="191" t="s">
        <v>688</v>
      </c>
      <c r="AY313" s="221" t="s">
        <v>623</v>
      </c>
      <c r="AZ313" s="288" t="s">
        <v>655</v>
      </c>
      <c r="BA313" s="285" t="s">
        <v>670</v>
      </c>
      <c r="BB313" s="192" t="s">
        <v>596</v>
      </c>
      <c r="BC313" s="270"/>
      <c r="BD313" s="188"/>
      <c r="BE313" s="187">
        <v>5.6</v>
      </c>
      <c r="BF313" s="268"/>
      <c r="BG313" s="284">
        <v>-20</v>
      </c>
      <c r="BH313" s="266"/>
      <c r="BI313" s="186"/>
      <c r="BJ313" s="185"/>
      <c r="BK313" s="193"/>
      <c r="BL313" s="36" t="str">
        <f>VLOOKUP($AP313,'[1]V1 V2'!$B$5:$BW$1894,74,0)</f>
        <v>C.F.5.B</v>
      </c>
      <c r="BM313" s="36" t="str">
        <f>IF('[1]V1 V2'!X312="","",'[1]V1 V2'!X312)</f>
        <v/>
      </c>
    </row>
    <row r="314" spans="1:65" ht="16" thickBot="1" x14ac:dyDescent="0.4">
      <c r="A314">
        <v>1</v>
      </c>
      <c r="B314" s="323"/>
      <c r="C314" s="324"/>
      <c r="D314" s="325"/>
      <c r="E314" s="36"/>
      <c r="F314" s="168"/>
      <c r="G314" s="169"/>
      <c r="H314" s="170"/>
      <c r="I314" s="57"/>
      <c r="J314" s="56"/>
      <c r="K314" s="171"/>
      <c r="L314" s="142"/>
      <c r="M314" s="172"/>
      <c r="N314" s="173"/>
      <c r="O314" s="174" t="s">
        <v>89</v>
      </c>
      <c r="P314" s="221"/>
      <c r="Q314" s="221" t="s">
        <v>89</v>
      </c>
      <c r="R314" s="182"/>
      <c r="S314" s="175"/>
      <c r="T314" s="173"/>
      <c r="U314" s="62"/>
      <c r="V314" s="177" t="s">
        <v>89</v>
      </c>
      <c r="W314" s="177" t="s">
        <v>89</v>
      </c>
      <c r="X314" s="230"/>
      <c r="Y314" s="177"/>
      <c r="Z314" s="198">
        <v>20.100000000000001</v>
      </c>
      <c r="AA314" s="326"/>
      <c r="AB314" s="21" t="s">
        <v>2</v>
      </c>
      <c r="AC314" s="163"/>
      <c r="AD314" s="163"/>
      <c r="AE314" s="163"/>
      <c r="AF314" s="163"/>
      <c r="AG314" s="163"/>
      <c r="AH314" s="164">
        <v>1</v>
      </c>
      <c r="AI314" s="163"/>
      <c r="AJ314" s="163"/>
      <c r="AK314" s="163"/>
      <c r="AL314" s="163"/>
      <c r="AM314" s="163"/>
      <c r="AN314" s="163"/>
      <c r="AO314" s="10" t="s">
        <v>3</v>
      </c>
      <c r="AP314" s="231"/>
      <c r="AQ314" s="198">
        <v>19.899999999999999</v>
      </c>
      <c r="AR314" s="222"/>
      <c r="AS314" s="222"/>
      <c r="AT314" s="255"/>
      <c r="AU314" s="255"/>
      <c r="AV314" s="132"/>
      <c r="AW314" s="189"/>
      <c r="AX314" s="191"/>
      <c r="AY314" s="223"/>
      <c r="AZ314" s="223"/>
      <c r="BA314" s="223"/>
      <c r="BB314" s="192" t="s">
        <v>89</v>
      </c>
      <c r="BC314" s="188"/>
      <c r="BD314" s="188"/>
      <c r="BE314" s="224"/>
      <c r="BF314" s="187"/>
      <c r="BG314" s="135"/>
      <c r="BH314" s="136"/>
      <c r="BI314" s="186"/>
      <c r="BJ314" s="185"/>
      <c r="BK314" s="193"/>
      <c r="BL314" s="36"/>
      <c r="BM314" s="36" t="str">
        <f>IF('[1]V1 V2'!X313="","",'[1]V1 V2'!X313)</f>
        <v/>
      </c>
    </row>
    <row r="315" spans="1:65" ht="16" thickBot="1" x14ac:dyDescent="0.4">
      <c r="A315">
        <v>1</v>
      </c>
      <c r="B315" s="304" t="s">
        <v>933</v>
      </c>
      <c r="C315" s="305"/>
      <c r="D315" s="306"/>
      <c r="E315" s="36" t="str">
        <f>VLOOKUP($B315,'[1]V1 V2'!$B$5:$BW$1894,74,0)</f>
        <v>C.F.2</v>
      </c>
      <c r="F315" s="168"/>
      <c r="G315" s="169"/>
      <c r="H315" s="170"/>
      <c r="I315" s="57"/>
      <c r="J315" s="284">
        <v>-10</v>
      </c>
      <c r="K315" s="171"/>
      <c r="L315" s="171">
        <v>5.6</v>
      </c>
      <c r="M315" s="172"/>
      <c r="N315" s="173"/>
      <c r="O315" s="174" t="s">
        <v>596</v>
      </c>
      <c r="P315" s="285" t="s">
        <v>670</v>
      </c>
      <c r="Q315" s="288" t="s">
        <v>655</v>
      </c>
      <c r="R315" s="176" t="s">
        <v>623</v>
      </c>
      <c r="S315" s="175">
        <v>1.77</v>
      </c>
      <c r="T315" s="173" t="s">
        <v>30</v>
      </c>
      <c r="U315" s="62" t="s">
        <v>48</v>
      </c>
      <c r="V315" s="298" t="s">
        <v>934</v>
      </c>
      <c r="W315" s="298" t="s">
        <v>935</v>
      </c>
      <c r="X315" s="177">
        <v>32751.489000000016</v>
      </c>
      <c r="Y315" s="177">
        <v>2053.5599999999995</v>
      </c>
      <c r="Z315" s="178"/>
      <c r="AA315" s="297" t="s">
        <v>933</v>
      </c>
      <c r="AB315" s="21" t="s">
        <v>2</v>
      </c>
      <c r="AC315" s="113"/>
      <c r="AD315" s="113"/>
      <c r="AE315" s="113"/>
      <c r="AF315" s="113"/>
      <c r="AG315" s="113"/>
      <c r="AH315" s="166">
        <f>Y314</f>
        <v>0</v>
      </c>
      <c r="AI315" s="113"/>
      <c r="AJ315" s="113"/>
      <c r="AK315" s="113"/>
      <c r="AL315" s="113"/>
      <c r="AM315" s="113"/>
      <c r="AN315" s="113"/>
      <c r="AO315" s="10" t="s">
        <v>3</v>
      </c>
      <c r="AP315" s="297" t="s">
        <v>936</v>
      </c>
      <c r="AQ315" s="178"/>
      <c r="AR315" s="177">
        <v>2052.5600000000004</v>
      </c>
      <c r="AS315" s="222">
        <f>AS313-AQ314</f>
        <v>32832.188999999977</v>
      </c>
      <c r="AT315" s="298" t="s">
        <v>937</v>
      </c>
      <c r="AU315" s="298" t="s">
        <v>938</v>
      </c>
      <c r="AV315" s="62" t="s">
        <v>48</v>
      </c>
      <c r="AW315" s="271" t="s">
        <v>30</v>
      </c>
      <c r="AX315" s="175" t="s">
        <v>688</v>
      </c>
      <c r="AY315" s="176" t="s">
        <v>623</v>
      </c>
      <c r="AZ315" s="288" t="s">
        <v>655</v>
      </c>
      <c r="BA315" s="285" t="s">
        <v>670</v>
      </c>
      <c r="BB315" s="180" t="s">
        <v>596</v>
      </c>
      <c r="BC315" s="270"/>
      <c r="BD315" s="172"/>
      <c r="BE315" s="171">
        <v>5.6</v>
      </c>
      <c r="BF315" s="268"/>
      <c r="BG315" s="284">
        <v>-10</v>
      </c>
      <c r="BH315" s="266"/>
      <c r="BI315" s="170"/>
      <c r="BJ315" s="169"/>
      <c r="BK315" s="181"/>
      <c r="BL315" s="36" t="str">
        <f>VLOOKUP($AP315,'[1]V1 V2'!$B$5:$BW$1894,74,0)</f>
        <v>C.F.2</v>
      </c>
      <c r="BM315" s="36" t="str">
        <f>IF('[1]V1 V2'!X314="","",'[1]V1 V2'!X314)</f>
        <v/>
      </c>
    </row>
    <row r="316" spans="1:65" ht="16" thickBot="1" x14ac:dyDescent="0.4">
      <c r="A316">
        <v>1</v>
      </c>
      <c r="B316" s="327" t="s">
        <v>939</v>
      </c>
      <c r="C316" s="328"/>
      <c r="D316" s="306"/>
      <c r="E316" s="36">
        <f>VLOOKUP($B316,'[1]V1 V2'!$B$5:$BW$1894,74,0)</f>
        <v>0</v>
      </c>
      <c r="F316" s="168"/>
      <c r="G316" s="169"/>
      <c r="H316" s="170"/>
      <c r="I316" s="57"/>
      <c r="J316" s="56"/>
      <c r="K316" s="171"/>
      <c r="L316" s="142"/>
      <c r="M316" s="172"/>
      <c r="N316" s="173"/>
      <c r="O316" s="174" t="s">
        <v>89</v>
      </c>
      <c r="P316" s="223"/>
      <c r="Q316" s="221" t="s">
        <v>89</v>
      </c>
      <c r="R316" s="182"/>
      <c r="S316" s="175"/>
      <c r="T316" s="173"/>
      <c r="U316" s="62"/>
      <c r="V316" s="177" t="s">
        <v>89</v>
      </c>
      <c r="W316" s="177" t="s">
        <v>89</v>
      </c>
      <c r="X316" s="230"/>
      <c r="Y316" s="177"/>
      <c r="Z316" s="279">
        <v>23</v>
      </c>
      <c r="AA316" s="174" t="s">
        <v>939</v>
      </c>
      <c r="AB316" s="21" t="s">
        <v>2</v>
      </c>
      <c r="AF316" t="s">
        <v>940</v>
      </c>
      <c r="AH316" s="63">
        <v>1</v>
      </c>
      <c r="AK316" t="s">
        <v>940</v>
      </c>
      <c r="AO316" s="10" t="s">
        <v>3</v>
      </c>
      <c r="AP316" s="326" t="s">
        <v>939</v>
      </c>
      <c r="AQ316" s="279">
        <v>23</v>
      </c>
      <c r="AR316" s="177"/>
      <c r="AS316" s="222"/>
      <c r="AT316" s="177"/>
      <c r="AU316" s="177"/>
      <c r="AV316" s="62"/>
      <c r="AW316" s="173"/>
      <c r="AX316" s="175"/>
      <c r="AY316" s="182"/>
      <c r="AZ316" s="221"/>
      <c r="BA316" s="171"/>
      <c r="BB316" s="180" t="s">
        <v>89</v>
      </c>
      <c r="BC316" s="172"/>
      <c r="BD316" s="172"/>
      <c r="BE316" s="142"/>
      <c r="BF316" s="171"/>
      <c r="BG316" s="56"/>
      <c r="BH316" s="57"/>
      <c r="BI316" s="170"/>
      <c r="BJ316" s="169"/>
      <c r="BK316" s="181"/>
      <c r="BL316" s="36">
        <f>VLOOKUP($AP316,'[1]V1 V2'!$B$5:$BW$1894,74,0)</f>
        <v>0</v>
      </c>
      <c r="BM316" s="36" t="str">
        <f>IF('[1]V1 V2'!X315="","",'[1]V1 V2'!X315)</f>
        <v/>
      </c>
    </row>
    <row r="317" spans="1:65" ht="16" thickBot="1" x14ac:dyDescent="0.4">
      <c r="A317">
        <v>1</v>
      </c>
      <c r="B317" s="260" t="s">
        <v>941</v>
      </c>
      <c r="C317" s="261"/>
      <c r="D317" s="309" t="s">
        <v>722</v>
      </c>
      <c r="E317" s="36" t="str">
        <f>VLOOKUP($B317,'[1]V1 V2'!$B$5:$BW$1894,74,0)</f>
        <v>C.F.22</v>
      </c>
      <c r="F317" s="168"/>
      <c r="G317" s="169"/>
      <c r="H317" s="170"/>
      <c r="I317" s="57"/>
      <c r="J317" s="281" t="s">
        <v>127</v>
      </c>
      <c r="K317" s="171"/>
      <c r="L317" s="171">
        <v>5.6</v>
      </c>
      <c r="M317" s="172"/>
      <c r="N317" s="271"/>
      <c r="O317" s="174" t="s">
        <v>621</v>
      </c>
      <c r="P317" s="221" t="s">
        <v>942</v>
      </c>
      <c r="Q317" s="288" t="s">
        <v>655</v>
      </c>
      <c r="R317" s="176" t="s">
        <v>623</v>
      </c>
      <c r="S317" s="175">
        <v>2.2000000000000002</v>
      </c>
      <c r="T317" s="173" t="s">
        <v>30</v>
      </c>
      <c r="U317" s="62"/>
      <c r="V317" s="277" t="s">
        <v>943</v>
      </c>
      <c r="W317" s="277" t="s">
        <v>944</v>
      </c>
      <c r="X317" s="277">
        <v>32728.489000000016</v>
      </c>
      <c r="Y317" s="277">
        <f>Y315+X316</f>
        <v>2053.5599999999995</v>
      </c>
      <c r="Z317" s="178"/>
      <c r="AA317" s="280" t="s">
        <v>941</v>
      </c>
      <c r="AB317" s="21" t="s">
        <v>2</v>
      </c>
      <c r="AH317" s="63">
        <v>1</v>
      </c>
      <c r="AO317" s="10" t="s">
        <v>3</v>
      </c>
      <c r="AP317" s="280" t="s">
        <v>945</v>
      </c>
      <c r="AQ317" s="279"/>
      <c r="AR317" s="277">
        <f>AR315+AQ316</f>
        <v>2075.5600000000004</v>
      </c>
      <c r="AS317" s="277">
        <f>AS315-AQ316</f>
        <v>32809.188999999977</v>
      </c>
      <c r="AT317" s="277" t="s">
        <v>946</v>
      </c>
      <c r="AU317" s="277" t="s">
        <v>947</v>
      </c>
      <c r="AV317" s="62"/>
      <c r="AW317" s="271" t="s">
        <v>30</v>
      </c>
      <c r="AX317" s="175">
        <v>2.2000000000000002</v>
      </c>
      <c r="AY317" s="176" t="s">
        <v>623</v>
      </c>
      <c r="AZ317" s="288" t="s">
        <v>655</v>
      </c>
      <c r="BA317" s="275" t="s">
        <v>942</v>
      </c>
      <c r="BB317" s="180" t="s">
        <v>621</v>
      </c>
      <c r="BC317" s="270"/>
      <c r="BD317" s="172"/>
      <c r="BE317" s="171">
        <v>5.6</v>
      </c>
      <c r="BF317" s="268"/>
      <c r="BG317" s="281" t="s">
        <v>127</v>
      </c>
      <c r="BH317" s="266"/>
      <c r="BI317" s="170"/>
      <c r="BJ317" s="329" t="s">
        <v>400</v>
      </c>
      <c r="BK317" s="330"/>
      <c r="BL317" s="36" t="str">
        <f>VLOOKUP($AP317,'[1]V1 V2'!$B$5:$BW$1894,74,0)</f>
        <v>C.F.22</v>
      </c>
      <c r="BM317" s="202" t="str">
        <f>IF('[1]V1 V2'!X316="","",'[1]V1 V2'!X316)</f>
        <v>FR</v>
      </c>
    </row>
    <row r="318" spans="1:65" ht="16" thickBot="1" x14ac:dyDescent="0.4">
      <c r="A318">
        <v>1</v>
      </c>
      <c r="B318" s="304"/>
      <c r="C318" s="305"/>
      <c r="D318" s="306"/>
      <c r="E318" s="36"/>
      <c r="F318" s="168"/>
      <c r="G318" s="169"/>
      <c r="H318" s="170"/>
      <c r="I318" s="57"/>
      <c r="J318" s="56"/>
      <c r="K318" s="171"/>
      <c r="L318" s="142"/>
      <c r="M318" s="172"/>
      <c r="N318" s="173"/>
      <c r="O318" s="174" t="s">
        <v>89</v>
      </c>
      <c r="P318" s="221"/>
      <c r="Q318" s="221" t="s">
        <v>89</v>
      </c>
      <c r="R318" s="176"/>
      <c r="S318" s="175"/>
      <c r="T318" s="173"/>
      <c r="U318" s="62"/>
      <c r="V318" s="177" t="s">
        <v>89</v>
      </c>
      <c r="W318" s="177" t="s">
        <v>89</v>
      </c>
      <c r="X318" s="230"/>
      <c r="Y318" s="177"/>
      <c r="Z318" s="279">
        <v>23.7</v>
      </c>
      <c r="AA318" s="297"/>
      <c r="AB318" s="21" t="s">
        <v>2</v>
      </c>
      <c r="AH318" s="63">
        <v>1</v>
      </c>
      <c r="AO318" s="10" t="s">
        <v>3</v>
      </c>
      <c r="AP318" s="297"/>
      <c r="AQ318" s="279">
        <v>23.7</v>
      </c>
      <c r="AR318" s="177"/>
      <c r="AS318" s="222"/>
      <c r="AT318" s="177" t="s">
        <v>89</v>
      </c>
      <c r="AU318" s="177" t="s">
        <v>89</v>
      </c>
      <c r="AV318" s="62"/>
      <c r="AW318" s="173"/>
      <c r="AX318" s="175"/>
      <c r="AY318" s="176"/>
      <c r="AZ318" s="223"/>
      <c r="BA318" s="187"/>
      <c r="BB318" s="180" t="s">
        <v>89</v>
      </c>
      <c r="BC318" s="172"/>
      <c r="BD318" s="172"/>
      <c r="BE318" s="142"/>
      <c r="BF318" s="171"/>
      <c r="BG318" s="56"/>
      <c r="BH318" s="57"/>
      <c r="BI318" s="170"/>
      <c r="BJ318" s="329" t="s">
        <v>948</v>
      </c>
      <c r="BK318" s="330"/>
      <c r="BL318" s="36"/>
      <c r="BM318" s="36" t="str">
        <f>IF('[1]V1 V2'!X317="","",'[1]V1 V2'!X317)</f>
        <v/>
      </c>
    </row>
    <row r="319" spans="1:65" ht="16" thickBot="1" x14ac:dyDescent="0.4">
      <c r="A319">
        <v>1</v>
      </c>
      <c r="B319" s="260" t="s">
        <v>949</v>
      </c>
      <c r="C319" s="261"/>
      <c r="D319" s="262"/>
      <c r="E319" s="36" t="str">
        <f>VLOOKUP($B319,'[1]V1 V2'!$B$5:$BW$1894,74,0)</f>
        <v>C.F.2</v>
      </c>
      <c r="F319" s="168"/>
      <c r="G319" s="169"/>
      <c r="H319" s="170"/>
      <c r="I319" s="57"/>
      <c r="J319" s="284">
        <v>-20</v>
      </c>
      <c r="K319" s="171"/>
      <c r="L319" s="171">
        <v>5.6</v>
      </c>
      <c r="M319" s="172"/>
      <c r="N319" s="271"/>
      <c r="O319" s="174" t="s">
        <v>621</v>
      </c>
      <c r="P319" s="191" t="s">
        <v>942</v>
      </c>
      <c r="Q319" s="288" t="s">
        <v>655</v>
      </c>
      <c r="R319" s="176" t="s">
        <v>623</v>
      </c>
      <c r="S319" s="175">
        <v>2.2000000000000002</v>
      </c>
      <c r="T319" s="173" t="s">
        <v>30</v>
      </c>
      <c r="U319" s="62"/>
      <c r="V319" s="177" t="s">
        <v>950</v>
      </c>
      <c r="W319" s="177" t="s">
        <v>951</v>
      </c>
      <c r="X319" s="277">
        <v>32704.789000000015</v>
      </c>
      <c r="Y319" s="277">
        <f>Y317+X318</f>
        <v>2053.5599999999995</v>
      </c>
      <c r="Z319" s="178"/>
      <c r="AA319" s="280" t="s">
        <v>949</v>
      </c>
      <c r="AB319" s="21" t="s">
        <v>2</v>
      </c>
      <c r="AH319" s="63">
        <v>1</v>
      </c>
      <c r="AO319" s="10" t="s">
        <v>3</v>
      </c>
      <c r="AP319" s="280" t="s">
        <v>952</v>
      </c>
      <c r="AQ319" s="279"/>
      <c r="AR319" s="277">
        <f>AR317+AQ318</f>
        <v>2099.2600000000002</v>
      </c>
      <c r="AS319" s="277">
        <f>AS317-AQ318</f>
        <v>32785.48899999998</v>
      </c>
      <c r="AT319" s="277" t="s">
        <v>953</v>
      </c>
      <c r="AU319" s="277" t="s">
        <v>954</v>
      </c>
      <c r="AV319" s="276"/>
      <c r="AW319" s="271" t="s">
        <v>30</v>
      </c>
      <c r="AX319" s="275">
        <v>2.2000000000000002</v>
      </c>
      <c r="AY319" s="285" t="s">
        <v>623</v>
      </c>
      <c r="AZ319" s="273" t="s">
        <v>655</v>
      </c>
      <c r="BA319" s="275" t="s">
        <v>942</v>
      </c>
      <c r="BB319" s="272" t="s">
        <v>621</v>
      </c>
      <c r="BC319" s="270"/>
      <c r="BD319" s="270"/>
      <c r="BE319" s="268">
        <v>5.6</v>
      </c>
      <c r="BF319" s="268"/>
      <c r="BG319" s="284">
        <v>-20</v>
      </c>
      <c r="BH319" s="266"/>
      <c r="BI319" s="282"/>
      <c r="BJ319" s="264"/>
      <c r="BK319" s="181"/>
      <c r="BL319" s="36" t="str">
        <f>VLOOKUP($AP319,'[1]V1 V2'!$B$5:$BW$1894,74,0)</f>
        <v>C.F.2</v>
      </c>
      <c r="BM319" s="36" t="str">
        <f>IF('[1]V1 V2'!X318="","",'[1]V1 V2'!X318)</f>
        <v/>
      </c>
    </row>
    <row r="320" spans="1:65" ht="44" thickBot="1" x14ac:dyDescent="0.4">
      <c r="A320">
        <v>1</v>
      </c>
      <c r="B320" s="323" t="s">
        <v>955</v>
      </c>
      <c r="C320" s="324"/>
      <c r="D320" s="325"/>
      <c r="E320" s="36">
        <f>VLOOKUP($B320,'[1]V1 V2'!$B$5:$BW$1894,74,0)</f>
        <v>0</v>
      </c>
      <c r="F320" s="168"/>
      <c r="G320" s="169"/>
      <c r="H320" s="170"/>
      <c r="I320" s="57"/>
      <c r="J320" s="56"/>
      <c r="K320" s="171"/>
      <c r="L320" s="142"/>
      <c r="M320" s="172"/>
      <c r="N320" s="173"/>
      <c r="O320" s="174" t="s">
        <v>89</v>
      </c>
      <c r="P320" s="171"/>
      <c r="Q320" s="221" t="s">
        <v>89</v>
      </c>
      <c r="R320" s="182"/>
      <c r="S320" s="191"/>
      <c r="T320" s="173"/>
      <c r="U320" s="62"/>
      <c r="V320" s="177"/>
      <c r="W320" s="177"/>
      <c r="X320" s="230"/>
      <c r="Y320" s="177"/>
      <c r="Z320" s="178">
        <v>25</v>
      </c>
      <c r="AA320" s="326" t="s">
        <v>955</v>
      </c>
      <c r="AB320" s="21" t="s">
        <v>2</v>
      </c>
      <c r="AH320" s="63">
        <v>1</v>
      </c>
      <c r="AO320" s="10" t="s">
        <v>3</v>
      </c>
      <c r="AP320" s="231" t="s">
        <v>955</v>
      </c>
      <c r="AQ320" s="178">
        <v>25</v>
      </c>
      <c r="AR320" s="177"/>
      <c r="AS320" s="222"/>
      <c r="AT320" s="177"/>
      <c r="AU320" s="177"/>
      <c r="AV320" s="62"/>
      <c r="AW320" s="173"/>
      <c r="AX320" s="191"/>
      <c r="AY320" s="182"/>
      <c r="AZ320" s="182"/>
      <c r="BA320" s="187"/>
      <c r="BB320" s="180" t="s">
        <v>89</v>
      </c>
      <c r="BC320" s="172"/>
      <c r="BD320" s="172"/>
      <c r="BE320" s="142"/>
      <c r="BF320" s="171"/>
      <c r="BG320" s="56"/>
      <c r="BH320" s="57"/>
      <c r="BI320" s="170"/>
      <c r="BJ320" s="169"/>
      <c r="BK320" s="181"/>
      <c r="BL320" s="36">
        <f>VLOOKUP($AP320,'[1]V1 V2'!$B$5:$BW$1894,74,0)</f>
        <v>0</v>
      </c>
      <c r="BM320" s="36" t="str">
        <f>IF('[1]V1 V2'!X319="","",'[1]V1 V2'!X319)</f>
        <v/>
      </c>
    </row>
    <row r="321" spans="1:65" ht="16" thickBot="1" x14ac:dyDescent="0.4">
      <c r="A321">
        <v>1</v>
      </c>
      <c r="B321" s="304" t="s">
        <v>956</v>
      </c>
      <c r="C321" s="305"/>
      <c r="D321" s="306"/>
      <c r="E321" s="36" t="str">
        <f>VLOOKUP($B321,'[1]V1 V2'!$B$5:$BW$1894,74,0)</f>
        <v>C.F.1</v>
      </c>
      <c r="F321" s="168"/>
      <c r="G321" s="169"/>
      <c r="H321" s="170"/>
      <c r="I321" s="266"/>
      <c r="J321" s="56" t="s">
        <v>127</v>
      </c>
      <c r="K321" s="268"/>
      <c r="L321" s="171">
        <v>5.6</v>
      </c>
      <c r="M321" s="172"/>
      <c r="N321" s="271"/>
      <c r="O321" s="174" t="s">
        <v>621</v>
      </c>
      <c r="P321" s="187" t="s">
        <v>184</v>
      </c>
      <c r="Q321" s="221" t="s">
        <v>957</v>
      </c>
      <c r="R321" s="176" t="s">
        <v>623</v>
      </c>
      <c r="S321" s="191" t="s">
        <v>958</v>
      </c>
      <c r="T321" s="271" t="s">
        <v>30</v>
      </c>
      <c r="U321" s="62"/>
      <c r="V321" s="177" t="s">
        <v>959</v>
      </c>
      <c r="W321" s="177" t="s">
        <v>960</v>
      </c>
      <c r="X321" s="177">
        <v>32679.789000000015</v>
      </c>
      <c r="Y321" s="177">
        <v>2125.2599999999993</v>
      </c>
      <c r="Z321" s="178"/>
      <c r="AA321" s="297" t="s">
        <v>956</v>
      </c>
      <c r="AB321" s="21" t="s">
        <v>2</v>
      </c>
      <c r="AH321" s="63">
        <v>1</v>
      </c>
      <c r="AO321" s="10" t="s">
        <v>3</v>
      </c>
      <c r="AP321" s="297" t="s">
        <v>961</v>
      </c>
      <c r="AQ321" s="178"/>
      <c r="AR321" s="177">
        <v>2124.2600000000002</v>
      </c>
      <c r="AS321" s="222">
        <f>AS319-AQ320</f>
        <v>32760.48899999998</v>
      </c>
      <c r="AT321" s="177" t="s">
        <v>962</v>
      </c>
      <c r="AU321" s="177" t="s">
        <v>963</v>
      </c>
      <c r="AV321" s="62"/>
      <c r="AW321" s="173" t="s">
        <v>30</v>
      </c>
      <c r="AX321" s="191" t="s">
        <v>958</v>
      </c>
      <c r="AY321" s="176" t="s">
        <v>623</v>
      </c>
      <c r="AZ321" s="176" t="s">
        <v>957</v>
      </c>
      <c r="BA321" s="187" t="s">
        <v>184</v>
      </c>
      <c r="BB321" s="180" t="s">
        <v>621</v>
      </c>
      <c r="BC321" s="172"/>
      <c r="BD321" s="172"/>
      <c r="BE321" s="171">
        <v>5.6</v>
      </c>
      <c r="BF321" s="171"/>
      <c r="BG321" s="183" t="s">
        <v>127</v>
      </c>
      <c r="BH321" s="57"/>
      <c r="BI321" s="170"/>
      <c r="BJ321" s="169"/>
      <c r="BK321" s="181"/>
      <c r="BL321" s="36" t="str">
        <f>VLOOKUP($AP321,'[1]V1 V2'!$B$5:$BW$1894,74,0)</f>
        <v>C.F.1</v>
      </c>
      <c r="BM321" s="36" t="str">
        <f>IF('[1]V1 V2'!X320="","",'[1]V1 V2'!X320)</f>
        <v/>
      </c>
    </row>
    <row r="322" spans="1:65" ht="16" thickBot="1" x14ac:dyDescent="0.4">
      <c r="A322">
        <v>1</v>
      </c>
      <c r="B322" s="304"/>
      <c r="C322" s="305"/>
      <c r="D322" s="306"/>
      <c r="E322" s="36"/>
      <c r="F322" s="168"/>
      <c r="G322" s="169"/>
      <c r="H322" s="170"/>
      <c r="I322" s="57"/>
      <c r="J322" s="56"/>
      <c r="K322" s="171"/>
      <c r="L322" s="142"/>
      <c r="M322" s="172"/>
      <c r="N322" s="173"/>
      <c r="O322" s="174" t="s">
        <v>89</v>
      </c>
      <c r="P322" s="187"/>
      <c r="Q322" s="223"/>
      <c r="R322" s="182"/>
      <c r="S322" s="191"/>
      <c r="T322" s="173"/>
      <c r="U322" s="62"/>
      <c r="V322" s="177" t="s">
        <v>89</v>
      </c>
      <c r="W322" s="177" t="s">
        <v>89</v>
      </c>
      <c r="X322" s="230"/>
      <c r="Y322" s="177"/>
      <c r="Z322" s="178">
        <v>17.25</v>
      </c>
      <c r="AA322" s="297"/>
      <c r="AB322" s="21" t="s">
        <v>2</v>
      </c>
      <c r="AC322" s="163"/>
      <c r="AD322" s="163"/>
      <c r="AE322" s="163"/>
      <c r="AF322" s="163"/>
      <c r="AG322" s="163"/>
      <c r="AH322" s="164">
        <v>1</v>
      </c>
      <c r="AI322" s="163"/>
      <c r="AJ322" s="163"/>
      <c r="AK322" s="163"/>
      <c r="AL322" s="163"/>
      <c r="AM322" s="163"/>
      <c r="AN322" s="163"/>
      <c r="AO322" s="10" t="s">
        <v>3</v>
      </c>
      <c r="AP322" s="297"/>
      <c r="AQ322" s="178">
        <v>17.25</v>
      </c>
      <c r="AR322" s="177"/>
      <c r="AS322" s="222"/>
      <c r="AT322" s="177" t="s">
        <v>89</v>
      </c>
      <c r="AU322" s="177" t="s">
        <v>89</v>
      </c>
      <c r="AV322" s="62"/>
      <c r="AW322" s="173"/>
      <c r="AX322" s="191"/>
      <c r="AY322" s="182"/>
      <c r="AZ322" s="182"/>
      <c r="BA322" s="171"/>
      <c r="BB322" s="180" t="s">
        <v>89</v>
      </c>
      <c r="BC322" s="172"/>
      <c r="BD322" s="172"/>
      <c r="BE322" s="142"/>
      <c r="BF322" s="171"/>
      <c r="BG322" s="56"/>
      <c r="BH322" s="57"/>
      <c r="BI322" s="170"/>
      <c r="BJ322" s="169"/>
      <c r="BK322" s="181"/>
      <c r="BL322" s="36"/>
      <c r="BM322" s="36" t="str">
        <f>IF('[1]V1 V2'!X321="","",'[1]V1 V2'!X321)</f>
        <v/>
      </c>
    </row>
    <row r="323" spans="1:65" ht="16" thickBot="1" x14ac:dyDescent="0.4">
      <c r="A323">
        <v>1</v>
      </c>
      <c r="B323" s="304" t="s">
        <v>964</v>
      </c>
      <c r="C323" s="305"/>
      <c r="D323" s="306"/>
      <c r="E323" s="36" t="str">
        <f>VLOOKUP($B323,'[1]V1 V2'!$B$5:$BW$1894,74,0)</f>
        <v>C.F.1</v>
      </c>
      <c r="F323" s="168"/>
      <c r="G323" s="264"/>
      <c r="H323" s="170"/>
      <c r="I323" s="266"/>
      <c r="J323" s="56">
        <v>-20</v>
      </c>
      <c r="K323" s="268"/>
      <c r="L323" s="171">
        <v>5.6</v>
      </c>
      <c r="M323" s="172"/>
      <c r="N323" s="271"/>
      <c r="O323" s="174" t="s">
        <v>621</v>
      </c>
      <c r="P323" s="187" t="s">
        <v>184</v>
      </c>
      <c r="Q323" s="221" t="s">
        <v>957</v>
      </c>
      <c r="R323" s="176" t="s">
        <v>623</v>
      </c>
      <c r="S323" s="191" t="s">
        <v>958</v>
      </c>
      <c r="T323" s="271" t="s">
        <v>30</v>
      </c>
      <c r="U323" s="62"/>
      <c r="V323" s="177" t="s">
        <v>965</v>
      </c>
      <c r="W323" s="177" t="s">
        <v>966</v>
      </c>
      <c r="X323" s="177">
        <v>32662.539000000015</v>
      </c>
      <c r="Y323" s="177">
        <v>2142.5099999999993</v>
      </c>
      <c r="Z323" s="178"/>
      <c r="AA323" s="297" t="s">
        <v>964</v>
      </c>
      <c r="AB323" s="21" t="s">
        <v>2</v>
      </c>
      <c r="AC323" s="113"/>
      <c r="AD323" s="113"/>
      <c r="AE323" s="113"/>
      <c r="AF323" s="113"/>
      <c r="AG323" s="113"/>
      <c r="AH323" s="166">
        <f>Y322</f>
        <v>0</v>
      </c>
      <c r="AI323" s="113"/>
      <c r="AJ323" s="113"/>
      <c r="AK323" s="113"/>
      <c r="AL323" s="113"/>
      <c r="AM323" s="113"/>
      <c r="AN323" s="113"/>
      <c r="AO323" s="10" t="s">
        <v>3</v>
      </c>
      <c r="AP323" s="297" t="s">
        <v>967</v>
      </c>
      <c r="AQ323" s="178"/>
      <c r="AR323" s="177">
        <v>2141.5100000000002</v>
      </c>
      <c r="AS323" s="222">
        <f>AS321-AQ322</f>
        <v>32743.23899999998</v>
      </c>
      <c r="AT323" s="177" t="s">
        <v>968</v>
      </c>
      <c r="AU323" s="177" t="s">
        <v>969</v>
      </c>
      <c r="AV323" s="62"/>
      <c r="AW323" s="173" t="s">
        <v>30</v>
      </c>
      <c r="AX323" s="191" t="s">
        <v>958</v>
      </c>
      <c r="AY323" s="176" t="s">
        <v>623</v>
      </c>
      <c r="AZ323" s="176" t="s">
        <v>957</v>
      </c>
      <c r="BA323" s="171" t="s">
        <v>184</v>
      </c>
      <c r="BB323" s="180" t="s">
        <v>621</v>
      </c>
      <c r="BC323" s="172"/>
      <c r="BD323" s="172"/>
      <c r="BE323" s="171">
        <v>5.6</v>
      </c>
      <c r="BF323" s="171"/>
      <c r="BG323" s="56">
        <v>-20</v>
      </c>
      <c r="BH323" s="57"/>
      <c r="BI323" s="170"/>
      <c r="BJ323" s="169"/>
      <c r="BK323" s="181"/>
      <c r="BL323" s="36" t="str">
        <f>VLOOKUP($AP323,'[1]V1 V2'!$B$5:$BW$1894,74,0)</f>
        <v>C.F.1</v>
      </c>
      <c r="BM323" s="36" t="str">
        <f>IF('[1]V1 V2'!X322="","",'[1]V1 V2'!X322)</f>
        <v/>
      </c>
    </row>
    <row r="324" spans="1:65" ht="16" thickBot="1" x14ac:dyDescent="0.4">
      <c r="A324">
        <v>1</v>
      </c>
      <c r="B324" s="304"/>
      <c r="C324" s="305"/>
      <c r="D324" s="306"/>
      <c r="E324" s="36"/>
      <c r="F324" s="168"/>
      <c r="G324" s="169"/>
      <c r="H324" s="170"/>
      <c r="I324" s="57"/>
      <c r="J324" s="56"/>
      <c r="K324" s="171"/>
      <c r="L324" s="142"/>
      <c r="M324" s="172"/>
      <c r="N324" s="173"/>
      <c r="O324" s="174" t="s">
        <v>89</v>
      </c>
      <c r="P324" s="187"/>
      <c r="Q324" s="223"/>
      <c r="R324" s="182"/>
      <c r="S324" s="191"/>
      <c r="T324" s="173"/>
      <c r="U324" s="62"/>
      <c r="V324" s="177" t="s">
        <v>89</v>
      </c>
      <c r="W324" s="177" t="s">
        <v>89</v>
      </c>
      <c r="X324" s="230"/>
      <c r="Y324" s="177"/>
      <c r="Z324" s="178">
        <v>17.25</v>
      </c>
      <c r="AA324" s="297"/>
      <c r="AB324" s="21" t="s">
        <v>2</v>
      </c>
      <c r="AF324" t="s">
        <v>940</v>
      </c>
      <c r="AH324" s="63">
        <v>1</v>
      </c>
      <c r="AK324" t="s">
        <v>940</v>
      </c>
      <c r="AO324" s="10" t="s">
        <v>3</v>
      </c>
      <c r="AP324" s="297"/>
      <c r="AQ324" s="178">
        <v>17.25</v>
      </c>
      <c r="AR324" s="177"/>
      <c r="AS324" s="222"/>
      <c r="AT324" s="177" t="s">
        <v>89</v>
      </c>
      <c r="AU324" s="177" t="s">
        <v>89</v>
      </c>
      <c r="AV324" s="62"/>
      <c r="AW324" s="173"/>
      <c r="AX324" s="191"/>
      <c r="AY324" s="182"/>
      <c r="AZ324" s="182"/>
      <c r="BA324" s="171"/>
      <c r="BB324" s="180" t="s">
        <v>89</v>
      </c>
      <c r="BC324" s="172"/>
      <c r="BD324" s="172"/>
      <c r="BE324" s="142"/>
      <c r="BF324" s="171"/>
      <c r="BG324" s="56"/>
      <c r="BH324" s="57"/>
      <c r="BI324" s="170"/>
      <c r="BJ324" s="169"/>
      <c r="BK324" s="181"/>
      <c r="BL324" s="36"/>
      <c r="BM324" s="36" t="str">
        <f>IF('[1]V1 V2'!X323="","",'[1]V1 V2'!X323)</f>
        <v/>
      </c>
    </row>
    <row r="325" spans="1:65" ht="16" thickBot="1" x14ac:dyDescent="0.4">
      <c r="A325">
        <v>1</v>
      </c>
      <c r="B325" s="304" t="s">
        <v>970</v>
      </c>
      <c r="C325" s="305"/>
      <c r="D325" s="306"/>
      <c r="E325" s="36" t="str">
        <f>VLOOKUP($B325,'[1]V1 V2'!$B$5:$BW$1894,74,0)</f>
        <v>C.F.1</v>
      </c>
      <c r="F325" s="168"/>
      <c r="G325" s="169"/>
      <c r="H325" s="170"/>
      <c r="I325" s="57"/>
      <c r="J325" s="56" t="s">
        <v>127</v>
      </c>
      <c r="K325" s="171"/>
      <c r="L325" s="171">
        <v>5.6</v>
      </c>
      <c r="M325" s="172"/>
      <c r="N325" s="173"/>
      <c r="O325" s="174" t="s">
        <v>621</v>
      </c>
      <c r="P325" s="187" t="s">
        <v>184</v>
      </c>
      <c r="Q325" s="221" t="s">
        <v>957</v>
      </c>
      <c r="R325" s="176" t="s">
        <v>623</v>
      </c>
      <c r="S325" s="191" t="s">
        <v>958</v>
      </c>
      <c r="T325" s="173" t="s">
        <v>30</v>
      </c>
      <c r="U325" s="62"/>
      <c r="V325" s="177" t="s">
        <v>971</v>
      </c>
      <c r="W325" s="177" t="s">
        <v>972</v>
      </c>
      <c r="X325" s="177">
        <v>32645.289000000015</v>
      </c>
      <c r="Y325" s="177">
        <v>2159.7599999999993</v>
      </c>
      <c r="Z325" s="178"/>
      <c r="AA325" s="297" t="s">
        <v>970</v>
      </c>
      <c r="AB325" s="21" t="s">
        <v>2</v>
      </c>
      <c r="AH325" s="63">
        <v>1</v>
      </c>
      <c r="AO325" s="10" t="s">
        <v>3</v>
      </c>
      <c r="AP325" s="297" t="s">
        <v>973</v>
      </c>
      <c r="AQ325" s="178"/>
      <c r="AR325" s="177">
        <v>2158.7600000000002</v>
      </c>
      <c r="AS325" s="222">
        <f>AS323-AQ324</f>
        <v>32725.98899999998</v>
      </c>
      <c r="AT325" s="177" t="s">
        <v>974</v>
      </c>
      <c r="AU325" s="177" t="s">
        <v>975</v>
      </c>
      <c r="AV325" s="62"/>
      <c r="AW325" s="173" t="s">
        <v>30</v>
      </c>
      <c r="AX325" s="191" t="s">
        <v>958</v>
      </c>
      <c r="AY325" s="176" t="s">
        <v>623</v>
      </c>
      <c r="AZ325" s="176" t="s">
        <v>957</v>
      </c>
      <c r="BA325" s="171" t="s">
        <v>184</v>
      </c>
      <c r="BB325" s="180" t="s">
        <v>621</v>
      </c>
      <c r="BC325" s="172"/>
      <c r="BD325" s="172"/>
      <c r="BE325" s="171">
        <v>5.6</v>
      </c>
      <c r="BF325" s="171"/>
      <c r="BG325" s="183" t="s">
        <v>127</v>
      </c>
      <c r="BH325" s="57"/>
      <c r="BI325" s="170"/>
      <c r="BJ325" s="169"/>
      <c r="BK325" s="181"/>
      <c r="BL325" s="36" t="str">
        <f>VLOOKUP($AP325,'[1]V1 V2'!$B$5:$BW$1894,74,0)</f>
        <v>C.F.1</v>
      </c>
      <c r="BM325" s="36" t="str">
        <f>IF('[1]V1 V2'!X324="","",'[1]V1 V2'!X324)</f>
        <v/>
      </c>
    </row>
    <row r="326" spans="1:65" ht="16" thickBot="1" x14ac:dyDescent="0.4">
      <c r="A326">
        <v>1</v>
      </c>
      <c r="B326" s="304"/>
      <c r="C326" s="305"/>
      <c r="D326" s="306"/>
      <c r="E326" s="36"/>
      <c r="F326" s="168"/>
      <c r="G326" s="169"/>
      <c r="H326" s="170"/>
      <c r="I326" s="57"/>
      <c r="J326" s="56"/>
      <c r="K326" s="171"/>
      <c r="L326" s="142"/>
      <c r="M326" s="172"/>
      <c r="N326" s="173"/>
      <c r="O326" s="174" t="s">
        <v>89</v>
      </c>
      <c r="P326" s="187"/>
      <c r="Q326" s="223"/>
      <c r="R326" s="182"/>
      <c r="S326" s="191"/>
      <c r="T326" s="173"/>
      <c r="U326" s="62"/>
      <c r="V326" s="177" t="s">
        <v>89</v>
      </c>
      <c r="W326" s="177" t="s">
        <v>89</v>
      </c>
      <c r="X326" s="230"/>
      <c r="Y326" s="177"/>
      <c r="Z326" s="178">
        <v>17.25</v>
      </c>
      <c r="AA326" s="297"/>
      <c r="AB326" s="21" t="s">
        <v>2</v>
      </c>
      <c r="AH326" s="63">
        <v>1</v>
      </c>
      <c r="AO326" s="10" t="s">
        <v>3</v>
      </c>
      <c r="AP326" s="297"/>
      <c r="AQ326" s="178">
        <v>17.25</v>
      </c>
      <c r="AR326" s="177"/>
      <c r="AS326" s="222"/>
      <c r="AT326" s="177" t="s">
        <v>89</v>
      </c>
      <c r="AU326" s="177" t="s">
        <v>89</v>
      </c>
      <c r="AV326" s="62"/>
      <c r="AW326" s="173"/>
      <c r="AX326" s="191"/>
      <c r="AY326" s="182"/>
      <c r="AZ326" s="182"/>
      <c r="BA326" s="171"/>
      <c r="BB326" s="180" t="s">
        <v>89</v>
      </c>
      <c r="BC326" s="172"/>
      <c r="BD326" s="172"/>
      <c r="BE326" s="142"/>
      <c r="BF326" s="171"/>
      <c r="BG326" s="56"/>
      <c r="BH326" s="57"/>
      <c r="BI326" s="170"/>
      <c r="BJ326" s="169"/>
      <c r="BK326" s="181"/>
      <c r="BL326" s="36"/>
      <c r="BM326" s="36" t="str">
        <f>IF('[1]V1 V2'!X325="","",'[1]V1 V2'!X325)</f>
        <v/>
      </c>
    </row>
    <row r="327" spans="1:65" ht="16" thickBot="1" x14ac:dyDescent="0.4">
      <c r="A327">
        <v>1</v>
      </c>
      <c r="B327" s="304" t="s">
        <v>976</v>
      </c>
      <c r="C327" s="305"/>
      <c r="D327" s="306"/>
      <c r="E327" s="36" t="str">
        <f>VLOOKUP($B327,'[1]V1 V2'!$B$5:$BW$1894,74,0)</f>
        <v>C.F.2</v>
      </c>
      <c r="F327" s="168"/>
      <c r="G327" s="169"/>
      <c r="H327" s="170"/>
      <c r="I327" s="57"/>
      <c r="J327" s="56">
        <v>-20</v>
      </c>
      <c r="K327" s="171"/>
      <c r="L327" s="171">
        <v>5.6</v>
      </c>
      <c r="M327" s="172"/>
      <c r="N327" s="173"/>
      <c r="O327" s="174" t="s">
        <v>621</v>
      </c>
      <c r="P327" s="187" t="s">
        <v>184</v>
      </c>
      <c r="Q327" s="221" t="s">
        <v>957</v>
      </c>
      <c r="R327" s="176" t="s">
        <v>623</v>
      </c>
      <c r="S327" s="191" t="s">
        <v>958</v>
      </c>
      <c r="T327" s="173" t="s">
        <v>30</v>
      </c>
      <c r="U327" s="62"/>
      <c r="V327" s="177" t="s">
        <v>977</v>
      </c>
      <c r="W327" s="177" t="s">
        <v>978</v>
      </c>
      <c r="X327" s="177">
        <v>32628.039000000015</v>
      </c>
      <c r="Y327" s="177">
        <v>2177.0099999999993</v>
      </c>
      <c r="Z327" s="178"/>
      <c r="AA327" s="297" t="s">
        <v>976</v>
      </c>
      <c r="AB327" s="21" t="s">
        <v>2</v>
      </c>
      <c r="AH327" s="63">
        <v>1</v>
      </c>
      <c r="AO327" s="10" t="s">
        <v>3</v>
      </c>
      <c r="AP327" s="297" t="s">
        <v>979</v>
      </c>
      <c r="AQ327" s="178"/>
      <c r="AR327" s="177">
        <v>2176.0100000000002</v>
      </c>
      <c r="AS327" s="222">
        <f>AS325-AQ326</f>
        <v>32708.73899999998</v>
      </c>
      <c r="AT327" s="177" t="s">
        <v>980</v>
      </c>
      <c r="AU327" s="177" t="s">
        <v>981</v>
      </c>
      <c r="AV327" s="62"/>
      <c r="AW327" s="173" t="s">
        <v>30</v>
      </c>
      <c r="AX327" s="191" t="s">
        <v>958</v>
      </c>
      <c r="AY327" s="176" t="s">
        <v>623</v>
      </c>
      <c r="AZ327" s="176" t="s">
        <v>957</v>
      </c>
      <c r="BA327" s="171" t="s">
        <v>184</v>
      </c>
      <c r="BB327" s="180" t="s">
        <v>621</v>
      </c>
      <c r="BC327" s="172"/>
      <c r="BD327" s="172"/>
      <c r="BE327" s="171">
        <v>5.6</v>
      </c>
      <c r="BF327" s="171"/>
      <c r="BG327" s="56">
        <v>-20</v>
      </c>
      <c r="BH327" s="57"/>
      <c r="BI327" s="170"/>
      <c r="BJ327" s="169"/>
      <c r="BK327" s="181"/>
      <c r="BL327" s="36" t="str">
        <f>VLOOKUP($AP327,'[1]V1 V2'!$B$5:$BW$1894,74,0)</f>
        <v>C.F.2</v>
      </c>
      <c r="BM327" s="36" t="str">
        <f>IF('[1]V1 V2'!X326="","",'[1]V1 V2'!X326)</f>
        <v/>
      </c>
    </row>
    <row r="328" spans="1:65" ht="44" thickBot="1" x14ac:dyDescent="0.4">
      <c r="A328">
        <v>1</v>
      </c>
      <c r="B328" s="227" t="s">
        <v>982</v>
      </c>
      <c r="C328" s="228"/>
      <c r="D328" s="331" t="s">
        <v>983</v>
      </c>
      <c r="E328" s="36">
        <f>VLOOKUP($B328,'[1]V1 V2'!$B$5:$BW$1894,74,0)</f>
        <v>0</v>
      </c>
      <c r="F328" s="168"/>
      <c r="G328" s="169"/>
      <c r="H328" s="170"/>
      <c r="I328" s="57"/>
      <c r="J328" s="56"/>
      <c r="K328" s="171"/>
      <c r="L328" s="142"/>
      <c r="M328" s="172"/>
      <c r="N328" s="173"/>
      <c r="O328" s="174" t="s">
        <v>89</v>
      </c>
      <c r="P328" s="171"/>
      <c r="Q328" s="223"/>
      <c r="R328" s="182"/>
      <c r="S328" s="191"/>
      <c r="T328" s="173"/>
      <c r="U328" s="62"/>
      <c r="V328" s="177"/>
      <c r="W328" s="177"/>
      <c r="X328" s="230"/>
      <c r="Y328" s="177"/>
      <c r="Z328" s="198">
        <v>25.1</v>
      </c>
      <c r="AA328" s="231" t="s">
        <v>982</v>
      </c>
      <c r="AB328" s="21" t="s">
        <v>2</v>
      </c>
      <c r="AH328" s="63">
        <v>1</v>
      </c>
      <c r="AO328" s="10" t="s">
        <v>3</v>
      </c>
      <c r="AP328" s="231" t="s">
        <v>982</v>
      </c>
      <c r="AQ328" s="178">
        <v>25</v>
      </c>
      <c r="AR328" s="177"/>
      <c r="AS328" s="222"/>
      <c r="AT328" s="177"/>
      <c r="AU328" s="177"/>
      <c r="AV328" s="62"/>
      <c r="AW328" s="173"/>
      <c r="AX328" s="191"/>
      <c r="AY328" s="182"/>
      <c r="AZ328" s="182"/>
      <c r="BA328" s="171"/>
      <c r="BB328" s="180" t="s">
        <v>89</v>
      </c>
      <c r="BC328" s="172"/>
      <c r="BD328" s="172"/>
      <c r="BE328" s="142"/>
      <c r="BF328" s="171"/>
      <c r="BG328" s="56"/>
      <c r="BH328" s="57"/>
      <c r="BI328" s="170"/>
      <c r="BJ328" s="169"/>
      <c r="BK328" s="181"/>
      <c r="BL328" s="36">
        <f>VLOOKUP($AP328,'[1]V1 V2'!$B$5:$BW$1894,74,0)</f>
        <v>0</v>
      </c>
      <c r="BM328" s="308" t="str">
        <f>IF('[1]V1 V2'!X327="","",'[1]V1 V2'!X327)</f>
        <v>3PEAD D63mm ou 1PEAD D125mm + PEAD D40mm</v>
      </c>
    </row>
    <row r="329" spans="1:65" ht="16" thickBot="1" x14ac:dyDescent="0.4">
      <c r="A329">
        <v>1</v>
      </c>
      <c r="B329" s="304" t="s">
        <v>984</v>
      </c>
      <c r="C329" s="305"/>
      <c r="D329" s="309" t="s">
        <v>722</v>
      </c>
      <c r="E329" s="36" t="str">
        <f>VLOOKUP($B329,'[1]V1 V2'!$B$5:$BW$1894,74,0)</f>
        <v>C.F.24</v>
      </c>
      <c r="F329" s="263" t="s">
        <v>399</v>
      </c>
      <c r="G329" s="264" t="s">
        <v>400</v>
      </c>
      <c r="H329" s="170"/>
      <c r="I329" s="57"/>
      <c r="J329" s="56" t="s">
        <v>127</v>
      </c>
      <c r="K329" s="171"/>
      <c r="L329" s="171">
        <v>5.6</v>
      </c>
      <c r="M329" s="172"/>
      <c r="N329" s="173"/>
      <c r="O329" s="286" t="s">
        <v>621</v>
      </c>
      <c r="P329" s="191" t="s">
        <v>661</v>
      </c>
      <c r="Q329" s="221" t="s">
        <v>639</v>
      </c>
      <c r="R329" s="176" t="s">
        <v>623</v>
      </c>
      <c r="S329" s="275" t="s">
        <v>985</v>
      </c>
      <c r="T329" s="173" t="s">
        <v>30</v>
      </c>
      <c r="U329" s="62" t="s">
        <v>48</v>
      </c>
      <c r="V329" s="277" t="s">
        <v>986</v>
      </c>
      <c r="W329" s="277" t="s">
        <v>987</v>
      </c>
      <c r="X329" s="177">
        <v>32602.939000000017</v>
      </c>
      <c r="Y329" s="177">
        <v>2202.1099999999992</v>
      </c>
      <c r="Z329" s="178"/>
      <c r="AA329" s="297" t="s">
        <v>984</v>
      </c>
      <c r="AB329" s="21" t="s">
        <v>2</v>
      </c>
      <c r="AH329" s="63">
        <v>1</v>
      </c>
      <c r="AO329" s="10" t="s">
        <v>3</v>
      </c>
      <c r="AP329" s="297" t="s">
        <v>988</v>
      </c>
      <c r="AQ329" s="178"/>
      <c r="AR329" s="177">
        <v>2201.0100000000002</v>
      </c>
      <c r="AS329" s="222">
        <f>AS327-AQ328</f>
        <v>32683.73899999998</v>
      </c>
      <c r="AT329" s="277" t="s">
        <v>989</v>
      </c>
      <c r="AU329" s="277" t="s">
        <v>990</v>
      </c>
      <c r="AV329" s="62" t="s">
        <v>48</v>
      </c>
      <c r="AW329" s="173" t="s">
        <v>30</v>
      </c>
      <c r="AX329" s="275" t="s">
        <v>985</v>
      </c>
      <c r="AY329" s="176" t="s">
        <v>623</v>
      </c>
      <c r="AZ329" s="176" t="s">
        <v>639</v>
      </c>
      <c r="BA329" s="240" t="s">
        <v>661</v>
      </c>
      <c r="BB329" s="272" t="s">
        <v>621</v>
      </c>
      <c r="BC329" s="172"/>
      <c r="BD329" s="172"/>
      <c r="BE329" s="171">
        <v>5.6</v>
      </c>
      <c r="BF329" s="171"/>
      <c r="BG329" s="183" t="s">
        <v>127</v>
      </c>
      <c r="BH329" s="57"/>
      <c r="BI329" s="170"/>
      <c r="BJ329" s="264" t="s">
        <v>400</v>
      </c>
      <c r="BK329" s="283" t="s">
        <v>399</v>
      </c>
      <c r="BL329" s="36" t="str">
        <f>VLOOKUP($AP329,'[1]V1 V2'!$B$5:$BW$1894,74,0)</f>
        <v>C.F.24</v>
      </c>
      <c r="BM329" s="202" t="str">
        <f>IF('[1]V1 V2'!X328="","",'[1]V1 V2'!X328)</f>
        <v>FR</v>
      </c>
    </row>
    <row r="330" spans="1:65" ht="16" thickBot="1" x14ac:dyDescent="0.4">
      <c r="A330">
        <v>1</v>
      </c>
      <c r="B330" s="304"/>
      <c r="C330" s="305"/>
      <c r="D330" s="307" t="s">
        <v>991</v>
      </c>
      <c r="E330" s="36"/>
      <c r="F330" s="263"/>
      <c r="G330" s="264" t="s">
        <v>948</v>
      </c>
      <c r="H330" s="170"/>
      <c r="I330" s="57"/>
      <c r="J330" s="56"/>
      <c r="K330" s="171"/>
      <c r="L330" s="142"/>
      <c r="M330" s="172"/>
      <c r="N330" s="173"/>
      <c r="O330" s="174" t="s">
        <v>89</v>
      </c>
      <c r="P330" s="171"/>
      <c r="Q330" s="223"/>
      <c r="R330" s="182"/>
      <c r="S330" s="191"/>
      <c r="T330" s="173"/>
      <c r="U330" s="62"/>
      <c r="V330" s="177" t="s">
        <v>89</v>
      </c>
      <c r="W330" s="177" t="s">
        <v>89</v>
      </c>
      <c r="X330" s="230"/>
      <c r="Y330" s="177"/>
      <c r="Z330" s="178">
        <v>20.7</v>
      </c>
      <c r="AA330" s="297"/>
      <c r="AB330" s="21" t="s">
        <v>2</v>
      </c>
      <c r="AC330" s="163"/>
      <c r="AD330" s="163"/>
      <c r="AE330" s="163"/>
      <c r="AF330" s="163"/>
      <c r="AG330" s="163"/>
      <c r="AH330" s="164">
        <v>1</v>
      </c>
      <c r="AI330" s="163"/>
      <c r="AJ330" s="163"/>
      <c r="AK330" s="163"/>
      <c r="AL330" s="163"/>
      <c r="AM330" s="163"/>
      <c r="AN330" s="163"/>
      <c r="AO330" s="10" t="s">
        <v>3</v>
      </c>
      <c r="AP330" s="297"/>
      <c r="AQ330" s="178">
        <v>20.5</v>
      </c>
      <c r="AR330" s="177"/>
      <c r="AS330" s="222"/>
      <c r="AT330" s="177" t="s">
        <v>89</v>
      </c>
      <c r="AU330" s="177" t="s">
        <v>89</v>
      </c>
      <c r="AV330" s="62"/>
      <c r="AW330" s="173"/>
      <c r="AX330" s="191"/>
      <c r="AY330" s="182"/>
      <c r="AZ330" s="182"/>
      <c r="BA330" s="171"/>
      <c r="BB330" s="180" t="s">
        <v>89</v>
      </c>
      <c r="BC330" s="172"/>
      <c r="BD330" s="172"/>
      <c r="BE330" s="142"/>
      <c r="BF330" s="171"/>
      <c r="BG330" s="56"/>
      <c r="BH330" s="57"/>
      <c r="BI330" s="170"/>
      <c r="BJ330" s="264" t="s">
        <v>948</v>
      </c>
      <c r="BK330" s="283"/>
      <c r="BL330" s="36"/>
      <c r="BM330" s="308" t="str">
        <f>IF('[1]V1 V2'!X329="","",'[1]V1 V2'!X329)</f>
        <v>3PEAD D63mm ou 1PEAD D125mm</v>
      </c>
    </row>
    <row r="331" spans="1:65" ht="16" thickBot="1" x14ac:dyDescent="0.4">
      <c r="A331">
        <v>1</v>
      </c>
      <c r="B331" s="304" t="s">
        <v>992</v>
      </c>
      <c r="C331" s="305"/>
      <c r="D331" s="306"/>
      <c r="E331" s="36" t="str">
        <f>VLOOKUP($B331,'[1]V1 V2'!$B$5:$BW$1894,74,0)</f>
        <v>C.F.5.A</v>
      </c>
      <c r="F331" s="168"/>
      <c r="G331" s="169"/>
      <c r="H331" s="170"/>
      <c r="I331" s="57"/>
      <c r="J331" s="56">
        <v>-20</v>
      </c>
      <c r="K331" s="171"/>
      <c r="L331" s="171">
        <v>5.6</v>
      </c>
      <c r="M331" s="172"/>
      <c r="N331" s="173"/>
      <c r="O331" s="174" t="s">
        <v>596</v>
      </c>
      <c r="P331" s="191" t="s">
        <v>661</v>
      </c>
      <c r="Q331" s="221" t="s">
        <v>639</v>
      </c>
      <c r="R331" s="176" t="s">
        <v>623</v>
      </c>
      <c r="S331" s="191" t="s">
        <v>993</v>
      </c>
      <c r="T331" s="173" t="s">
        <v>30</v>
      </c>
      <c r="U331" s="62" t="s">
        <v>48</v>
      </c>
      <c r="V331" s="177" t="s">
        <v>994</v>
      </c>
      <c r="W331" s="226" t="s">
        <v>995</v>
      </c>
      <c r="X331" s="177">
        <v>32582.239000000016</v>
      </c>
      <c r="Y331" s="177">
        <v>2222.809999999999</v>
      </c>
      <c r="Z331" s="178"/>
      <c r="AA331" s="297" t="s">
        <v>992</v>
      </c>
      <c r="AB331" s="21" t="s">
        <v>2</v>
      </c>
      <c r="AC331" s="113"/>
      <c r="AD331" s="113"/>
      <c r="AE331" s="113"/>
      <c r="AF331" s="113"/>
      <c r="AG331" s="113"/>
      <c r="AH331" s="166">
        <f>Y330</f>
        <v>0</v>
      </c>
      <c r="AI331" s="113"/>
      <c r="AJ331" s="113"/>
      <c r="AK331" s="113"/>
      <c r="AL331" s="113"/>
      <c r="AM331" s="113"/>
      <c r="AN331" s="113"/>
      <c r="AO331" s="10" t="s">
        <v>3</v>
      </c>
      <c r="AP331" s="297" t="s">
        <v>996</v>
      </c>
      <c r="AQ331" s="178"/>
      <c r="AR331" s="177">
        <v>2221.5100000000002</v>
      </c>
      <c r="AS331" s="222">
        <f>AS329-AQ330</f>
        <v>32663.23899999998</v>
      </c>
      <c r="AT331" s="226" t="s">
        <v>997</v>
      </c>
      <c r="AU331" s="177" t="s">
        <v>998</v>
      </c>
      <c r="AV331" s="62" t="s">
        <v>48</v>
      </c>
      <c r="AW331" s="173" t="s">
        <v>30</v>
      </c>
      <c r="AX331" s="191" t="s">
        <v>993</v>
      </c>
      <c r="AY331" s="176" t="s">
        <v>623</v>
      </c>
      <c r="AZ331" s="176" t="s">
        <v>639</v>
      </c>
      <c r="BA331" s="240" t="s">
        <v>661</v>
      </c>
      <c r="BB331" s="180" t="s">
        <v>596</v>
      </c>
      <c r="BC331" s="172"/>
      <c r="BD331" s="172"/>
      <c r="BE331" s="171">
        <v>5.6</v>
      </c>
      <c r="BF331" s="171"/>
      <c r="BG331" s="56">
        <v>-20</v>
      </c>
      <c r="BH331" s="57"/>
      <c r="BI331" s="170"/>
      <c r="BJ331" s="169"/>
      <c r="BK331" s="181"/>
      <c r="BL331" s="36" t="str">
        <f>VLOOKUP($AP331,'[1]V1 V2'!$B$5:$BW$1894,74,0)</f>
        <v>C.F.5.A</v>
      </c>
      <c r="BM331" s="36" t="str">
        <f>IF('[1]V1 V2'!X330="","",'[1]V1 V2'!X330)</f>
        <v/>
      </c>
    </row>
    <row r="332" spans="1:65" ht="16" thickBot="1" x14ac:dyDescent="0.4">
      <c r="A332">
        <v>1</v>
      </c>
      <c r="B332" s="304"/>
      <c r="C332" s="305"/>
      <c r="D332" s="306"/>
      <c r="E332" s="36"/>
      <c r="F332" s="168"/>
      <c r="G332" s="169"/>
      <c r="H332" s="170"/>
      <c r="I332" s="57"/>
      <c r="J332" s="56"/>
      <c r="K332" s="171"/>
      <c r="L332" s="142"/>
      <c r="M332" s="172"/>
      <c r="N332" s="173"/>
      <c r="O332" s="174" t="s">
        <v>89</v>
      </c>
      <c r="P332" s="171"/>
      <c r="Q332" s="223"/>
      <c r="R332" s="182"/>
      <c r="S332" s="191"/>
      <c r="T332" s="173"/>
      <c r="U332" s="62"/>
      <c r="V332" s="177" t="s">
        <v>89</v>
      </c>
      <c r="W332" s="177" t="s">
        <v>89</v>
      </c>
      <c r="X332" s="230"/>
      <c r="Y332" s="177"/>
      <c r="Z332" s="178">
        <v>20</v>
      </c>
      <c r="AA332" s="297"/>
      <c r="AB332" s="21" t="s">
        <v>2</v>
      </c>
      <c r="AF332" t="s">
        <v>940</v>
      </c>
      <c r="AH332" s="63">
        <v>1</v>
      </c>
      <c r="AK332" t="s">
        <v>940</v>
      </c>
      <c r="AO332" s="10" t="s">
        <v>3</v>
      </c>
      <c r="AP332" s="297"/>
      <c r="AQ332" s="178">
        <v>19.8</v>
      </c>
      <c r="AR332" s="177"/>
      <c r="AS332" s="222"/>
      <c r="AT332" s="177" t="s">
        <v>89</v>
      </c>
      <c r="AU332" s="177" t="s">
        <v>89</v>
      </c>
      <c r="AV332" s="62"/>
      <c r="AW332" s="173"/>
      <c r="AX332" s="175"/>
      <c r="AY332" s="182"/>
      <c r="AZ332" s="223"/>
      <c r="BA332" s="171"/>
      <c r="BB332" s="180" t="s">
        <v>89</v>
      </c>
      <c r="BC332" s="172"/>
      <c r="BD332" s="172"/>
      <c r="BE332" s="142"/>
      <c r="BF332" s="171"/>
      <c r="BG332" s="56"/>
      <c r="BH332" s="57"/>
      <c r="BI332" s="170"/>
      <c r="BJ332" s="169"/>
      <c r="BK332" s="181"/>
      <c r="BL332" s="36"/>
      <c r="BM332" s="36" t="str">
        <f>IF('[1]V1 V2'!X331="","",'[1]V1 V2'!X331)</f>
        <v/>
      </c>
    </row>
    <row r="333" spans="1:65" ht="16" thickBot="1" x14ac:dyDescent="0.4">
      <c r="A333">
        <v>1</v>
      </c>
      <c r="B333" s="304" t="s">
        <v>999</v>
      </c>
      <c r="C333" s="305"/>
      <c r="D333" s="306"/>
      <c r="E333" s="36" t="str">
        <f>VLOOKUP($B333,'[1]V1 V2'!$B$5:$BW$1894,74,0)</f>
        <v>C.F.5.A</v>
      </c>
      <c r="F333" s="168"/>
      <c r="G333" s="169"/>
      <c r="H333" s="170"/>
      <c r="I333" s="57"/>
      <c r="J333" s="56">
        <v>-20</v>
      </c>
      <c r="K333" s="171"/>
      <c r="L333" s="171">
        <v>5.6</v>
      </c>
      <c r="M333" s="172"/>
      <c r="N333" s="173"/>
      <c r="O333" s="174" t="s">
        <v>596</v>
      </c>
      <c r="P333" s="191" t="s">
        <v>661</v>
      </c>
      <c r="Q333" s="221" t="s">
        <v>639</v>
      </c>
      <c r="R333" s="176" t="s">
        <v>623</v>
      </c>
      <c r="S333" s="191" t="s">
        <v>993</v>
      </c>
      <c r="T333" s="173" t="s">
        <v>30</v>
      </c>
      <c r="U333" s="62">
        <v>142</v>
      </c>
      <c r="V333" s="177" t="s">
        <v>1000</v>
      </c>
      <c r="W333" s="226" t="s">
        <v>1001</v>
      </c>
      <c r="X333" s="177">
        <v>32562.239000000016</v>
      </c>
      <c r="Y333" s="177">
        <v>2242.809999999999</v>
      </c>
      <c r="Z333" s="178"/>
      <c r="AA333" s="297" t="s">
        <v>999</v>
      </c>
      <c r="AB333" s="21" t="s">
        <v>2</v>
      </c>
      <c r="AH333" s="63">
        <v>1</v>
      </c>
      <c r="AO333" s="10" t="s">
        <v>3</v>
      </c>
      <c r="AP333" s="297" t="s">
        <v>1002</v>
      </c>
      <c r="AQ333" s="178"/>
      <c r="AR333" s="177">
        <v>2241.3100000000004</v>
      </c>
      <c r="AS333" s="222">
        <f>AS331-AQ332</f>
        <v>32643.43899999998</v>
      </c>
      <c r="AT333" s="226" t="s">
        <v>1003</v>
      </c>
      <c r="AU333" s="177" t="s">
        <v>1004</v>
      </c>
      <c r="AV333" s="62">
        <v>142</v>
      </c>
      <c r="AW333" s="173" t="s">
        <v>30</v>
      </c>
      <c r="AX333" s="175" t="s">
        <v>993</v>
      </c>
      <c r="AY333" s="176" t="s">
        <v>623</v>
      </c>
      <c r="AZ333" s="221" t="s">
        <v>639</v>
      </c>
      <c r="BA333" s="240" t="s">
        <v>661</v>
      </c>
      <c r="BB333" s="180" t="s">
        <v>596</v>
      </c>
      <c r="BC333" s="172"/>
      <c r="BD333" s="172"/>
      <c r="BE333" s="171">
        <v>5.6</v>
      </c>
      <c r="BF333" s="171"/>
      <c r="BG333" s="56">
        <v>-20</v>
      </c>
      <c r="BH333" s="57"/>
      <c r="BI333" s="170"/>
      <c r="BJ333" s="169"/>
      <c r="BK333" s="181"/>
      <c r="BL333" s="36" t="str">
        <f>VLOOKUP($AP333,'[1]V1 V2'!$B$5:$BW$1894,74,0)</f>
        <v>C.F.5.A</v>
      </c>
      <c r="BM333" s="36" t="str">
        <f>IF('[1]V1 V2'!X332="","",'[1]V1 V2'!X332)</f>
        <v/>
      </c>
    </row>
    <row r="334" spans="1:65" ht="42.5" thickBot="1" x14ac:dyDescent="0.4">
      <c r="A334">
        <v>1</v>
      </c>
      <c r="B334" s="332" t="s">
        <v>1005</v>
      </c>
      <c r="C334" s="333"/>
      <c r="D334" s="334"/>
      <c r="E334" s="36">
        <f>VLOOKUP($B334,'[1]V1 V2'!$B$5:$BW$1894,74,0)</f>
        <v>0</v>
      </c>
      <c r="F334" s="168"/>
      <c r="G334" s="169"/>
      <c r="H334" s="170"/>
      <c r="I334" s="57"/>
      <c r="J334" s="56"/>
      <c r="K334" s="171"/>
      <c r="L334" s="142"/>
      <c r="M334" s="172"/>
      <c r="N334" s="173"/>
      <c r="O334" s="174" t="s">
        <v>89</v>
      </c>
      <c r="P334" s="171"/>
      <c r="Q334" s="223"/>
      <c r="R334" s="182"/>
      <c r="S334" s="175"/>
      <c r="T334" s="173"/>
      <c r="U334" s="62"/>
      <c r="V334" s="177" t="s">
        <v>89</v>
      </c>
      <c r="W334" s="177" t="s">
        <v>89</v>
      </c>
      <c r="X334" s="230"/>
      <c r="Y334" s="177"/>
      <c r="Z334" s="178">
        <v>20</v>
      </c>
      <c r="AA334" s="335" t="s">
        <v>1005</v>
      </c>
      <c r="AB334" s="21" t="s">
        <v>2</v>
      </c>
      <c r="AH334" s="63">
        <v>1</v>
      </c>
      <c r="AO334" s="10" t="s">
        <v>3</v>
      </c>
      <c r="AP334" s="335" t="s">
        <v>1005</v>
      </c>
      <c r="AQ334" s="178">
        <v>19.600000000000001</v>
      </c>
      <c r="AR334" s="177"/>
      <c r="AS334" s="222"/>
      <c r="AT334" s="177" t="s">
        <v>89</v>
      </c>
      <c r="AU334" s="177" t="s">
        <v>89</v>
      </c>
      <c r="AV334" s="62"/>
      <c r="AW334" s="173"/>
      <c r="AX334" s="175"/>
      <c r="AY334" s="182"/>
      <c r="AZ334" s="223"/>
      <c r="BA334" s="171"/>
      <c r="BB334" s="180" t="s">
        <v>89</v>
      </c>
      <c r="BC334" s="172"/>
      <c r="BD334" s="172"/>
      <c r="BE334" s="142"/>
      <c r="BF334" s="171"/>
      <c r="BG334" s="56"/>
      <c r="BH334" s="57"/>
      <c r="BI334" s="170"/>
      <c r="BJ334" s="169"/>
      <c r="BK334" s="181"/>
      <c r="BL334" s="36">
        <f>VLOOKUP($AP334,'[1]V1 V2'!$B$5:$BW$1894,74,0)</f>
        <v>0</v>
      </c>
      <c r="BM334" s="36" t="str">
        <f>IF('[1]V1 V2'!X333="","",'[1]V1 V2'!X333)</f>
        <v/>
      </c>
    </row>
    <row r="335" spans="1:65" ht="16" thickBot="1" x14ac:dyDescent="0.4">
      <c r="A335">
        <v>1</v>
      </c>
      <c r="B335" s="304" t="s">
        <v>1006</v>
      </c>
      <c r="C335" s="336" t="s">
        <v>1007</v>
      </c>
      <c r="D335" s="306"/>
      <c r="E335" s="36" t="str">
        <f>VLOOKUP($B335,'[1]V1 V2'!$B$5:$BW$1894,74,0)</f>
        <v>C.F.5.A</v>
      </c>
      <c r="F335" s="168"/>
      <c r="G335" s="169"/>
      <c r="H335" s="170"/>
      <c r="I335" s="57"/>
      <c r="J335" s="56">
        <v>-20</v>
      </c>
      <c r="K335" s="171"/>
      <c r="L335" s="171">
        <v>5.6</v>
      </c>
      <c r="M335" s="172"/>
      <c r="N335" s="173"/>
      <c r="O335" s="174" t="s">
        <v>596</v>
      </c>
      <c r="P335" s="171" t="s">
        <v>1008</v>
      </c>
      <c r="Q335" s="221" t="s">
        <v>1009</v>
      </c>
      <c r="R335" s="176" t="s">
        <v>623</v>
      </c>
      <c r="S335" s="175" t="s">
        <v>993</v>
      </c>
      <c r="T335" s="173" t="s">
        <v>30</v>
      </c>
      <c r="U335" s="62">
        <v>142</v>
      </c>
      <c r="V335" s="177" t="s">
        <v>1010</v>
      </c>
      <c r="W335" s="226" t="s">
        <v>1011</v>
      </c>
      <c r="X335" s="177">
        <v>32542.239000000016</v>
      </c>
      <c r="Y335" s="177">
        <v>2262.809999999999</v>
      </c>
      <c r="Z335" s="178"/>
      <c r="AA335" s="297" t="s">
        <v>1006</v>
      </c>
      <c r="AB335" s="21" t="s">
        <v>2</v>
      </c>
      <c r="AH335" s="63">
        <v>1</v>
      </c>
      <c r="AO335" s="10" t="s">
        <v>3</v>
      </c>
      <c r="AP335" s="297" t="s">
        <v>1012</v>
      </c>
      <c r="AQ335" s="178"/>
      <c r="AR335" s="177">
        <v>2260.9100000000003</v>
      </c>
      <c r="AS335" s="222">
        <f>AS333-AQ334</f>
        <v>32623.838999999982</v>
      </c>
      <c r="AT335" s="226" t="s">
        <v>1013</v>
      </c>
      <c r="AU335" s="177" t="s">
        <v>1014</v>
      </c>
      <c r="AV335" s="62">
        <v>142</v>
      </c>
      <c r="AW335" s="173" t="s">
        <v>30</v>
      </c>
      <c r="AX335" s="175" t="s">
        <v>1015</v>
      </c>
      <c r="AY335" s="176" t="s">
        <v>623</v>
      </c>
      <c r="AZ335" s="221" t="s">
        <v>1009</v>
      </c>
      <c r="BA335" s="171" t="s">
        <v>1008</v>
      </c>
      <c r="BB335" s="180" t="s">
        <v>596</v>
      </c>
      <c r="BC335" s="172"/>
      <c r="BD335" s="172"/>
      <c r="BE335" s="171">
        <v>5.6</v>
      </c>
      <c r="BF335" s="171"/>
      <c r="BG335" s="56">
        <v>-20</v>
      </c>
      <c r="BH335" s="57"/>
      <c r="BI335" s="170"/>
      <c r="BJ335" s="169"/>
      <c r="BK335" s="181"/>
      <c r="BL335" s="36" t="str">
        <f>VLOOKUP($AP335,'[1]V1 V2'!$B$5:$BW$1894,74,0)</f>
        <v>C.F.5.A</v>
      </c>
      <c r="BM335" s="36" t="str">
        <f>IF('[1]V1 V2'!X334="","",'[1]V1 V2'!X334)</f>
        <v/>
      </c>
    </row>
    <row r="336" spans="1:65" ht="16" thickBot="1" x14ac:dyDescent="0.4">
      <c r="A336">
        <v>1</v>
      </c>
      <c r="B336" s="332"/>
      <c r="C336" s="333"/>
      <c r="D336" s="334"/>
      <c r="E336" s="36"/>
      <c r="F336" s="168"/>
      <c r="G336" s="169"/>
      <c r="H336" s="170"/>
      <c r="I336" s="57"/>
      <c r="J336" s="56"/>
      <c r="K336" s="171"/>
      <c r="L336" s="142"/>
      <c r="M336" s="172"/>
      <c r="N336" s="173"/>
      <c r="O336" s="174" t="s">
        <v>89</v>
      </c>
      <c r="P336" s="171"/>
      <c r="Q336" s="182"/>
      <c r="R336" s="182"/>
      <c r="S336" s="175"/>
      <c r="T336" s="173"/>
      <c r="U336" s="62"/>
      <c r="V336" s="177" t="s">
        <v>89</v>
      </c>
      <c r="W336" s="177" t="s">
        <v>89</v>
      </c>
      <c r="X336" s="230"/>
      <c r="Y336" s="177"/>
      <c r="Z336" s="178">
        <v>20</v>
      </c>
      <c r="AA336" s="335"/>
      <c r="AB336" s="21" t="s">
        <v>2</v>
      </c>
      <c r="AH336" s="63">
        <v>1</v>
      </c>
      <c r="AO336" s="10" t="s">
        <v>3</v>
      </c>
      <c r="AP336" s="335"/>
      <c r="AQ336" s="178">
        <v>19.600000000000001</v>
      </c>
      <c r="AR336" s="177"/>
      <c r="AS336" s="222"/>
      <c r="AT336" s="177" t="s">
        <v>89</v>
      </c>
      <c r="AU336" s="177" t="s">
        <v>89</v>
      </c>
      <c r="AV336" s="62"/>
      <c r="AW336" s="173"/>
      <c r="AX336" s="175"/>
      <c r="AY336" s="182"/>
      <c r="AZ336" s="223"/>
      <c r="BA336" s="171"/>
      <c r="BB336" s="180" t="s">
        <v>89</v>
      </c>
      <c r="BC336" s="172"/>
      <c r="BD336" s="172"/>
      <c r="BE336" s="142"/>
      <c r="BF336" s="171"/>
      <c r="BG336" s="56"/>
      <c r="BH336" s="57"/>
      <c r="BI336" s="170"/>
      <c r="BJ336" s="169"/>
      <c r="BK336" s="181"/>
      <c r="BL336" s="36"/>
      <c r="BM336" s="36" t="str">
        <f>IF('[1]V1 V2'!X335="","",'[1]V1 V2'!X335)</f>
        <v/>
      </c>
    </row>
    <row r="337" spans="1:65" ht="16" thickBot="1" x14ac:dyDescent="0.4">
      <c r="A337">
        <v>1</v>
      </c>
      <c r="B337" s="304" t="s">
        <v>1016</v>
      </c>
      <c r="C337" s="305"/>
      <c r="D337" s="306"/>
      <c r="E337" s="36" t="str">
        <f>VLOOKUP($B337,'[1]V1 V2'!$B$5:$BW$1894,74,0)</f>
        <v>C.F.5.A</v>
      </c>
      <c r="F337" s="168"/>
      <c r="G337" s="169"/>
      <c r="H337" s="170"/>
      <c r="I337" s="57"/>
      <c r="J337" s="56">
        <v>-20</v>
      </c>
      <c r="K337" s="171"/>
      <c r="L337" s="171">
        <v>5.6</v>
      </c>
      <c r="M337" s="172"/>
      <c r="N337" s="173"/>
      <c r="O337" s="174" t="s">
        <v>596</v>
      </c>
      <c r="P337" s="171" t="s">
        <v>1008</v>
      </c>
      <c r="Q337" s="221" t="s">
        <v>1009</v>
      </c>
      <c r="R337" s="176" t="s">
        <v>623</v>
      </c>
      <c r="S337" s="175" t="s">
        <v>1015</v>
      </c>
      <c r="T337" s="173" t="s">
        <v>30</v>
      </c>
      <c r="U337" s="62" t="s">
        <v>48</v>
      </c>
      <c r="V337" s="177" t="s">
        <v>1017</v>
      </c>
      <c r="W337" s="226" t="s">
        <v>1018</v>
      </c>
      <c r="X337" s="177">
        <v>32522.239000000016</v>
      </c>
      <c r="Y337" s="177">
        <v>2282.809999999999</v>
      </c>
      <c r="Z337" s="178"/>
      <c r="AA337" s="297" t="s">
        <v>1016</v>
      </c>
      <c r="AB337" s="21" t="s">
        <v>2</v>
      </c>
      <c r="AH337" s="63">
        <v>1</v>
      </c>
      <c r="AO337" s="10" t="s">
        <v>3</v>
      </c>
      <c r="AP337" s="297" t="s">
        <v>1019</v>
      </c>
      <c r="AQ337" s="178"/>
      <c r="AR337" s="177">
        <v>2280.5100000000002</v>
      </c>
      <c r="AS337" s="222">
        <f>AS335-AQ336</f>
        <v>32604.238999999983</v>
      </c>
      <c r="AT337" s="226" t="s">
        <v>1020</v>
      </c>
      <c r="AU337" s="177" t="s">
        <v>1021</v>
      </c>
      <c r="AV337" s="62" t="s">
        <v>48</v>
      </c>
      <c r="AW337" s="173" t="s">
        <v>30</v>
      </c>
      <c r="AX337" s="175" t="s">
        <v>1015</v>
      </c>
      <c r="AY337" s="176" t="s">
        <v>623</v>
      </c>
      <c r="AZ337" s="221" t="s">
        <v>1009</v>
      </c>
      <c r="BA337" s="171" t="s">
        <v>1008</v>
      </c>
      <c r="BB337" s="180" t="s">
        <v>596</v>
      </c>
      <c r="BC337" s="172"/>
      <c r="BD337" s="172"/>
      <c r="BE337" s="171">
        <v>5.6</v>
      </c>
      <c r="BF337" s="171"/>
      <c r="BG337" s="56">
        <v>-20</v>
      </c>
      <c r="BH337" s="57"/>
      <c r="BI337" s="170"/>
      <c r="BJ337" s="169"/>
      <c r="BK337" s="181"/>
      <c r="BL337" s="36" t="str">
        <f>VLOOKUP($AP337,'[1]V1 V2'!$B$5:$BW$1894,74,0)</f>
        <v>C.F.5.A</v>
      </c>
      <c r="BM337" s="36" t="str">
        <f>IF('[1]V1 V2'!X336="","",'[1]V1 V2'!X336)</f>
        <v/>
      </c>
    </row>
    <row r="338" spans="1:65" ht="16" thickBot="1" x14ac:dyDescent="0.4">
      <c r="A338">
        <v>1</v>
      </c>
      <c r="B338" s="304"/>
      <c r="C338" s="305"/>
      <c r="D338" s="306"/>
      <c r="E338" s="36"/>
      <c r="F338" s="168"/>
      <c r="G338" s="169"/>
      <c r="H338" s="170"/>
      <c r="I338" s="57"/>
      <c r="J338" s="56"/>
      <c r="K338" s="171"/>
      <c r="L338" s="142"/>
      <c r="M338" s="172"/>
      <c r="N338" s="173"/>
      <c r="O338" s="174" t="s">
        <v>89</v>
      </c>
      <c r="P338" s="171"/>
      <c r="Q338" s="182"/>
      <c r="R338" s="182"/>
      <c r="S338" s="175"/>
      <c r="T338" s="173"/>
      <c r="U338" s="62"/>
      <c r="V338" s="177" t="s">
        <v>89</v>
      </c>
      <c r="W338" s="177" t="s">
        <v>89</v>
      </c>
      <c r="X338" s="230"/>
      <c r="Y338" s="177"/>
      <c r="Z338" s="178">
        <v>21</v>
      </c>
      <c r="AA338" s="297"/>
      <c r="AB338" s="21" t="s">
        <v>2</v>
      </c>
      <c r="AH338" s="63">
        <v>1</v>
      </c>
      <c r="AO338" s="10" t="s">
        <v>3</v>
      </c>
      <c r="AP338" s="297"/>
      <c r="AQ338" s="178">
        <v>20.9</v>
      </c>
      <c r="AR338" s="177"/>
      <c r="AS338" s="222"/>
      <c r="AT338" s="177" t="s">
        <v>89</v>
      </c>
      <c r="AU338" s="177" t="s">
        <v>89</v>
      </c>
      <c r="AV338" s="62"/>
      <c r="AW338" s="173"/>
      <c r="AX338" s="175"/>
      <c r="AY338" s="182"/>
      <c r="AZ338" s="223"/>
      <c r="BA338" s="171"/>
      <c r="BB338" s="180" t="s">
        <v>89</v>
      </c>
      <c r="BC338" s="172"/>
      <c r="BD338" s="172"/>
      <c r="BE338" s="142"/>
      <c r="BF338" s="171"/>
      <c r="BG338" s="56"/>
      <c r="BH338" s="57"/>
      <c r="BI338" s="170"/>
      <c r="BJ338" s="169"/>
      <c r="BK338" s="181"/>
      <c r="BL338" s="36"/>
      <c r="BM338" s="36" t="str">
        <f>IF('[1]V1 V2'!X337="","",'[1]V1 V2'!X337)</f>
        <v/>
      </c>
    </row>
    <row r="339" spans="1:65" ht="16" thickBot="1" x14ac:dyDescent="0.4">
      <c r="A339">
        <v>1</v>
      </c>
      <c r="B339" s="232" t="s">
        <v>1022</v>
      </c>
      <c r="C339" s="233"/>
      <c r="D339" s="234"/>
      <c r="E339" s="36" t="str">
        <f>VLOOKUP($B339,'[1]V1 V2'!$B$5:$BW$1894,74,0)</f>
        <v>C.F.1</v>
      </c>
      <c r="F339" s="184"/>
      <c r="G339" s="169"/>
      <c r="H339" s="337"/>
      <c r="I339" s="248"/>
      <c r="J339" s="246">
        <v>-20</v>
      </c>
      <c r="K339" s="187"/>
      <c r="L339" s="187">
        <v>5.6</v>
      </c>
      <c r="M339" s="188"/>
      <c r="N339" s="189"/>
      <c r="O339" s="190" t="s">
        <v>621</v>
      </c>
      <c r="P339" s="187" t="s">
        <v>1008</v>
      </c>
      <c r="Q339" s="221" t="s">
        <v>1009</v>
      </c>
      <c r="R339" s="221" t="s">
        <v>623</v>
      </c>
      <c r="S339" s="191" t="s">
        <v>1015</v>
      </c>
      <c r="T339" s="338"/>
      <c r="U339" s="132"/>
      <c r="V339" s="222" t="s">
        <v>1023</v>
      </c>
      <c r="W339" s="226" t="s">
        <v>1024</v>
      </c>
      <c r="X339" s="177">
        <v>32501.239000000016</v>
      </c>
      <c r="Y339" s="222">
        <v>2303.809999999999</v>
      </c>
      <c r="Z339" s="198"/>
      <c r="AA339" s="238" t="s">
        <v>1022</v>
      </c>
      <c r="AB339" s="21" t="s">
        <v>2</v>
      </c>
      <c r="AH339" s="63">
        <v>1</v>
      </c>
      <c r="AO339" s="10" t="s">
        <v>3</v>
      </c>
      <c r="AP339" s="238" t="s">
        <v>1025</v>
      </c>
      <c r="AQ339" s="198"/>
      <c r="AR339" s="222">
        <v>2301.4100000000003</v>
      </c>
      <c r="AS339" s="222">
        <f>AS337-AQ338</f>
        <v>32583.338999999982</v>
      </c>
      <c r="AT339" s="226" t="s">
        <v>1026</v>
      </c>
      <c r="AU339" s="222" t="s">
        <v>1027</v>
      </c>
      <c r="AV339" s="132"/>
      <c r="AW339" s="189" t="s">
        <v>30</v>
      </c>
      <c r="AX339" s="191" t="s">
        <v>1015</v>
      </c>
      <c r="AY339" s="221" t="s">
        <v>623</v>
      </c>
      <c r="AZ339" s="221" t="s">
        <v>1009</v>
      </c>
      <c r="BA339" s="187" t="s">
        <v>1008</v>
      </c>
      <c r="BB339" s="192" t="s">
        <v>621</v>
      </c>
      <c r="BC339" s="188"/>
      <c r="BD339" s="188"/>
      <c r="BE339" s="187">
        <v>5.6</v>
      </c>
      <c r="BF339" s="187"/>
      <c r="BG339" s="135">
        <v>-20</v>
      </c>
      <c r="BH339" s="136"/>
      <c r="BI339" s="339"/>
      <c r="BJ339" s="185"/>
      <c r="BK339" s="193"/>
      <c r="BL339" s="36" t="str">
        <f>VLOOKUP($AP339,'[1]V1 V2'!$B$5:$BW$1894,74,0)</f>
        <v>C.F.1</v>
      </c>
      <c r="BM339" s="36" t="str">
        <f>IF('[1]V1 V2'!X338="","",'[1]V1 V2'!X338)</f>
        <v/>
      </c>
    </row>
    <row r="340" spans="1:65" ht="28.5" thickBot="1" x14ac:dyDescent="0.4">
      <c r="A340">
        <v>1</v>
      </c>
      <c r="B340" s="340"/>
      <c r="C340" s="341"/>
      <c r="D340" s="342"/>
      <c r="E340" s="36"/>
      <c r="F340" s="184"/>
      <c r="G340" s="343"/>
      <c r="H340" s="344"/>
      <c r="I340" s="248"/>
      <c r="J340" s="246"/>
      <c r="K340" s="187"/>
      <c r="L340" s="224"/>
      <c r="M340" s="188"/>
      <c r="N340" s="189"/>
      <c r="O340" s="190" t="s">
        <v>89</v>
      </c>
      <c r="P340" s="187"/>
      <c r="Q340" s="223"/>
      <c r="R340" s="223"/>
      <c r="S340" s="191"/>
      <c r="T340" s="189"/>
      <c r="U340" s="132"/>
      <c r="V340" s="222" t="s">
        <v>89</v>
      </c>
      <c r="W340" s="222" t="s">
        <v>89</v>
      </c>
      <c r="X340" s="230"/>
      <c r="Y340" s="222"/>
      <c r="Z340" s="198">
        <v>25</v>
      </c>
      <c r="AA340" s="345"/>
      <c r="AB340" s="21" t="s">
        <v>2</v>
      </c>
      <c r="AH340" s="63">
        <v>1</v>
      </c>
      <c r="AO340" s="10" t="s">
        <v>3</v>
      </c>
      <c r="AP340" s="345" t="s">
        <v>1028</v>
      </c>
      <c r="AQ340" s="198">
        <v>25</v>
      </c>
      <c r="AR340" s="222"/>
      <c r="AS340" s="222"/>
      <c r="AT340" s="222" t="s">
        <v>89</v>
      </c>
      <c r="AU340" s="222" t="s">
        <v>89</v>
      </c>
      <c r="AV340" s="132"/>
      <c r="AW340" s="189"/>
      <c r="AX340" s="191"/>
      <c r="AY340" s="223"/>
      <c r="AZ340" s="223"/>
      <c r="BA340" s="187"/>
      <c r="BB340" s="192" t="s">
        <v>89</v>
      </c>
      <c r="BC340" s="188"/>
      <c r="BD340" s="188"/>
      <c r="BE340" s="224"/>
      <c r="BF340" s="187"/>
      <c r="BG340" s="135"/>
      <c r="BH340" s="136"/>
      <c r="BI340" s="346"/>
      <c r="BJ340" s="185"/>
      <c r="BK340" s="193"/>
      <c r="BL340" s="36">
        <f>VLOOKUP($AP340,'[1]V1 V2'!$B$5:$BW$1894,74,0)</f>
        <v>0</v>
      </c>
      <c r="BM340" s="36" t="str">
        <f>IF('[1]V1 V2'!X339="","",'[1]V1 V2'!X339)</f>
        <v/>
      </c>
    </row>
    <row r="341" spans="1:65" ht="16" thickBot="1" x14ac:dyDescent="0.4">
      <c r="A341">
        <v>1</v>
      </c>
      <c r="B341" s="347" t="s">
        <v>1029</v>
      </c>
      <c r="C341" s="348"/>
      <c r="D341" s="349"/>
      <c r="E341" s="36" t="str">
        <f>VLOOKUP($B341,'[1]V1 V2'!$B$5:$BW$1894,74,0)</f>
        <v>C.F.7.B</v>
      </c>
      <c r="F341" s="144"/>
      <c r="G341" s="144" t="s">
        <v>1030</v>
      </c>
      <c r="H341" s="318"/>
      <c r="I341" s="87">
        <v>0</v>
      </c>
      <c r="J341" s="86">
        <v>-20</v>
      </c>
      <c r="K341" s="147">
        <v>5.7922999999999991</v>
      </c>
      <c r="L341" s="147">
        <v>5.6</v>
      </c>
      <c r="M341" s="149"/>
      <c r="N341" s="150"/>
      <c r="O341" s="151" t="s">
        <v>596</v>
      </c>
      <c r="P341" s="350" t="s">
        <v>1008</v>
      </c>
      <c r="Q341" s="351" t="s">
        <v>1031</v>
      </c>
      <c r="R341" s="351" t="s">
        <v>623</v>
      </c>
      <c r="S341" s="352" t="s">
        <v>1032</v>
      </c>
      <c r="T341" s="353" t="s">
        <v>585</v>
      </c>
      <c r="U341" s="354"/>
      <c r="V341" s="355" t="s">
        <v>1033</v>
      </c>
      <c r="W341" s="356" t="s">
        <v>1034</v>
      </c>
      <c r="X341" s="355">
        <v>32476.239000000016</v>
      </c>
      <c r="Y341" s="154">
        <v>2328.809999999999</v>
      </c>
      <c r="Z341" s="155"/>
      <c r="AA341" s="357" t="s">
        <v>1029</v>
      </c>
      <c r="AB341" s="21" t="s">
        <v>2</v>
      </c>
      <c r="AH341" s="63">
        <v>1</v>
      </c>
      <c r="AO341" s="10" t="s">
        <v>3</v>
      </c>
      <c r="AP341" s="315" t="s">
        <v>1035</v>
      </c>
      <c r="AQ341" s="155"/>
      <c r="AR341" s="154">
        <v>2326.4100000000003</v>
      </c>
      <c r="AS341" s="154">
        <f>AS339-AQ340</f>
        <v>32558.338999999982</v>
      </c>
      <c r="AT341" s="253" t="s">
        <v>1036</v>
      </c>
      <c r="AU341" s="154" t="s">
        <v>1037</v>
      </c>
      <c r="AV341" s="80"/>
      <c r="AW341" s="150" t="s">
        <v>585</v>
      </c>
      <c r="AX341" s="152" t="s">
        <v>1032</v>
      </c>
      <c r="AY341" s="161" t="s">
        <v>623</v>
      </c>
      <c r="AZ341" s="161" t="s">
        <v>1031</v>
      </c>
      <c r="BA341" s="147" t="s">
        <v>1008</v>
      </c>
      <c r="BB341" s="157" t="s">
        <v>596</v>
      </c>
      <c r="BC341" s="149" t="s">
        <v>596</v>
      </c>
      <c r="BD341" s="149"/>
      <c r="BE341" s="147">
        <v>5.6</v>
      </c>
      <c r="BF341" s="147">
        <v>5.7916999999999996</v>
      </c>
      <c r="BG341" s="358">
        <v>-20</v>
      </c>
      <c r="BH341" s="359">
        <v>0</v>
      </c>
      <c r="BI341" s="360" t="s">
        <v>1038</v>
      </c>
      <c r="BJ341" s="145" t="s">
        <v>1030</v>
      </c>
      <c r="BK341" s="160"/>
      <c r="BL341" s="36" t="str">
        <f>VLOOKUP($AP341,'[1]V1 V2'!$B$5:$BW$1894,74,0)</f>
        <v>C.F.7.B</v>
      </c>
      <c r="BM341" s="36" t="str">
        <f>IF('[1]V1 V2'!X340="","",'[1]V1 V2'!X340)</f>
        <v/>
      </c>
    </row>
    <row r="342" spans="1:65" ht="16" thickBot="1" x14ac:dyDescent="0.4">
      <c r="A342">
        <v>1</v>
      </c>
      <c r="B342" s="347"/>
      <c r="C342" s="348"/>
      <c r="D342" s="349"/>
      <c r="E342" s="36"/>
      <c r="F342" s="144"/>
      <c r="G342" s="145"/>
      <c r="H342" s="317" t="s">
        <v>1039</v>
      </c>
      <c r="I342" s="87"/>
      <c r="J342" s="86"/>
      <c r="K342" s="147"/>
      <c r="L342" s="148"/>
      <c r="M342" s="149"/>
      <c r="N342" s="150"/>
      <c r="O342" s="151" t="s">
        <v>89</v>
      </c>
      <c r="P342" s="350"/>
      <c r="Q342" s="361"/>
      <c r="R342" s="361"/>
      <c r="S342" s="352"/>
      <c r="T342" s="353"/>
      <c r="U342" s="354"/>
      <c r="V342" s="355" t="s">
        <v>89</v>
      </c>
      <c r="W342" s="355" t="s">
        <v>89</v>
      </c>
      <c r="X342" s="356"/>
      <c r="Y342" s="154"/>
      <c r="Z342" s="155">
        <v>22</v>
      </c>
      <c r="AA342" s="357"/>
      <c r="AB342" s="21" t="s">
        <v>2</v>
      </c>
      <c r="AH342" s="63">
        <v>1</v>
      </c>
      <c r="AO342" s="10" t="s">
        <v>3</v>
      </c>
      <c r="AP342" s="315"/>
      <c r="AQ342" s="155">
        <v>22</v>
      </c>
      <c r="AR342" s="154"/>
      <c r="AS342" s="154"/>
      <c r="AT342" s="154" t="s">
        <v>89</v>
      </c>
      <c r="AU342" s="154" t="s">
        <v>89</v>
      </c>
      <c r="AV342" s="80"/>
      <c r="AW342" s="150"/>
      <c r="AX342" s="152"/>
      <c r="AY342" s="153"/>
      <c r="AZ342" s="153"/>
      <c r="BA342" s="147"/>
      <c r="BB342" s="157" t="s">
        <v>89</v>
      </c>
      <c r="BC342" s="149"/>
      <c r="BD342" s="149"/>
      <c r="BE342" s="148"/>
      <c r="BF342" s="147"/>
      <c r="BG342" s="86"/>
      <c r="BH342" s="87"/>
      <c r="BI342" s="318"/>
      <c r="BJ342" s="145"/>
      <c r="BK342" s="160"/>
      <c r="BL342" s="36"/>
      <c r="BM342" s="36" t="str">
        <f>IF('[1]V1 V2'!X341="","",'[1]V1 V2'!X341)</f>
        <v/>
      </c>
    </row>
    <row r="343" spans="1:65" ht="16" thickBot="1" x14ac:dyDescent="0.4">
      <c r="A343">
        <v>1</v>
      </c>
      <c r="B343" s="347" t="s">
        <v>1040</v>
      </c>
      <c r="C343" s="348"/>
      <c r="D343" s="349"/>
      <c r="E343" s="36" t="str">
        <f>VLOOKUP($B343,'[1]V1 V2'!$B$5:$BW$1894,74,0)</f>
        <v>C.F.19.B</v>
      </c>
      <c r="F343" s="144"/>
      <c r="G343" s="145"/>
      <c r="H343" s="362"/>
      <c r="I343" s="87">
        <v>0</v>
      </c>
      <c r="J343" s="86">
        <v>-20</v>
      </c>
      <c r="K343" s="147">
        <v>5.6602999999999994</v>
      </c>
      <c r="L343" s="147">
        <v>5.6</v>
      </c>
      <c r="M343" s="149"/>
      <c r="N343" s="150" t="s">
        <v>596</v>
      </c>
      <c r="O343" s="151" t="s">
        <v>596</v>
      </c>
      <c r="P343" s="350" t="s">
        <v>1008</v>
      </c>
      <c r="Q343" s="351" t="s">
        <v>1009</v>
      </c>
      <c r="R343" s="351" t="s">
        <v>623</v>
      </c>
      <c r="S343" s="352" t="s">
        <v>1032</v>
      </c>
      <c r="T343" s="353" t="s">
        <v>33</v>
      </c>
      <c r="U343" s="354" t="s">
        <v>48</v>
      </c>
      <c r="V343" s="355" t="s">
        <v>1041</v>
      </c>
      <c r="W343" s="355" t="s">
        <v>1042</v>
      </c>
      <c r="X343" s="355">
        <v>32454.239000000016</v>
      </c>
      <c r="Y343" s="154">
        <v>2350.8000000000002</v>
      </c>
      <c r="Z343" s="155"/>
      <c r="AA343" s="357" t="s">
        <v>1040</v>
      </c>
      <c r="AB343" s="21" t="s">
        <v>2</v>
      </c>
      <c r="AH343" s="63">
        <v>1</v>
      </c>
      <c r="AO343" s="10" t="s">
        <v>3</v>
      </c>
      <c r="AP343" s="315" t="s">
        <v>1043</v>
      </c>
      <c r="AQ343" s="155"/>
      <c r="AR343" s="154">
        <v>2348.41</v>
      </c>
      <c r="AS343" s="154">
        <f>AS341-AQ342</f>
        <v>32536.338999999982</v>
      </c>
      <c r="AT343" s="154" t="s">
        <v>1044</v>
      </c>
      <c r="AU343" s="154" t="s">
        <v>1045</v>
      </c>
      <c r="AV343" s="80" t="s">
        <v>48</v>
      </c>
      <c r="AW343" s="150" t="s">
        <v>33</v>
      </c>
      <c r="AX343" s="152" t="s">
        <v>1032</v>
      </c>
      <c r="AY343" s="161" t="s">
        <v>623</v>
      </c>
      <c r="AZ343" s="161" t="s">
        <v>1009</v>
      </c>
      <c r="BA343" s="147" t="s">
        <v>1008</v>
      </c>
      <c r="BB343" s="157" t="s">
        <v>596</v>
      </c>
      <c r="BC343" s="149" t="s">
        <v>596</v>
      </c>
      <c r="BD343" s="149"/>
      <c r="BE343" s="147">
        <v>5.6</v>
      </c>
      <c r="BF343" s="147">
        <v>5.6597</v>
      </c>
      <c r="BG343" s="86">
        <v>-20</v>
      </c>
      <c r="BH343" s="87">
        <v>0</v>
      </c>
      <c r="BI343" s="318"/>
      <c r="BJ343" s="145"/>
      <c r="BK343" s="160"/>
      <c r="BL343" s="36" t="str">
        <f>VLOOKUP($AP343,'[1]V1 V2'!$B$5:$BW$1894,74,0)</f>
        <v>C.F.19.B</v>
      </c>
      <c r="BM343" s="36" t="str">
        <f>IF('[1]V1 V2'!X342="","",'[1]V1 V2'!X342)</f>
        <v/>
      </c>
    </row>
    <row r="344" spans="1:65" ht="42.5" thickBot="1" x14ac:dyDescent="0.4">
      <c r="A344">
        <v>1</v>
      </c>
      <c r="B344" s="363" t="s">
        <v>1046</v>
      </c>
      <c r="C344" s="364"/>
      <c r="D344" s="365"/>
      <c r="E344" s="36">
        <f>VLOOKUP($B344,'[1]V1 V2'!$B$5:$BW$1894,74,0)</f>
        <v>0</v>
      </c>
      <c r="F344" s="144"/>
      <c r="G344" s="145"/>
      <c r="H344" s="362" t="s">
        <v>8</v>
      </c>
      <c r="I344" s="87"/>
      <c r="J344" s="86"/>
      <c r="K344" s="147"/>
      <c r="L344" s="148"/>
      <c r="M344" s="149"/>
      <c r="N344" s="150"/>
      <c r="O344" s="151" t="s">
        <v>89</v>
      </c>
      <c r="P344" s="350"/>
      <c r="Q344" s="361"/>
      <c r="R344" s="361"/>
      <c r="S344" s="352"/>
      <c r="T344" s="353"/>
      <c r="U344" s="354"/>
      <c r="V344" s="355" t="s">
        <v>89</v>
      </c>
      <c r="W344" s="355" t="s">
        <v>89</v>
      </c>
      <c r="X344" s="356"/>
      <c r="Y344" s="154"/>
      <c r="Z344" s="155">
        <v>21.2</v>
      </c>
      <c r="AA344" s="366" t="s">
        <v>1046</v>
      </c>
      <c r="AB344" s="21" t="s">
        <v>2</v>
      </c>
      <c r="AH344" s="63">
        <v>1</v>
      </c>
      <c r="AO344" s="10" t="s">
        <v>3</v>
      </c>
      <c r="AP344" s="367" t="s">
        <v>1046</v>
      </c>
      <c r="AQ344" s="155">
        <v>20.8</v>
      </c>
      <c r="AR344" s="154"/>
      <c r="AS344" s="154"/>
      <c r="AT344" s="154" t="s">
        <v>89</v>
      </c>
      <c r="AU344" s="154" t="s">
        <v>89</v>
      </c>
      <c r="AV344" s="80"/>
      <c r="AW344" s="150"/>
      <c r="AX344" s="152"/>
      <c r="AY344" s="153"/>
      <c r="AZ344" s="153"/>
      <c r="BA344" s="147"/>
      <c r="BB344" s="157" t="s">
        <v>89</v>
      </c>
      <c r="BC344" s="149"/>
      <c r="BD344" s="149"/>
      <c r="BE344" s="148"/>
      <c r="BF344" s="147"/>
      <c r="BG344" s="86"/>
      <c r="BH344" s="87"/>
      <c r="BI344" s="362" t="s">
        <v>8</v>
      </c>
      <c r="BJ344" s="145"/>
      <c r="BK344" s="160"/>
      <c r="BL344" s="36">
        <f>VLOOKUP($AP344,'[1]V1 V2'!$B$5:$BW$1894,74,0)</f>
        <v>0</v>
      </c>
      <c r="BM344" s="36" t="str">
        <f>IF('[1]V1 V2'!X343="","",'[1]V1 V2'!X343)</f>
        <v/>
      </c>
    </row>
    <row r="345" spans="1:65" ht="16" thickBot="1" x14ac:dyDescent="0.4">
      <c r="A345">
        <v>1</v>
      </c>
      <c r="B345" s="347" t="s">
        <v>1047</v>
      </c>
      <c r="C345" s="348"/>
      <c r="D345" s="349"/>
      <c r="E345" s="36" t="str">
        <f>VLOOKUP($B345,'[1]V1 V2'!$B$5:$BW$1894,74,0)</f>
        <v>C.F.19.A</v>
      </c>
      <c r="F345" s="144"/>
      <c r="G345" s="145"/>
      <c r="H345" s="317"/>
      <c r="I345" s="87">
        <v>0</v>
      </c>
      <c r="J345" s="86">
        <v>-20</v>
      </c>
      <c r="K345" s="147">
        <v>5.6602999999999994</v>
      </c>
      <c r="L345" s="147">
        <v>5.6</v>
      </c>
      <c r="M345" s="149"/>
      <c r="N345" s="150" t="s">
        <v>1048</v>
      </c>
      <c r="O345" s="151" t="s">
        <v>596</v>
      </c>
      <c r="P345" s="352" t="s">
        <v>1049</v>
      </c>
      <c r="Q345" s="351" t="s">
        <v>1050</v>
      </c>
      <c r="R345" s="351" t="s">
        <v>623</v>
      </c>
      <c r="S345" s="352" t="s">
        <v>1032</v>
      </c>
      <c r="T345" s="353" t="s">
        <v>753</v>
      </c>
      <c r="U345" s="354">
        <v>203</v>
      </c>
      <c r="V345" s="355" t="s">
        <v>1051</v>
      </c>
      <c r="W345" s="355" t="s">
        <v>1052</v>
      </c>
      <c r="X345" s="355">
        <v>32433.039000000015</v>
      </c>
      <c r="Y345" s="154">
        <v>2372</v>
      </c>
      <c r="Z345" s="155"/>
      <c r="AA345" s="357" t="s">
        <v>1047</v>
      </c>
      <c r="AB345" s="21" t="s">
        <v>2</v>
      </c>
      <c r="AH345" s="63">
        <v>1</v>
      </c>
      <c r="AO345" s="10" t="s">
        <v>3</v>
      </c>
      <c r="AP345" s="315" t="s">
        <v>1053</v>
      </c>
      <c r="AQ345" s="155"/>
      <c r="AR345" s="154">
        <v>2369.1999999999998</v>
      </c>
      <c r="AS345" s="154">
        <f>AS343-AQ344</f>
        <v>32515.538999999982</v>
      </c>
      <c r="AT345" s="154" t="s">
        <v>1054</v>
      </c>
      <c r="AU345" s="154" t="s">
        <v>1055</v>
      </c>
      <c r="AV345" s="80">
        <v>203</v>
      </c>
      <c r="AW345" s="150" t="s">
        <v>753</v>
      </c>
      <c r="AX345" s="152" t="s">
        <v>1032</v>
      </c>
      <c r="AY345" s="161" t="s">
        <v>623</v>
      </c>
      <c r="AZ345" s="161" t="s">
        <v>1050</v>
      </c>
      <c r="BA345" s="368" t="s">
        <v>1049</v>
      </c>
      <c r="BB345" s="157" t="s">
        <v>596</v>
      </c>
      <c r="BC345" s="149" t="s">
        <v>596</v>
      </c>
      <c r="BD345" s="149"/>
      <c r="BE345" s="147">
        <v>5.6597</v>
      </c>
      <c r="BF345" s="147">
        <v>5.6</v>
      </c>
      <c r="BG345" s="86">
        <v>-20</v>
      </c>
      <c r="BH345" s="87">
        <v>0</v>
      </c>
      <c r="BI345" s="317"/>
      <c r="BJ345" s="145"/>
      <c r="BK345" s="160"/>
      <c r="BL345" s="36" t="str">
        <f>VLOOKUP($AP345,'[1]V1 V2'!$B$5:$BW$1894,74,0)</f>
        <v>C.F.19.A</v>
      </c>
      <c r="BM345" s="36" t="str">
        <f>IF('[1]V1 V2'!X344="","",'[1]V1 V2'!X344)</f>
        <v/>
      </c>
    </row>
    <row r="346" spans="1:65" ht="16" thickBot="1" x14ac:dyDescent="0.4">
      <c r="A346">
        <v>1</v>
      </c>
      <c r="B346" s="347"/>
      <c r="C346" s="348"/>
      <c r="D346" s="349"/>
      <c r="E346" s="36"/>
      <c r="F346" s="144"/>
      <c r="G346" s="145"/>
      <c r="H346" s="317"/>
      <c r="I346" s="87"/>
      <c r="J346" s="86"/>
      <c r="K346" s="147"/>
      <c r="L346" s="147"/>
      <c r="M346" s="149"/>
      <c r="N346" s="150"/>
      <c r="O346" s="151" t="s">
        <v>89</v>
      </c>
      <c r="P346" s="350"/>
      <c r="Q346" s="351"/>
      <c r="R346" s="361"/>
      <c r="S346" s="352"/>
      <c r="T346" s="353"/>
      <c r="U346" s="354"/>
      <c r="V346" s="355" t="s">
        <v>89</v>
      </c>
      <c r="W346" s="355" t="s">
        <v>89</v>
      </c>
      <c r="X346" s="356"/>
      <c r="Y346" s="154"/>
      <c r="Z346" s="155">
        <v>19.100000000000001</v>
      </c>
      <c r="AA346" s="357"/>
      <c r="AB346" s="21" t="s">
        <v>2</v>
      </c>
      <c r="AH346" s="63">
        <v>1</v>
      </c>
      <c r="AO346" s="10" t="s">
        <v>3</v>
      </c>
      <c r="AP346" s="315"/>
      <c r="AQ346" s="155">
        <v>18.899999999999999</v>
      </c>
      <c r="AR346" s="154"/>
      <c r="AS346" s="154"/>
      <c r="AT346" s="154" t="s">
        <v>89</v>
      </c>
      <c r="AU346" s="154" t="s">
        <v>89</v>
      </c>
      <c r="AV346" s="80"/>
      <c r="AW346" s="150"/>
      <c r="AX346" s="152"/>
      <c r="AY346" s="161"/>
      <c r="AZ346" s="161"/>
      <c r="BA346" s="147"/>
      <c r="BB346" s="157" t="s">
        <v>89</v>
      </c>
      <c r="BC346" s="149"/>
      <c r="BD346" s="149"/>
      <c r="BE346" s="147"/>
      <c r="BF346" s="147"/>
      <c r="BG346" s="86"/>
      <c r="BH346" s="87"/>
      <c r="BI346" s="362"/>
      <c r="BJ346" s="145"/>
      <c r="BK346" s="160"/>
      <c r="BL346" s="36"/>
      <c r="BM346" s="36" t="str">
        <f>IF('[1]V1 V2'!X345="","",'[1]V1 V2'!X345)</f>
        <v/>
      </c>
    </row>
    <row r="347" spans="1:65" ht="16" thickBot="1" x14ac:dyDescent="0.4">
      <c r="A347">
        <v>1</v>
      </c>
      <c r="B347" s="347" t="s">
        <v>1056</v>
      </c>
      <c r="C347" s="348"/>
      <c r="D347" s="349"/>
      <c r="E347" s="36" t="str">
        <f>VLOOKUP($B347,'[1]V1 V2'!$B$5:$BW$1894,74,0)</f>
        <v>C.F.19.B</v>
      </c>
      <c r="F347" s="144"/>
      <c r="G347" s="145"/>
      <c r="H347" s="317"/>
      <c r="I347" s="87">
        <v>0</v>
      </c>
      <c r="J347" s="86">
        <v>-20</v>
      </c>
      <c r="K347" s="147">
        <v>5.7814999999999994</v>
      </c>
      <c r="L347" s="147">
        <v>5.6</v>
      </c>
      <c r="M347" s="149"/>
      <c r="N347" s="150" t="s">
        <v>1048</v>
      </c>
      <c r="O347" s="151" t="s">
        <v>596</v>
      </c>
      <c r="P347" s="352" t="s">
        <v>1049</v>
      </c>
      <c r="Q347" s="351" t="s">
        <v>1050</v>
      </c>
      <c r="R347" s="351" t="s">
        <v>623</v>
      </c>
      <c r="S347" s="352" t="s">
        <v>1032</v>
      </c>
      <c r="T347" s="353" t="s">
        <v>33</v>
      </c>
      <c r="U347" s="354">
        <v>203</v>
      </c>
      <c r="V347" s="355" t="s">
        <v>1057</v>
      </c>
      <c r="W347" s="355" t="s">
        <v>1058</v>
      </c>
      <c r="X347" s="355">
        <v>32413.939000000017</v>
      </c>
      <c r="Y347" s="154">
        <v>2391.1099999999988</v>
      </c>
      <c r="Z347" s="155"/>
      <c r="AA347" s="357" t="s">
        <v>1056</v>
      </c>
      <c r="AB347" s="21" t="s">
        <v>2</v>
      </c>
      <c r="AH347" s="63">
        <v>1</v>
      </c>
      <c r="AO347" s="10" t="s">
        <v>3</v>
      </c>
      <c r="AP347" s="315" t="s">
        <v>1059</v>
      </c>
      <c r="AQ347" s="155"/>
      <c r="AR347" s="154">
        <v>2388.1100000000006</v>
      </c>
      <c r="AS347" s="154">
        <f>AS345-AQ346</f>
        <v>32496.638999999981</v>
      </c>
      <c r="AT347" s="154" t="s">
        <v>1060</v>
      </c>
      <c r="AU347" s="154" t="s">
        <v>1061</v>
      </c>
      <c r="AV347" s="80">
        <v>203</v>
      </c>
      <c r="AW347" s="150" t="s">
        <v>33</v>
      </c>
      <c r="AX347" s="152" t="s">
        <v>1032</v>
      </c>
      <c r="AY347" s="161" t="s">
        <v>623</v>
      </c>
      <c r="AZ347" s="161" t="s">
        <v>1050</v>
      </c>
      <c r="BA347" s="368" t="s">
        <v>1049</v>
      </c>
      <c r="BB347" s="157" t="s">
        <v>596</v>
      </c>
      <c r="BC347" s="149" t="s">
        <v>596</v>
      </c>
      <c r="BD347" s="149"/>
      <c r="BE347" s="147">
        <v>5.6</v>
      </c>
      <c r="BF347" s="147">
        <v>5.7785000000000002</v>
      </c>
      <c r="BG347" s="86">
        <v>-20</v>
      </c>
      <c r="BH347" s="87">
        <v>0</v>
      </c>
      <c r="BI347" s="318" t="s">
        <v>1062</v>
      </c>
      <c r="BJ347" s="145"/>
      <c r="BK347" s="160"/>
      <c r="BL347" s="36" t="str">
        <f>VLOOKUP($AP347,'[1]V1 V2'!$B$5:$BW$1894,74,0)</f>
        <v>C.F.19.B</v>
      </c>
      <c r="BM347" s="36" t="str">
        <f>IF('[1]V1 V2'!X346="","",'[1]V1 V2'!X346)</f>
        <v/>
      </c>
    </row>
    <row r="348" spans="1:65" ht="16" thickBot="1" x14ac:dyDescent="0.4">
      <c r="A348">
        <v>1</v>
      </c>
      <c r="B348" s="347"/>
      <c r="C348" s="348"/>
      <c r="D348" s="349"/>
      <c r="E348" s="36"/>
      <c r="F348" s="144"/>
      <c r="G348" s="145"/>
      <c r="H348" s="317" t="s">
        <v>1063</v>
      </c>
      <c r="I348" s="87"/>
      <c r="J348" s="86"/>
      <c r="K348" s="148"/>
      <c r="L348" s="147"/>
      <c r="M348" s="149"/>
      <c r="N348" s="150"/>
      <c r="O348" s="151" t="s">
        <v>89</v>
      </c>
      <c r="P348" s="350"/>
      <c r="Q348" s="361"/>
      <c r="R348" s="361"/>
      <c r="S348" s="352"/>
      <c r="T348" s="353"/>
      <c r="U348" s="354"/>
      <c r="V348" s="355" t="s">
        <v>89</v>
      </c>
      <c r="W348" s="355" t="s">
        <v>89</v>
      </c>
      <c r="X348" s="356"/>
      <c r="Y348" s="154"/>
      <c r="Z348" s="155">
        <v>20.2</v>
      </c>
      <c r="AA348" s="357"/>
      <c r="AB348" s="21" t="s">
        <v>2</v>
      </c>
      <c r="AH348" s="63">
        <v>1</v>
      </c>
      <c r="AO348" s="10" t="s">
        <v>3</v>
      </c>
      <c r="AP348" s="315"/>
      <c r="AQ348" s="155">
        <v>19.8</v>
      </c>
      <c r="AR348" s="154"/>
      <c r="AS348" s="154"/>
      <c r="AT348" s="154" t="s">
        <v>89</v>
      </c>
      <c r="AU348" s="154" t="s">
        <v>89</v>
      </c>
      <c r="AV348" s="80"/>
      <c r="AW348" s="150"/>
      <c r="AX348" s="152"/>
      <c r="AY348" s="153"/>
      <c r="AZ348" s="153"/>
      <c r="BA348" s="147"/>
      <c r="BB348" s="157" t="s">
        <v>89</v>
      </c>
      <c r="BC348" s="149"/>
      <c r="BD348" s="149"/>
      <c r="BE348" s="148"/>
      <c r="BF348" s="148"/>
      <c r="BG348" s="86"/>
      <c r="BH348" s="87"/>
      <c r="BI348" s="317"/>
      <c r="BJ348" s="145"/>
      <c r="BK348" s="160"/>
      <c r="BL348" s="36"/>
      <c r="BM348" s="36" t="str">
        <f>IF('[1]V1 V2'!X347="","",'[1]V1 V2'!X347)</f>
        <v/>
      </c>
    </row>
    <row r="349" spans="1:65" ht="16" thickBot="1" x14ac:dyDescent="0.4">
      <c r="A349">
        <v>1</v>
      </c>
      <c r="B349" s="347" t="s">
        <v>1064</v>
      </c>
      <c r="C349" s="348"/>
      <c r="D349" s="369"/>
      <c r="E349" s="36" t="str">
        <f>VLOOKUP($B349,'[1]V1 V2'!$B$5:$BW$1894,74,0)</f>
        <v>C.F.7.B</v>
      </c>
      <c r="F349" s="148" t="s">
        <v>736</v>
      </c>
      <c r="G349" s="144" t="s">
        <v>1030</v>
      </c>
      <c r="H349" s="98"/>
      <c r="I349" s="257"/>
      <c r="J349" s="158">
        <v>-10</v>
      </c>
      <c r="K349" s="147">
        <v>5.902099999999999</v>
      </c>
      <c r="L349" s="147">
        <v>5.6</v>
      </c>
      <c r="M349" s="149"/>
      <c r="N349" s="150"/>
      <c r="O349" s="151" t="s">
        <v>596</v>
      </c>
      <c r="P349" s="352" t="s">
        <v>654</v>
      </c>
      <c r="Q349" s="351" t="s">
        <v>1031</v>
      </c>
      <c r="R349" s="351" t="s">
        <v>623</v>
      </c>
      <c r="S349" s="352" t="s">
        <v>1032</v>
      </c>
      <c r="T349" s="353" t="s">
        <v>1065</v>
      </c>
      <c r="U349" s="354" t="s">
        <v>48</v>
      </c>
      <c r="V349" s="355" t="s">
        <v>1066</v>
      </c>
      <c r="W349" s="355" t="s">
        <v>1067</v>
      </c>
      <c r="X349" s="355">
        <v>32393.739000000016</v>
      </c>
      <c r="Y349" s="355">
        <v>2411.3099999999986</v>
      </c>
      <c r="Z349" s="370"/>
      <c r="AA349" s="357" t="s">
        <v>1064</v>
      </c>
      <c r="AB349" s="21" t="s">
        <v>2</v>
      </c>
      <c r="AH349" s="63">
        <v>1</v>
      </c>
      <c r="AO349" s="10" t="s">
        <v>3</v>
      </c>
      <c r="AP349" s="315" t="s">
        <v>1068</v>
      </c>
      <c r="AQ349" s="155"/>
      <c r="AR349" s="154">
        <v>2407.9100000000008</v>
      </c>
      <c r="AS349" s="154">
        <f>AS347-AQ348</f>
        <v>32476.838999999982</v>
      </c>
      <c r="AT349" s="154" t="s">
        <v>1069</v>
      </c>
      <c r="AU349" s="154" t="s">
        <v>1070</v>
      </c>
      <c r="AV349" s="80" t="s">
        <v>48</v>
      </c>
      <c r="AW349" s="150" t="s">
        <v>585</v>
      </c>
      <c r="AX349" s="152" t="s">
        <v>1032</v>
      </c>
      <c r="AY349" s="161" t="s">
        <v>623</v>
      </c>
      <c r="AZ349" s="161" t="s">
        <v>1031</v>
      </c>
      <c r="BA349" s="368" t="s">
        <v>654</v>
      </c>
      <c r="BB349" s="157" t="s">
        <v>596</v>
      </c>
      <c r="BC349" s="149"/>
      <c r="BD349" s="149"/>
      <c r="BE349" s="147">
        <v>5.6</v>
      </c>
      <c r="BF349" s="147">
        <v>5.8978999999999999</v>
      </c>
      <c r="BG349" s="158">
        <v>-10</v>
      </c>
      <c r="BH349" s="257"/>
      <c r="BI349" s="98"/>
      <c r="BJ349" s="371" t="s">
        <v>1030</v>
      </c>
      <c r="BK349" s="283" t="s">
        <v>736</v>
      </c>
      <c r="BL349" s="36" t="str">
        <f>VLOOKUP($AP349,'[1]V1 V2'!$B$5:$BW$1894,74,0)</f>
        <v>C.F.7.B</v>
      </c>
      <c r="BM349" s="36" t="str">
        <f>IF('[1]V1 V2'!X348="","",'[1]V1 V2'!X348)</f>
        <v/>
      </c>
    </row>
    <row r="350" spans="1:65" ht="16" thickBot="1" x14ac:dyDescent="0.4">
      <c r="A350">
        <v>1</v>
      </c>
      <c r="B350" s="304"/>
      <c r="C350" s="305"/>
      <c r="D350" s="306"/>
      <c r="E350" s="36"/>
      <c r="F350" s="168"/>
      <c r="G350" s="169"/>
      <c r="H350" s="170"/>
      <c r="I350" s="57"/>
      <c r="J350" s="56"/>
      <c r="K350" s="171"/>
      <c r="L350" s="142"/>
      <c r="M350" s="172"/>
      <c r="N350" s="173"/>
      <c r="O350" s="174" t="s">
        <v>89</v>
      </c>
      <c r="P350" s="171"/>
      <c r="Q350" s="176"/>
      <c r="R350" s="182"/>
      <c r="S350" s="191"/>
      <c r="T350" s="173"/>
      <c r="U350" s="62"/>
      <c r="V350" s="177" t="s">
        <v>89</v>
      </c>
      <c r="W350" s="177" t="s">
        <v>89</v>
      </c>
      <c r="X350" s="230"/>
      <c r="Y350" s="177"/>
      <c r="Z350" s="178">
        <v>20</v>
      </c>
      <c r="AA350" s="297"/>
      <c r="AB350" s="21" t="s">
        <v>2</v>
      </c>
      <c r="AH350" s="63">
        <v>1</v>
      </c>
      <c r="AO350" s="10" t="s">
        <v>3</v>
      </c>
      <c r="AP350" s="297"/>
      <c r="AQ350" s="178">
        <v>20</v>
      </c>
      <c r="AR350" s="177"/>
      <c r="AS350" s="222"/>
      <c r="AT350" s="177" t="s">
        <v>89</v>
      </c>
      <c r="AU350" s="177" t="s">
        <v>89</v>
      </c>
      <c r="AV350" s="62"/>
      <c r="AW350" s="173"/>
      <c r="AX350" s="175"/>
      <c r="AY350" s="176"/>
      <c r="AZ350" s="176"/>
      <c r="BA350" s="171"/>
      <c r="BB350" s="180" t="s">
        <v>89</v>
      </c>
      <c r="BC350" s="172"/>
      <c r="BD350" s="172"/>
      <c r="BE350" s="171"/>
      <c r="BF350" s="171"/>
      <c r="BG350" s="56"/>
      <c r="BH350" s="57"/>
      <c r="BI350" s="170"/>
      <c r="BJ350" s="169"/>
      <c r="BK350" s="181"/>
      <c r="BL350" s="36"/>
      <c r="BM350" s="36" t="str">
        <f>IF('[1]V1 V2'!X349="","",'[1]V1 V2'!X349)</f>
        <v/>
      </c>
    </row>
    <row r="351" spans="1:65" ht="16" thickBot="1" x14ac:dyDescent="0.4">
      <c r="A351">
        <v>1</v>
      </c>
      <c r="B351" s="304" t="s">
        <v>1071</v>
      </c>
      <c r="C351" s="305"/>
      <c r="D351" s="306"/>
      <c r="E351" s="36" t="str">
        <f>VLOOKUP($B351,'[1]V1 V2'!$B$5:$BW$1894,74,0)</f>
        <v>C.F.18.A</v>
      </c>
      <c r="F351" s="168"/>
      <c r="G351" s="169"/>
      <c r="H351" s="170"/>
      <c r="I351" s="57">
        <v>0</v>
      </c>
      <c r="J351" s="56" t="s">
        <v>127</v>
      </c>
      <c r="K351" s="171"/>
      <c r="L351" s="171">
        <v>5.6</v>
      </c>
      <c r="M351" s="172"/>
      <c r="N351" s="173" t="s">
        <v>1048</v>
      </c>
      <c r="O351" s="174" t="s">
        <v>621</v>
      </c>
      <c r="P351" s="191" t="s">
        <v>661</v>
      </c>
      <c r="Q351" s="176" t="s">
        <v>639</v>
      </c>
      <c r="R351" s="176" t="s">
        <v>623</v>
      </c>
      <c r="S351" s="191" t="s">
        <v>1032</v>
      </c>
      <c r="T351" s="173" t="s">
        <v>607</v>
      </c>
      <c r="U351" s="62"/>
      <c r="V351" s="177" t="s">
        <v>1072</v>
      </c>
      <c r="W351" s="177" t="s">
        <v>1073</v>
      </c>
      <c r="X351" s="177">
        <v>32373.739000000016</v>
      </c>
      <c r="Y351" s="177">
        <v>2431.3099999999986</v>
      </c>
      <c r="Z351" s="178"/>
      <c r="AA351" s="297" t="s">
        <v>1071</v>
      </c>
      <c r="AB351" s="21" t="s">
        <v>2</v>
      </c>
      <c r="AH351" s="63">
        <v>1</v>
      </c>
      <c r="AO351" s="10" t="s">
        <v>3</v>
      </c>
      <c r="AP351" s="297" t="s">
        <v>1074</v>
      </c>
      <c r="AQ351" s="178"/>
      <c r="AR351" s="177">
        <v>2427.9100000000008</v>
      </c>
      <c r="AS351" s="222">
        <f>AS349-AQ350</f>
        <v>32456.838999999982</v>
      </c>
      <c r="AT351" s="177" t="s">
        <v>1075</v>
      </c>
      <c r="AU351" s="177" t="s">
        <v>1076</v>
      </c>
      <c r="AV351" s="62"/>
      <c r="AW351" s="271" t="s">
        <v>585</v>
      </c>
      <c r="AX351" s="175" t="s">
        <v>1032</v>
      </c>
      <c r="AY351" s="176" t="s">
        <v>623</v>
      </c>
      <c r="AZ351" s="176" t="s">
        <v>639</v>
      </c>
      <c r="BA351" s="240" t="s">
        <v>661</v>
      </c>
      <c r="BB351" s="180" t="s">
        <v>621</v>
      </c>
      <c r="BC351" s="270" t="s">
        <v>596</v>
      </c>
      <c r="BD351" s="172"/>
      <c r="BE351" s="171">
        <v>5.6</v>
      </c>
      <c r="BF351" s="268">
        <v>5.85</v>
      </c>
      <c r="BG351" s="281" t="s">
        <v>223</v>
      </c>
      <c r="BH351" s="281" t="s">
        <v>1077</v>
      </c>
      <c r="BI351" s="170"/>
      <c r="BJ351" s="169"/>
      <c r="BK351" s="181"/>
      <c r="BL351" s="36" t="str">
        <f>VLOOKUP($AP351,'[1]V1 V2'!$B$5:$BW$1894,74,0)</f>
        <v>C.F.18.A</v>
      </c>
      <c r="BM351" s="36" t="str">
        <f>IF('[1]V1 V2'!X350="","",'[1]V1 V2'!X350)</f>
        <v/>
      </c>
    </row>
    <row r="352" spans="1:65" ht="16" thickBot="1" x14ac:dyDescent="0.4">
      <c r="A352">
        <v>1</v>
      </c>
      <c r="B352" s="304"/>
      <c r="C352" s="305"/>
      <c r="D352" s="306"/>
      <c r="E352" s="36"/>
      <c r="F352" s="168"/>
      <c r="G352" s="169"/>
      <c r="H352" s="170"/>
      <c r="I352" s="57"/>
      <c r="J352" s="56"/>
      <c r="K352" s="171"/>
      <c r="L352" s="142"/>
      <c r="M352" s="172"/>
      <c r="N352" s="173"/>
      <c r="O352" s="174" t="s">
        <v>89</v>
      </c>
      <c r="P352" s="171"/>
      <c r="Q352" s="182"/>
      <c r="R352" s="182"/>
      <c r="S352" s="191"/>
      <c r="T352" s="173"/>
      <c r="U352" s="62"/>
      <c r="V352" s="177" t="s">
        <v>89</v>
      </c>
      <c r="W352" s="177" t="s">
        <v>89</v>
      </c>
      <c r="X352" s="230"/>
      <c r="Y352" s="177"/>
      <c r="Z352" s="178">
        <v>20</v>
      </c>
      <c r="AA352" s="297"/>
      <c r="AB352" s="21" t="s">
        <v>2</v>
      </c>
      <c r="AH352" s="63">
        <v>1</v>
      </c>
      <c r="AO352" s="10" t="s">
        <v>3</v>
      </c>
      <c r="AP352" s="297"/>
      <c r="AQ352" s="178">
        <v>20</v>
      </c>
      <c r="AR352" s="177"/>
      <c r="AS352" s="222"/>
      <c r="AT352" s="177" t="s">
        <v>89</v>
      </c>
      <c r="AU352" s="177" t="s">
        <v>89</v>
      </c>
      <c r="AV352" s="62"/>
      <c r="AW352" s="173"/>
      <c r="AX352" s="175"/>
      <c r="AY352" s="182"/>
      <c r="AZ352" s="182"/>
      <c r="BA352" s="171"/>
      <c r="BB352" s="180" t="s">
        <v>89</v>
      </c>
      <c r="BC352" s="172"/>
      <c r="BD352" s="172"/>
      <c r="BE352" s="142"/>
      <c r="BF352" s="171"/>
      <c r="BG352" s="56"/>
      <c r="BH352" s="57"/>
      <c r="BI352" s="170"/>
      <c r="BJ352" s="169"/>
      <c r="BK352" s="181"/>
      <c r="BL352" s="36"/>
      <c r="BM352" s="36" t="str">
        <f>IF('[1]V1 V2'!X351="","",'[1]V1 V2'!X351)</f>
        <v/>
      </c>
    </row>
    <row r="353" spans="1:65" ht="16" thickBot="1" x14ac:dyDescent="0.4">
      <c r="A353">
        <v>1</v>
      </c>
      <c r="B353" s="304" t="s">
        <v>1078</v>
      </c>
      <c r="C353" s="305"/>
      <c r="D353" s="306"/>
      <c r="E353" s="36" t="str">
        <f>VLOOKUP($B353,'[1]V1 V2'!$B$5:$BW$1894,74,0)</f>
        <v>C.F.8.A</v>
      </c>
      <c r="F353" s="168"/>
      <c r="G353" s="169"/>
      <c r="H353" s="170"/>
      <c r="I353" s="57">
        <v>-20</v>
      </c>
      <c r="J353" s="56">
        <v>0</v>
      </c>
      <c r="K353" s="171"/>
      <c r="L353" s="171">
        <v>5.6</v>
      </c>
      <c r="M353" s="172"/>
      <c r="N353" s="173" t="s">
        <v>1048</v>
      </c>
      <c r="O353" s="174" t="s">
        <v>621</v>
      </c>
      <c r="P353" s="191" t="s">
        <v>661</v>
      </c>
      <c r="Q353" s="176" t="s">
        <v>639</v>
      </c>
      <c r="R353" s="176" t="s">
        <v>623</v>
      </c>
      <c r="S353" s="191" t="s">
        <v>1032</v>
      </c>
      <c r="T353" s="173" t="s">
        <v>607</v>
      </c>
      <c r="U353" s="62"/>
      <c r="V353" s="177" t="s">
        <v>1079</v>
      </c>
      <c r="W353" s="177" t="s">
        <v>1080</v>
      </c>
      <c r="X353" s="177">
        <v>32353.739000000016</v>
      </c>
      <c r="Y353" s="177">
        <v>2451.3099999999986</v>
      </c>
      <c r="Z353" s="178"/>
      <c r="AA353" s="297" t="s">
        <v>1078</v>
      </c>
      <c r="AB353" s="21" t="s">
        <v>2</v>
      </c>
      <c r="AH353" s="63">
        <v>1</v>
      </c>
      <c r="AO353" s="10" t="s">
        <v>3</v>
      </c>
      <c r="AP353" s="297" t="s">
        <v>1081</v>
      </c>
      <c r="AQ353" s="178"/>
      <c r="AR353" s="177">
        <v>2447.9100000000008</v>
      </c>
      <c r="AS353" s="222">
        <f>AS351-AQ352</f>
        <v>32436.838999999982</v>
      </c>
      <c r="AT353" s="177" t="s">
        <v>1082</v>
      </c>
      <c r="AU353" s="177" t="s">
        <v>1083</v>
      </c>
      <c r="AV353" s="62"/>
      <c r="AW353" s="271" t="s">
        <v>607</v>
      </c>
      <c r="AX353" s="175" t="s">
        <v>1032</v>
      </c>
      <c r="AY353" s="176" t="s">
        <v>623</v>
      </c>
      <c r="AZ353" s="176" t="s">
        <v>639</v>
      </c>
      <c r="BA353" s="240" t="s">
        <v>661</v>
      </c>
      <c r="BB353" s="180" t="s">
        <v>621</v>
      </c>
      <c r="BC353" s="272" t="s">
        <v>621</v>
      </c>
      <c r="BD353" s="172"/>
      <c r="BE353" s="171">
        <v>5.6</v>
      </c>
      <c r="BF353" s="268">
        <v>5.7</v>
      </c>
      <c r="BG353" s="372">
        <v>0</v>
      </c>
      <c r="BH353" s="373" t="s">
        <v>127</v>
      </c>
      <c r="BI353" s="170"/>
      <c r="BJ353" s="169"/>
      <c r="BK353" s="181"/>
      <c r="BL353" s="36" t="str">
        <f>VLOOKUP($AP353,'[1]V1 V2'!$B$5:$BW$1894,74,0)</f>
        <v>C.F.8.A</v>
      </c>
      <c r="BM353" s="36" t="str">
        <f>IF('[1]V1 V2'!X352="","",'[1]V1 V2'!X352)</f>
        <v/>
      </c>
    </row>
    <row r="354" spans="1:65" ht="16" thickBot="1" x14ac:dyDescent="0.4">
      <c r="A354">
        <v>1</v>
      </c>
      <c r="B354" s="304"/>
      <c r="C354" s="305"/>
      <c r="D354" s="306"/>
      <c r="E354" s="36"/>
      <c r="F354" s="168"/>
      <c r="G354" s="169"/>
      <c r="H354" s="170"/>
      <c r="I354" s="57"/>
      <c r="J354" s="56"/>
      <c r="K354" s="171"/>
      <c r="L354" s="142"/>
      <c r="M354" s="172"/>
      <c r="N354" s="173"/>
      <c r="O354" s="174" t="s">
        <v>89</v>
      </c>
      <c r="P354" s="171"/>
      <c r="Q354" s="182"/>
      <c r="R354" s="182"/>
      <c r="S354" s="191"/>
      <c r="T354" s="173"/>
      <c r="U354" s="62"/>
      <c r="V354" s="177" t="s">
        <v>89</v>
      </c>
      <c r="W354" s="177" t="s">
        <v>89</v>
      </c>
      <c r="X354" s="230"/>
      <c r="Y354" s="177"/>
      <c r="Z354" s="178">
        <v>15.5</v>
      </c>
      <c r="AA354" s="297"/>
      <c r="AB354" s="21" t="s">
        <v>2</v>
      </c>
      <c r="AH354" s="63">
        <v>1</v>
      </c>
      <c r="AO354" s="10" t="s">
        <v>3</v>
      </c>
      <c r="AP354" s="297"/>
      <c r="AQ354" s="178">
        <v>15.5</v>
      </c>
      <c r="AR354" s="177"/>
      <c r="AS354" s="222"/>
      <c r="AT354" s="177" t="s">
        <v>89</v>
      </c>
      <c r="AU354" s="177" t="s">
        <v>89</v>
      </c>
      <c r="AV354" s="62"/>
      <c r="AW354" s="173"/>
      <c r="AX354" s="175"/>
      <c r="AY354" s="182"/>
      <c r="AZ354" s="182"/>
      <c r="BA354" s="171"/>
      <c r="BB354" s="180" t="s">
        <v>89</v>
      </c>
      <c r="BC354" s="172"/>
      <c r="BD354" s="172"/>
      <c r="BE354" s="142"/>
      <c r="BF354" s="171"/>
      <c r="BG354" s="56"/>
      <c r="BH354" s="57"/>
      <c r="BI354" s="170"/>
      <c r="BJ354" s="169"/>
      <c r="BK354" s="181"/>
      <c r="BL354" s="36"/>
      <c r="BM354" s="36" t="str">
        <f>IF('[1]V1 V2'!X353="","",'[1]V1 V2'!X353)</f>
        <v/>
      </c>
    </row>
    <row r="355" spans="1:65" ht="16" thickBot="1" x14ac:dyDescent="0.4">
      <c r="A355">
        <v>1</v>
      </c>
      <c r="B355" s="304" t="s">
        <v>1084</v>
      </c>
      <c r="C355" s="305"/>
      <c r="D355" s="306"/>
      <c r="E355" s="36" t="str">
        <f>VLOOKUP($B355,'[1]V1 V2'!$B$5:$BW$1894,74,0)</f>
        <v>C.F.18.B</v>
      </c>
      <c r="F355" s="168"/>
      <c r="G355" s="169"/>
      <c r="H355" s="170"/>
      <c r="I355" s="374" t="s">
        <v>223</v>
      </c>
      <c r="J355" s="183" t="s">
        <v>127</v>
      </c>
      <c r="K355" s="171"/>
      <c r="L355" s="171">
        <v>5.6</v>
      </c>
      <c r="M355" s="172"/>
      <c r="N355" s="173" t="s">
        <v>1048</v>
      </c>
      <c r="O355" s="174" t="s">
        <v>621</v>
      </c>
      <c r="P355" s="191" t="s">
        <v>661</v>
      </c>
      <c r="Q355" s="176" t="s">
        <v>639</v>
      </c>
      <c r="R355" s="176" t="s">
        <v>623</v>
      </c>
      <c r="S355" s="191" t="s">
        <v>1032</v>
      </c>
      <c r="T355" s="173" t="s">
        <v>75</v>
      </c>
      <c r="U355" s="62"/>
      <c r="V355" s="177" t="s">
        <v>1085</v>
      </c>
      <c r="W355" s="177" t="s">
        <v>1086</v>
      </c>
      <c r="X355" s="177">
        <v>32338.239000000016</v>
      </c>
      <c r="Y355" s="177">
        <v>2466.8099999999986</v>
      </c>
      <c r="Z355" s="178"/>
      <c r="AA355" s="297" t="s">
        <v>1084</v>
      </c>
      <c r="AB355" s="21" t="s">
        <v>2</v>
      </c>
      <c r="AH355" s="63">
        <v>1</v>
      </c>
      <c r="AO355" s="10" t="s">
        <v>3</v>
      </c>
      <c r="AP355" s="297" t="s">
        <v>1087</v>
      </c>
      <c r="AQ355" s="178"/>
      <c r="AR355" s="177">
        <v>2463.4100000000008</v>
      </c>
      <c r="AS355" s="222">
        <f>AS353-AQ354</f>
        <v>32421.338999999982</v>
      </c>
      <c r="AT355" s="177" t="s">
        <v>1088</v>
      </c>
      <c r="AU355" s="177" t="s">
        <v>1089</v>
      </c>
      <c r="AV355" s="62"/>
      <c r="AW355" s="271" t="s">
        <v>75</v>
      </c>
      <c r="AX355" s="175" t="s">
        <v>1032</v>
      </c>
      <c r="AY355" s="176" t="s">
        <v>623</v>
      </c>
      <c r="AZ355" s="176" t="s">
        <v>639</v>
      </c>
      <c r="BA355" s="240" t="s">
        <v>661</v>
      </c>
      <c r="BB355" s="180" t="s">
        <v>621</v>
      </c>
      <c r="BC355" s="270" t="s">
        <v>596</v>
      </c>
      <c r="BD355" s="172"/>
      <c r="BE355" s="171">
        <v>5.6</v>
      </c>
      <c r="BF355" s="268">
        <v>5.6</v>
      </c>
      <c r="BG355" s="284">
        <v>-20</v>
      </c>
      <c r="BH355" s="266">
        <v>-10</v>
      </c>
      <c r="BI355" s="170"/>
      <c r="BJ355" s="169"/>
      <c r="BK355" s="181"/>
      <c r="BL355" s="36" t="str">
        <f>VLOOKUP($AP355,'[1]V1 V2'!$B$5:$BW$1894,74,0)</f>
        <v>C.F.18.B</v>
      </c>
      <c r="BM355" s="36" t="str">
        <f>IF('[1]V1 V2'!X354="","",'[1]V1 V2'!X354)</f>
        <v/>
      </c>
    </row>
    <row r="356" spans="1:65" ht="16" thickBot="1" x14ac:dyDescent="0.4">
      <c r="A356">
        <v>1</v>
      </c>
      <c r="B356" s="304"/>
      <c r="C356" s="305"/>
      <c r="D356" s="306"/>
      <c r="E356" s="36"/>
      <c r="F356" s="168"/>
      <c r="G356" s="169"/>
      <c r="H356" s="170"/>
      <c r="I356" s="57"/>
      <c r="J356" s="56"/>
      <c r="K356" s="171"/>
      <c r="L356" s="181"/>
      <c r="M356" s="172"/>
      <c r="N356" s="173"/>
      <c r="O356" s="174" t="s">
        <v>89</v>
      </c>
      <c r="P356" s="171"/>
      <c r="Q356" s="176"/>
      <c r="R356" s="176"/>
      <c r="S356" s="191"/>
      <c r="T356" s="173"/>
      <c r="U356" s="62"/>
      <c r="V356" s="177" t="s">
        <v>89</v>
      </c>
      <c r="W356" s="177" t="s">
        <v>89</v>
      </c>
      <c r="X356" s="230"/>
      <c r="Y356" s="177"/>
      <c r="Z356" s="178">
        <v>8.0500000000000007</v>
      </c>
      <c r="AA356" s="297"/>
      <c r="AB356" s="21" t="s">
        <v>2</v>
      </c>
      <c r="AH356" s="63">
        <v>1</v>
      </c>
      <c r="AO356" s="10" t="s">
        <v>3</v>
      </c>
      <c r="AP356" s="297"/>
      <c r="AQ356" s="178">
        <v>8.0500000000000007</v>
      </c>
      <c r="AR356" s="177"/>
      <c r="AS356" s="222"/>
      <c r="AT356" s="177" t="s">
        <v>89</v>
      </c>
      <c r="AU356" s="177" t="s">
        <v>89</v>
      </c>
      <c r="AV356" s="62"/>
      <c r="AW356" s="173"/>
      <c r="AX356" s="175"/>
      <c r="AY356" s="176"/>
      <c r="AZ356" s="176"/>
      <c r="BA356" s="171"/>
      <c r="BB356" s="180" t="s">
        <v>89</v>
      </c>
      <c r="BC356" s="172"/>
      <c r="BD356" s="172"/>
      <c r="BE356" s="181"/>
      <c r="BF356" s="171"/>
      <c r="BG356" s="56"/>
      <c r="BH356" s="57"/>
      <c r="BI356" s="170"/>
      <c r="BJ356" s="169"/>
      <c r="BK356" s="181"/>
      <c r="BL356" s="36"/>
      <c r="BM356" s="36" t="str">
        <f>IF('[1]V1 V2'!X355="","",'[1]V1 V2'!X355)</f>
        <v/>
      </c>
    </row>
    <row r="357" spans="1:65" ht="16" thickBot="1" x14ac:dyDescent="0.4">
      <c r="A357">
        <v>1</v>
      </c>
      <c r="B357" s="304" t="s">
        <v>1090</v>
      </c>
      <c r="C357" s="305"/>
      <c r="D357" s="306"/>
      <c r="E357" s="36" t="str">
        <f>VLOOKUP($B357,'[1]V1 V2'!$B$5:$BW$1894,74,0)</f>
        <v>C.F.23</v>
      </c>
      <c r="F357" s="168"/>
      <c r="G357" s="169" t="s">
        <v>1091</v>
      </c>
      <c r="H357" s="170"/>
      <c r="I357" s="57"/>
      <c r="J357" s="56"/>
      <c r="K357" s="171"/>
      <c r="L357" s="181"/>
      <c r="M357" s="172"/>
      <c r="N357" s="173"/>
      <c r="O357" s="174"/>
      <c r="P357" s="191" t="s">
        <v>661</v>
      </c>
      <c r="Q357" s="176" t="s">
        <v>639</v>
      </c>
      <c r="R357" s="176" t="s">
        <v>623</v>
      </c>
      <c r="S357" s="191" t="s">
        <v>1032</v>
      </c>
      <c r="T357" s="173" t="s">
        <v>625</v>
      </c>
      <c r="U357" s="62"/>
      <c r="V357" s="177" t="s">
        <v>1092</v>
      </c>
      <c r="W357" s="177" t="s">
        <v>1093</v>
      </c>
      <c r="X357" s="177">
        <v>32330.189000000017</v>
      </c>
      <c r="Y357" s="177">
        <v>2474.8599999999988</v>
      </c>
      <c r="Z357" s="178"/>
      <c r="AA357" s="297" t="s">
        <v>1090</v>
      </c>
      <c r="AB357" s="21" t="s">
        <v>2</v>
      </c>
      <c r="AH357" s="63">
        <v>1</v>
      </c>
      <c r="AO357" s="10" t="s">
        <v>3</v>
      </c>
      <c r="AP357" s="297" t="s">
        <v>1094</v>
      </c>
      <c r="AQ357" s="178"/>
      <c r="AR357" s="177">
        <v>2471.4600000000009</v>
      </c>
      <c r="AS357" s="222">
        <f>AS355-AQ356</f>
        <v>32413.288999999982</v>
      </c>
      <c r="AT357" s="177" t="s">
        <v>1095</v>
      </c>
      <c r="AU357" s="177" t="s">
        <v>1096</v>
      </c>
      <c r="AV357" s="62"/>
      <c r="AW357" s="173" t="s">
        <v>625</v>
      </c>
      <c r="AX357" s="175" t="s">
        <v>1032</v>
      </c>
      <c r="AY357" s="176" t="s">
        <v>623</v>
      </c>
      <c r="AZ357" s="176" t="s">
        <v>639</v>
      </c>
      <c r="BA357" s="240" t="s">
        <v>661</v>
      </c>
      <c r="BB357" s="180"/>
      <c r="BC357" s="172"/>
      <c r="BD357" s="172"/>
      <c r="BE357" s="181"/>
      <c r="BF357" s="171"/>
      <c r="BG357" s="56"/>
      <c r="BH357" s="57"/>
      <c r="BI357" s="170"/>
      <c r="BJ357" s="169" t="s">
        <v>1091</v>
      </c>
      <c r="BK357" s="181"/>
      <c r="BL357" s="36" t="str">
        <f>VLOOKUP($AP357,'[1]V1 V2'!$B$5:$BW$1894,74,0)</f>
        <v>C.F.23</v>
      </c>
      <c r="BM357" s="36" t="str">
        <f>IF('[1]V1 V2'!X356="","",'[1]V1 V2'!X356)</f>
        <v/>
      </c>
    </row>
    <row r="358" spans="1:65" ht="16" thickBot="1" x14ac:dyDescent="0.4">
      <c r="A358">
        <v>1</v>
      </c>
      <c r="B358" s="304"/>
      <c r="C358" s="305"/>
      <c r="D358" s="306"/>
      <c r="E358" s="36"/>
      <c r="F358" s="168"/>
      <c r="G358" s="169"/>
      <c r="H358" s="170"/>
      <c r="I358" s="57"/>
      <c r="J358" s="56"/>
      <c r="K358" s="171"/>
      <c r="L358" s="142"/>
      <c r="M358" s="172"/>
      <c r="N358" s="173"/>
      <c r="O358" s="174" t="s">
        <v>89</v>
      </c>
      <c r="P358" s="171"/>
      <c r="Q358" s="182"/>
      <c r="R358" s="182"/>
      <c r="S358" s="191"/>
      <c r="T358" s="173"/>
      <c r="U358" s="62"/>
      <c r="V358" s="177" t="s">
        <v>89</v>
      </c>
      <c r="W358" s="177" t="s">
        <v>89</v>
      </c>
      <c r="X358" s="230"/>
      <c r="Y358" s="177"/>
      <c r="Z358" s="178">
        <v>8.0500000000000007</v>
      </c>
      <c r="AA358" s="297"/>
      <c r="AB358" s="21" t="s">
        <v>2</v>
      </c>
      <c r="AH358" s="63">
        <v>1</v>
      </c>
      <c r="AO358" s="10" t="s">
        <v>3</v>
      </c>
      <c r="AP358" s="297"/>
      <c r="AQ358" s="178">
        <v>8.0500000000000007</v>
      </c>
      <c r="AR358" s="177"/>
      <c r="AS358" s="222"/>
      <c r="AT358" s="177" t="s">
        <v>89</v>
      </c>
      <c r="AU358" s="177" t="s">
        <v>89</v>
      </c>
      <c r="AV358" s="62"/>
      <c r="AW358" s="173"/>
      <c r="AX358" s="175"/>
      <c r="AY358" s="182"/>
      <c r="AZ358" s="182"/>
      <c r="BA358" s="171"/>
      <c r="BB358" s="180" t="s">
        <v>89</v>
      </c>
      <c r="BC358" s="172"/>
      <c r="BD358" s="172"/>
      <c r="BE358" s="142"/>
      <c r="BF358" s="171"/>
      <c r="BG358" s="56"/>
      <c r="BH358" s="57"/>
      <c r="BI358" s="170"/>
      <c r="BJ358" s="169"/>
      <c r="BK358" s="181"/>
      <c r="BL358" s="36"/>
      <c r="BM358" s="36" t="str">
        <f>IF('[1]V1 V2'!X357="","",'[1]V1 V2'!X357)</f>
        <v/>
      </c>
    </row>
    <row r="359" spans="1:65" ht="16" thickBot="1" x14ac:dyDescent="0.4">
      <c r="A359">
        <v>1</v>
      </c>
      <c r="B359" s="304" t="s">
        <v>1097</v>
      </c>
      <c r="C359" s="305"/>
      <c r="D359" s="306"/>
      <c r="E359" s="36" t="str">
        <f>VLOOKUP($B359,'[1]V1 V2'!$B$5:$BW$1894,74,0)</f>
        <v>C.F.17</v>
      </c>
      <c r="F359" s="168"/>
      <c r="G359" s="169"/>
      <c r="H359" s="170"/>
      <c r="I359" s="284">
        <v>-10</v>
      </c>
      <c r="J359" s="266">
        <v>-20</v>
      </c>
      <c r="K359" s="171"/>
      <c r="L359" s="142">
        <v>5.6</v>
      </c>
      <c r="M359" s="172"/>
      <c r="N359" s="271" t="s">
        <v>1048</v>
      </c>
      <c r="O359" s="174" t="s">
        <v>621</v>
      </c>
      <c r="P359" s="275" t="s">
        <v>661</v>
      </c>
      <c r="Q359" s="285" t="s">
        <v>639</v>
      </c>
      <c r="R359" s="176" t="s">
        <v>623</v>
      </c>
      <c r="S359" s="191" t="s">
        <v>1032</v>
      </c>
      <c r="T359" s="271" t="s">
        <v>75</v>
      </c>
      <c r="U359" s="62"/>
      <c r="V359" s="177" t="s">
        <v>1098</v>
      </c>
      <c r="W359" s="177" t="s">
        <v>1099</v>
      </c>
      <c r="X359" s="177">
        <v>32322.139000000017</v>
      </c>
      <c r="Y359" s="177">
        <v>2482.9099999999989</v>
      </c>
      <c r="Z359" s="178"/>
      <c r="AA359" s="297" t="s">
        <v>1097</v>
      </c>
      <c r="AB359" s="21" t="s">
        <v>2</v>
      </c>
      <c r="AH359" s="63">
        <v>1</v>
      </c>
      <c r="AO359" s="10" t="s">
        <v>3</v>
      </c>
      <c r="AP359" s="297" t="s">
        <v>1100</v>
      </c>
      <c r="AQ359" s="178"/>
      <c r="AR359" s="177">
        <v>2479.5100000000011</v>
      </c>
      <c r="AS359" s="222">
        <f>AS357-AQ358</f>
        <v>32405.238999999983</v>
      </c>
      <c r="AT359" s="177" t="s">
        <v>1101</v>
      </c>
      <c r="AU359" s="177" t="s">
        <v>1102</v>
      </c>
      <c r="AV359" s="62"/>
      <c r="AW359" s="173" t="s">
        <v>75</v>
      </c>
      <c r="AX359" s="175" t="s">
        <v>1032</v>
      </c>
      <c r="AY359" s="176" t="s">
        <v>623</v>
      </c>
      <c r="AZ359" s="176" t="s">
        <v>639</v>
      </c>
      <c r="BA359" s="240" t="s">
        <v>661</v>
      </c>
      <c r="BB359" s="180" t="s">
        <v>621</v>
      </c>
      <c r="BC359" s="172" t="s">
        <v>596</v>
      </c>
      <c r="BD359" s="172"/>
      <c r="BE359" s="171">
        <v>5.6</v>
      </c>
      <c r="BF359" s="171">
        <v>5.6</v>
      </c>
      <c r="BG359" s="56">
        <v>-20</v>
      </c>
      <c r="BH359" s="57">
        <v>-10</v>
      </c>
      <c r="BI359" s="170"/>
      <c r="BJ359" s="169"/>
      <c r="BK359" s="181"/>
      <c r="BL359" s="36" t="str">
        <f>VLOOKUP($AP359,'[1]V1 V2'!$B$5:$BW$1894,74,0)</f>
        <v>C.F.17</v>
      </c>
      <c r="BM359" s="36" t="str">
        <f>IF('[1]V1 V2'!X358="","",'[1]V1 V2'!X358)</f>
        <v/>
      </c>
    </row>
    <row r="360" spans="1:65" ht="16" thickBot="1" x14ac:dyDescent="0.4">
      <c r="A360">
        <v>1</v>
      </c>
      <c r="B360" s="304"/>
      <c r="C360" s="305"/>
      <c r="D360" s="307" t="s">
        <v>720</v>
      </c>
      <c r="E360" s="36"/>
      <c r="F360" s="168"/>
      <c r="G360" s="169"/>
      <c r="H360" s="170"/>
      <c r="I360" s="57"/>
      <c r="J360" s="56"/>
      <c r="K360" s="171"/>
      <c r="L360" s="142"/>
      <c r="M360" s="172"/>
      <c r="N360" s="173"/>
      <c r="O360" s="174" t="s">
        <v>89</v>
      </c>
      <c r="P360" s="171"/>
      <c r="Q360" s="176"/>
      <c r="R360" s="176"/>
      <c r="S360" s="191"/>
      <c r="T360" s="173"/>
      <c r="U360" s="62"/>
      <c r="V360" s="177" t="s">
        <v>89</v>
      </c>
      <c r="W360" s="177" t="s">
        <v>89</v>
      </c>
      <c r="X360" s="230"/>
      <c r="Y360" s="177"/>
      <c r="Z360" s="178">
        <v>21</v>
      </c>
      <c r="AA360" s="297"/>
      <c r="AB360" s="21" t="s">
        <v>2</v>
      </c>
      <c r="AH360" s="63">
        <v>1</v>
      </c>
      <c r="AO360" s="10" t="s">
        <v>3</v>
      </c>
      <c r="AP360" s="297"/>
      <c r="AQ360" s="178">
        <v>21</v>
      </c>
      <c r="AR360" s="177"/>
      <c r="AS360" s="222"/>
      <c r="AT360" s="177" t="s">
        <v>89</v>
      </c>
      <c r="AU360" s="177" t="s">
        <v>89</v>
      </c>
      <c r="AV360" s="62"/>
      <c r="AW360" s="173"/>
      <c r="AX360" s="175"/>
      <c r="AY360" s="176"/>
      <c r="AZ360" s="176"/>
      <c r="BA360" s="171"/>
      <c r="BB360" s="180" t="s">
        <v>89</v>
      </c>
      <c r="BC360" s="172"/>
      <c r="BD360" s="172"/>
      <c r="BE360" s="142"/>
      <c r="BF360" s="171"/>
      <c r="BG360" s="56"/>
      <c r="BH360" s="57"/>
      <c r="BI360" s="170"/>
      <c r="BJ360" s="169"/>
      <c r="BK360" s="181"/>
      <c r="BL360" s="36"/>
      <c r="BM360" s="308" t="str">
        <f>IF('[1]V1 V2'!X359="","",'[1]V1 V2'!X359)</f>
        <v>1PEAD D110mm ou 2PEAD D63mm+ 1PEAD 32mm</v>
      </c>
    </row>
    <row r="361" spans="1:65" ht="16" thickBot="1" x14ac:dyDescent="0.4">
      <c r="A361">
        <v>1</v>
      </c>
      <c r="B361" s="304" t="s">
        <v>1103</v>
      </c>
      <c r="C361" s="305"/>
      <c r="D361" s="309" t="s">
        <v>722</v>
      </c>
      <c r="E361" s="36" t="str">
        <f>VLOOKUP($B361,'[1]V1 V2'!$B$5:$BW$1894,74,0)</f>
        <v>C.F.20.B</v>
      </c>
      <c r="F361" s="168"/>
      <c r="G361" s="169"/>
      <c r="H361" s="170"/>
      <c r="I361" s="281" t="s">
        <v>127</v>
      </c>
      <c r="J361" s="281" t="s">
        <v>1104</v>
      </c>
      <c r="K361" s="171"/>
      <c r="L361" s="171">
        <v>5.6</v>
      </c>
      <c r="M361" s="172"/>
      <c r="N361" s="271" t="s">
        <v>1048</v>
      </c>
      <c r="O361" s="174" t="s">
        <v>621</v>
      </c>
      <c r="P361" s="275" t="s">
        <v>661</v>
      </c>
      <c r="Q361" s="285" t="s">
        <v>639</v>
      </c>
      <c r="R361" s="176" t="s">
        <v>623</v>
      </c>
      <c r="S361" s="191" t="s">
        <v>1032</v>
      </c>
      <c r="T361" s="271" t="s">
        <v>607</v>
      </c>
      <c r="U361" s="62"/>
      <c r="V361" s="177" t="s">
        <v>1105</v>
      </c>
      <c r="W361" s="177" t="s">
        <v>1106</v>
      </c>
      <c r="X361" s="177">
        <v>32301.139000000017</v>
      </c>
      <c r="Y361" s="177">
        <v>2503.9099999999989</v>
      </c>
      <c r="Z361" s="178"/>
      <c r="AA361" s="297" t="s">
        <v>1103</v>
      </c>
      <c r="AB361" s="21" t="s">
        <v>2</v>
      </c>
      <c r="AH361" s="63">
        <v>1</v>
      </c>
      <c r="AO361" s="10" t="s">
        <v>3</v>
      </c>
      <c r="AP361" s="297" t="s">
        <v>1107</v>
      </c>
      <c r="AQ361" s="178"/>
      <c r="AR361" s="177">
        <v>2500.5100000000011</v>
      </c>
      <c r="AS361" s="222">
        <f>AS359-AQ360</f>
        <v>32384.238999999983</v>
      </c>
      <c r="AT361" s="277" t="s">
        <v>1108</v>
      </c>
      <c r="AU361" s="277" t="s">
        <v>1109</v>
      </c>
      <c r="AV361" s="62"/>
      <c r="AW361" s="173" t="s">
        <v>607</v>
      </c>
      <c r="AX361" s="275" t="s">
        <v>1032</v>
      </c>
      <c r="AY361" s="176" t="s">
        <v>623</v>
      </c>
      <c r="AZ361" s="176" t="s">
        <v>639</v>
      </c>
      <c r="BA361" s="240" t="s">
        <v>661</v>
      </c>
      <c r="BB361" s="180" t="s">
        <v>621</v>
      </c>
      <c r="BC361" s="172" t="s">
        <v>596</v>
      </c>
      <c r="BD361" s="172"/>
      <c r="BE361" s="171">
        <v>5.6</v>
      </c>
      <c r="BF361" s="171">
        <v>5.7</v>
      </c>
      <c r="BG361" s="56">
        <v>-5</v>
      </c>
      <c r="BH361" s="374" t="s">
        <v>127</v>
      </c>
      <c r="BI361" s="170"/>
      <c r="BJ361" s="169"/>
      <c r="BK361" s="181"/>
      <c r="BL361" s="36" t="str">
        <f>VLOOKUP($AP361,'[1]V1 V2'!$B$5:$BW$1894,74,0)</f>
        <v>C.F.20.B</v>
      </c>
      <c r="BM361" s="202" t="str">
        <f>IF('[1]V1 V2'!X360="","",'[1]V1 V2'!X360)</f>
        <v>FR</v>
      </c>
    </row>
    <row r="362" spans="1:65" ht="16" thickBot="1" x14ac:dyDescent="0.4">
      <c r="A362">
        <v>1</v>
      </c>
      <c r="B362" s="304"/>
      <c r="C362" s="305"/>
      <c r="D362" s="307" t="s">
        <v>728</v>
      </c>
      <c r="E362" s="36"/>
      <c r="F362" s="168"/>
      <c r="G362" s="169"/>
      <c r="H362" s="170"/>
      <c r="I362" s="57"/>
      <c r="J362" s="56"/>
      <c r="K362" s="171"/>
      <c r="L362" s="142"/>
      <c r="M362" s="172"/>
      <c r="N362" s="173"/>
      <c r="O362" s="174" t="s">
        <v>89</v>
      </c>
      <c r="P362" s="171"/>
      <c r="Q362" s="176"/>
      <c r="R362" s="176"/>
      <c r="S362" s="191"/>
      <c r="T362" s="173"/>
      <c r="U362" s="62"/>
      <c r="V362" s="177" t="s">
        <v>89</v>
      </c>
      <c r="W362" s="177" t="s">
        <v>89</v>
      </c>
      <c r="X362" s="230"/>
      <c r="Y362" s="177"/>
      <c r="Z362" s="178">
        <v>24</v>
      </c>
      <c r="AA362" s="297"/>
      <c r="AB362" s="21" t="s">
        <v>2</v>
      </c>
      <c r="AH362" s="63">
        <v>1</v>
      </c>
      <c r="AO362" s="10" t="s">
        <v>3</v>
      </c>
      <c r="AP362" s="297"/>
      <c r="AQ362" s="178">
        <v>24</v>
      </c>
      <c r="AR362" s="177"/>
      <c r="AS362" s="222"/>
      <c r="AT362" s="177" t="s">
        <v>89</v>
      </c>
      <c r="AU362" s="177" t="s">
        <v>89</v>
      </c>
      <c r="AV362" s="62"/>
      <c r="AW362" s="173"/>
      <c r="AX362" s="175"/>
      <c r="AY362" s="182"/>
      <c r="AZ362" s="176"/>
      <c r="BA362" s="240"/>
      <c r="BB362" s="180" t="s">
        <v>89</v>
      </c>
      <c r="BC362" s="172"/>
      <c r="BD362" s="172"/>
      <c r="BE362" s="142"/>
      <c r="BF362" s="171"/>
      <c r="BG362" s="56"/>
      <c r="BH362" s="57"/>
      <c r="BI362" s="170"/>
      <c r="BJ362" s="169"/>
      <c r="BK362" s="181"/>
      <c r="BL362" s="36"/>
      <c r="BM362" s="308" t="str">
        <f>IF('[1]V1 V2'!X361="","",'[1]V1 V2'!X361)</f>
        <v>1PEAD D110mm ou 2PEAD D63mm</v>
      </c>
    </row>
    <row r="363" spans="1:65" ht="16" thickBot="1" x14ac:dyDescent="0.4">
      <c r="A363">
        <v>1</v>
      </c>
      <c r="B363" s="304" t="s">
        <v>1110</v>
      </c>
      <c r="C363" s="305"/>
      <c r="D363" s="306"/>
      <c r="E363" s="36">
        <f>VLOOKUP($B363,'[1]V1 V2'!$B$5:$BW$1894,74,0)</f>
        <v>0</v>
      </c>
      <c r="F363" s="168"/>
      <c r="G363" s="169"/>
      <c r="H363" s="170"/>
      <c r="I363" s="57"/>
      <c r="J363" s="225" t="s">
        <v>127</v>
      </c>
      <c r="K363" s="171"/>
      <c r="L363" s="142">
        <v>5.6</v>
      </c>
      <c r="M363" s="375">
        <v>6</v>
      </c>
      <c r="N363" s="173"/>
      <c r="O363" s="174" t="s">
        <v>1111</v>
      </c>
      <c r="P363" s="171" t="s">
        <v>184</v>
      </c>
      <c r="Q363" s="176"/>
      <c r="R363" s="182" t="s">
        <v>1112</v>
      </c>
      <c r="S363" s="191" t="s">
        <v>184</v>
      </c>
      <c r="T363" s="271" t="s">
        <v>1065</v>
      </c>
      <c r="U363" s="62"/>
      <c r="V363" s="177"/>
      <c r="W363" s="177"/>
      <c r="X363" s="177">
        <v>32277.139000000017</v>
      </c>
      <c r="Y363" s="177">
        <v>2527.9099999999989</v>
      </c>
      <c r="Z363" s="178"/>
      <c r="AA363" s="297" t="s">
        <v>1110</v>
      </c>
      <c r="AB363" s="21" t="s">
        <v>2</v>
      </c>
      <c r="AH363" s="63">
        <v>1</v>
      </c>
      <c r="AO363" s="10" t="s">
        <v>3</v>
      </c>
      <c r="AP363" s="297" t="s">
        <v>1113</v>
      </c>
      <c r="AQ363" s="178"/>
      <c r="AR363" s="177">
        <v>2524.5100000000011</v>
      </c>
      <c r="AS363" s="222">
        <f>AS361-AQ362</f>
        <v>32360.238999999983</v>
      </c>
      <c r="AT363" s="177" t="s">
        <v>1114</v>
      </c>
      <c r="AU363" s="177" t="s">
        <v>1115</v>
      </c>
      <c r="AV363" s="62"/>
      <c r="AW363" s="271" t="s">
        <v>1116</v>
      </c>
      <c r="AX363" s="175" t="s">
        <v>1117</v>
      </c>
      <c r="AY363" s="182" t="s">
        <v>1112</v>
      </c>
      <c r="AZ363" s="221" t="s">
        <v>1031</v>
      </c>
      <c r="BA363" s="240" t="s">
        <v>1118</v>
      </c>
      <c r="BB363" s="180" t="s">
        <v>1111</v>
      </c>
      <c r="BC363" s="172"/>
      <c r="BD363" s="375">
        <v>6</v>
      </c>
      <c r="BE363" s="171">
        <v>5.6</v>
      </c>
      <c r="BF363" s="268">
        <v>5.8</v>
      </c>
      <c r="BG363" s="183" t="s">
        <v>127</v>
      </c>
      <c r="BH363" s="284">
        <v>-40</v>
      </c>
      <c r="BI363" s="170"/>
      <c r="BJ363" s="169" t="s">
        <v>736</v>
      </c>
      <c r="BK363" s="181"/>
      <c r="BL363" s="36" t="str">
        <f>VLOOKUP($AP363,'[1]V1 V2'!$B$5:$BW$1894,74,0)</f>
        <v>C.C.1</v>
      </c>
      <c r="BM363" s="36" t="str">
        <f>IF('[1]V1 V2'!X362="","",'[1]V1 V2'!X362)</f>
        <v/>
      </c>
    </row>
    <row r="364" spans="1:65" ht="16" thickBot="1" x14ac:dyDescent="0.4">
      <c r="A364">
        <v>1</v>
      </c>
      <c r="B364" s="304"/>
      <c r="C364" s="305"/>
      <c r="D364" s="306"/>
      <c r="E364" s="36"/>
      <c r="F364" s="168"/>
      <c r="G364" s="169"/>
      <c r="H364" s="170"/>
      <c r="I364" s="57"/>
      <c r="J364" s="135"/>
      <c r="K364" s="171"/>
      <c r="L364" s="142"/>
      <c r="M364" s="172"/>
      <c r="N364" s="173"/>
      <c r="O364" s="174" t="s">
        <v>89</v>
      </c>
      <c r="P364" s="171"/>
      <c r="Q364" s="176"/>
      <c r="R364" s="176"/>
      <c r="S364" s="191"/>
      <c r="T364" s="173"/>
      <c r="U364" s="62"/>
      <c r="V364" s="177"/>
      <c r="W364" s="177"/>
      <c r="X364" s="230"/>
      <c r="Y364" s="177"/>
      <c r="Z364" s="178">
        <v>23.2</v>
      </c>
      <c r="AA364" s="297"/>
      <c r="AB364" s="21" t="s">
        <v>2</v>
      </c>
      <c r="AH364" s="63">
        <v>1</v>
      </c>
      <c r="AO364" s="10" t="s">
        <v>3</v>
      </c>
      <c r="AP364" s="297"/>
      <c r="AQ364" s="178">
        <v>23.3</v>
      </c>
      <c r="AR364" s="177"/>
      <c r="AS364" s="222"/>
      <c r="AT364" s="177" t="s">
        <v>89</v>
      </c>
      <c r="AU364" s="177" t="s">
        <v>89</v>
      </c>
      <c r="AV364" s="62"/>
      <c r="AW364" s="173"/>
      <c r="AX364" s="175"/>
      <c r="AY364" s="182"/>
      <c r="AZ364" s="176"/>
      <c r="BA364" s="171"/>
      <c r="BB364" s="180" t="s">
        <v>89</v>
      </c>
      <c r="BC364" s="172"/>
      <c r="BD364" s="172"/>
      <c r="BE364" s="142"/>
      <c r="BF364" s="171"/>
      <c r="BG364" s="56"/>
      <c r="BH364" s="57"/>
      <c r="BI364" s="170"/>
      <c r="BJ364" s="169"/>
      <c r="BK364" s="181"/>
      <c r="BL364" s="36"/>
      <c r="BM364" s="36" t="str">
        <f>IF('[1]V1 V2'!X363="","",'[1]V1 V2'!X363)</f>
        <v/>
      </c>
    </row>
    <row r="365" spans="1:65" ht="16" thickBot="1" x14ac:dyDescent="0.4">
      <c r="A365">
        <v>1</v>
      </c>
      <c r="B365" s="304" t="s">
        <v>1119</v>
      </c>
      <c r="C365" s="305"/>
      <c r="D365" s="306"/>
      <c r="E365" s="36">
        <f>VLOOKUP($B365,'[1]V1 V2'!$B$5:$BW$1894,74,0)</f>
        <v>0</v>
      </c>
      <c r="F365" s="168"/>
      <c r="G365" s="169"/>
      <c r="H365" s="170"/>
      <c r="I365" s="57"/>
      <c r="J365" s="135">
        <v>-20</v>
      </c>
      <c r="K365" s="171"/>
      <c r="L365" s="171">
        <v>5.6</v>
      </c>
      <c r="M365" s="375">
        <v>7.2</v>
      </c>
      <c r="N365" s="173"/>
      <c r="O365" s="174" t="s">
        <v>1111</v>
      </c>
      <c r="P365" s="171" t="s">
        <v>184</v>
      </c>
      <c r="Q365" s="176"/>
      <c r="R365" s="182" t="s">
        <v>1112</v>
      </c>
      <c r="S365" s="191" t="s">
        <v>184</v>
      </c>
      <c r="T365" s="173" t="s">
        <v>30</v>
      </c>
      <c r="U365" s="62"/>
      <c r="V365" s="177"/>
      <c r="W365" s="177"/>
      <c r="X365" s="177">
        <v>32253.939000000017</v>
      </c>
      <c r="Y365" s="177">
        <v>2551.1099999999988</v>
      </c>
      <c r="Z365" s="178"/>
      <c r="AA365" s="297" t="s">
        <v>1119</v>
      </c>
      <c r="AB365" s="21" t="s">
        <v>2</v>
      </c>
      <c r="AH365" s="63">
        <v>1</v>
      </c>
      <c r="AO365" s="10" t="s">
        <v>3</v>
      </c>
      <c r="AP365" s="297" t="s">
        <v>1120</v>
      </c>
      <c r="AQ365" s="178"/>
      <c r="AR365" s="177">
        <v>2547.8100000000013</v>
      </c>
      <c r="AS365" s="222">
        <f>AS363-AQ364</f>
        <v>32336.938999999984</v>
      </c>
      <c r="AT365" s="177" t="s">
        <v>1121</v>
      </c>
      <c r="AU365" s="177" t="s">
        <v>1122</v>
      </c>
      <c r="AV365" s="62"/>
      <c r="AW365" s="271" t="s">
        <v>585</v>
      </c>
      <c r="AX365" s="175" t="s">
        <v>1117</v>
      </c>
      <c r="AY365" s="182" t="s">
        <v>1112</v>
      </c>
      <c r="AZ365" s="221" t="s">
        <v>1031</v>
      </c>
      <c r="BA365" s="376" t="s">
        <v>1118</v>
      </c>
      <c r="BB365" s="180" t="s">
        <v>1111</v>
      </c>
      <c r="BC365" s="172"/>
      <c r="BD365" s="375">
        <v>7.2</v>
      </c>
      <c r="BE365" s="171">
        <v>5.6</v>
      </c>
      <c r="BF365" s="268">
        <v>5.85</v>
      </c>
      <c r="BG365" s="56">
        <v>-20</v>
      </c>
      <c r="BH365" s="57"/>
      <c r="BI365" s="170"/>
      <c r="BJ365" s="264" t="s">
        <v>736</v>
      </c>
      <c r="BK365" s="181"/>
      <c r="BL365" s="36" t="str">
        <f>VLOOKUP($AP365,'[1]V1 V2'!$B$5:$BW$1894,74,0)</f>
        <v>C.C.2</v>
      </c>
      <c r="BM365" s="36" t="str">
        <f>IF('[1]V1 V2'!X364="","",'[1]V1 V2'!X364)</f>
        <v/>
      </c>
    </row>
    <row r="366" spans="1:65" ht="16" thickBot="1" x14ac:dyDescent="0.4">
      <c r="A366">
        <v>1</v>
      </c>
      <c r="B366" s="304"/>
      <c r="C366" s="305"/>
      <c r="D366" s="306"/>
      <c r="E366" s="36"/>
      <c r="F366" s="168"/>
      <c r="G366" s="169"/>
      <c r="H366" s="170"/>
      <c r="I366" s="57"/>
      <c r="J366" s="135"/>
      <c r="K366" s="171"/>
      <c r="L366" s="142"/>
      <c r="M366" s="172"/>
      <c r="N366" s="173"/>
      <c r="O366" s="174" t="s">
        <v>89</v>
      </c>
      <c r="P366" s="171"/>
      <c r="Q366" s="176"/>
      <c r="R366" s="176"/>
      <c r="S366" s="191"/>
      <c r="T366" s="173"/>
      <c r="U366" s="62"/>
      <c r="V366" s="177"/>
      <c r="W366" s="177"/>
      <c r="X366" s="230"/>
      <c r="Y366" s="177"/>
      <c r="Z366" s="178">
        <v>20.100000000000001</v>
      </c>
      <c r="AA366" s="297"/>
      <c r="AB366" s="21" t="s">
        <v>2</v>
      </c>
      <c r="AH366" s="63">
        <v>1</v>
      </c>
      <c r="AO366" s="10" t="s">
        <v>3</v>
      </c>
      <c r="AP366" s="297"/>
      <c r="AQ366" s="198">
        <v>20.100000000000001</v>
      </c>
      <c r="AR366" s="177"/>
      <c r="AS366" s="222"/>
      <c r="AT366" s="177" t="s">
        <v>89</v>
      </c>
      <c r="AU366" s="177" t="s">
        <v>89</v>
      </c>
      <c r="AV366" s="62"/>
      <c r="AW366" s="173"/>
      <c r="AX366" s="175"/>
      <c r="AY366" s="176"/>
      <c r="AZ366" s="176"/>
      <c r="BA366" s="171"/>
      <c r="BB366" s="180" t="s">
        <v>89</v>
      </c>
      <c r="BC366" s="172"/>
      <c r="BD366" s="172"/>
      <c r="BE366" s="142"/>
      <c r="BF366" s="171"/>
      <c r="BG366" s="56"/>
      <c r="BH366" s="57"/>
      <c r="BI366" s="170"/>
      <c r="BJ366" s="169"/>
      <c r="BK366" s="181"/>
      <c r="BL366" s="36"/>
      <c r="BM366" s="36" t="str">
        <f>IF('[1]V1 V2'!X365="","",'[1]V1 V2'!X365)</f>
        <v/>
      </c>
    </row>
    <row r="367" spans="1:65" ht="16" thickBot="1" x14ac:dyDescent="0.4">
      <c r="A367">
        <v>1</v>
      </c>
      <c r="B367" s="304" t="s">
        <v>1123</v>
      </c>
      <c r="C367" s="305"/>
      <c r="D367" s="306"/>
      <c r="E367" s="36">
        <f>VLOOKUP($B367,'[1]V1 V2'!$B$5:$BW$1894,74,0)</f>
        <v>0</v>
      </c>
      <c r="F367" s="168"/>
      <c r="G367" s="169"/>
      <c r="H367" s="170"/>
      <c r="I367" s="57"/>
      <c r="J367" s="135" t="s">
        <v>127</v>
      </c>
      <c r="K367" s="171"/>
      <c r="L367" s="142">
        <v>5.6</v>
      </c>
      <c r="M367" s="375">
        <v>6</v>
      </c>
      <c r="N367" s="173"/>
      <c r="O367" s="174" t="s">
        <v>1111</v>
      </c>
      <c r="P367" s="171" t="s">
        <v>184</v>
      </c>
      <c r="Q367" s="176"/>
      <c r="R367" s="182" t="s">
        <v>1112</v>
      </c>
      <c r="S367" s="191" t="s">
        <v>184</v>
      </c>
      <c r="T367" s="173" t="s">
        <v>30</v>
      </c>
      <c r="U367" s="62"/>
      <c r="V367" s="177"/>
      <c r="W367" s="177"/>
      <c r="X367" s="177">
        <v>32233.839000000018</v>
      </c>
      <c r="Y367" s="177">
        <v>2571.2099999999987</v>
      </c>
      <c r="Z367" s="178"/>
      <c r="AA367" s="297" t="s">
        <v>1123</v>
      </c>
      <c r="AB367" s="21" t="s">
        <v>2</v>
      </c>
      <c r="AH367" s="63">
        <v>1</v>
      </c>
      <c r="AO367" s="10" t="s">
        <v>3</v>
      </c>
      <c r="AP367" s="297" t="s">
        <v>1124</v>
      </c>
      <c r="AQ367" s="198"/>
      <c r="AR367" s="177">
        <v>2567.9100000000012</v>
      </c>
      <c r="AS367" s="222">
        <f>AS365-AQ366</f>
        <v>32316.838999999985</v>
      </c>
      <c r="AT367" s="177" t="s">
        <v>1125</v>
      </c>
      <c r="AU367" s="177" t="s">
        <v>1126</v>
      </c>
      <c r="AV367" s="62"/>
      <c r="AW367" s="173" t="s">
        <v>30</v>
      </c>
      <c r="AX367" s="175" t="s">
        <v>1117</v>
      </c>
      <c r="AY367" s="182" t="s">
        <v>1112</v>
      </c>
      <c r="AZ367" s="221" t="s">
        <v>1031</v>
      </c>
      <c r="BA367" s="240" t="s">
        <v>1049</v>
      </c>
      <c r="BB367" s="180" t="s">
        <v>1111</v>
      </c>
      <c r="BC367" s="172"/>
      <c r="BD367" s="375">
        <v>6</v>
      </c>
      <c r="BE367" s="171">
        <v>5.6</v>
      </c>
      <c r="BF367" s="171"/>
      <c r="BG367" s="183" t="s">
        <v>127</v>
      </c>
      <c r="BH367" s="57"/>
      <c r="BI367" s="170"/>
      <c r="BJ367" s="169"/>
      <c r="BK367" s="181"/>
      <c r="BL367" s="36" t="str">
        <f>VLOOKUP($AP367,'[1]V1 V2'!$B$5:$BW$1894,74,0)</f>
        <v>C.C.1</v>
      </c>
      <c r="BM367" s="36" t="str">
        <f>IF('[1]V1 V2'!X366="","",'[1]V1 V2'!X366)</f>
        <v/>
      </c>
    </row>
    <row r="368" spans="1:65" ht="16" thickBot="1" x14ac:dyDescent="0.4">
      <c r="A368">
        <v>1</v>
      </c>
      <c r="B368" s="227" t="s">
        <v>1127</v>
      </c>
      <c r="C368" s="228"/>
      <c r="D368" s="229"/>
      <c r="E368" s="36">
        <f>VLOOKUP($B368,'[1]V1 V2'!$B$5:$BW$1894,74,0)</f>
        <v>0</v>
      </c>
      <c r="F368" s="168"/>
      <c r="G368" s="169"/>
      <c r="H368" s="170"/>
      <c r="I368" s="57"/>
      <c r="J368" s="135"/>
      <c r="K368" s="171"/>
      <c r="L368" s="142"/>
      <c r="M368" s="172"/>
      <c r="N368" s="173"/>
      <c r="O368" s="174" t="s">
        <v>89</v>
      </c>
      <c r="P368" s="171"/>
      <c r="Q368" s="176"/>
      <c r="R368" s="176"/>
      <c r="S368" s="191"/>
      <c r="T368" s="173"/>
      <c r="U368" s="62"/>
      <c r="V368" s="177"/>
      <c r="W368" s="177"/>
      <c r="X368" s="230"/>
      <c r="Y368" s="177"/>
      <c r="Z368" s="198">
        <v>19.8</v>
      </c>
      <c r="AA368" s="231" t="s">
        <v>1127</v>
      </c>
      <c r="AB368" s="21" t="s">
        <v>2</v>
      </c>
      <c r="AH368" s="63">
        <v>1</v>
      </c>
      <c r="AO368" s="10" t="s">
        <v>3</v>
      </c>
      <c r="AP368" s="231" t="s">
        <v>1127</v>
      </c>
      <c r="AQ368" s="198">
        <v>19.8</v>
      </c>
      <c r="AR368" s="177"/>
      <c r="AS368" s="222"/>
      <c r="AT368" s="177"/>
      <c r="AU368" s="177"/>
      <c r="AV368" s="62"/>
      <c r="AW368" s="173"/>
      <c r="AX368" s="175"/>
      <c r="AY368" s="176"/>
      <c r="AZ368" s="176"/>
      <c r="BA368" s="171"/>
      <c r="BB368" s="180" t="s">
        <v>89</v>
      </c>
      <c r="BC368" s="172"/>
      <c r="BD368" s="172"/>
      <c r="BE368" s="142"/>
      <c r="BF368" s="171"/>
      <c r="BG368" s="56"/>
      <c r="BH368" s="57"/>
      <c r="BI368" s="170"/>
      <c r="BJ368" s="169"/>
      <c r="BK368" s="181"/>
      <c r="BL368" s="36">
        <f>VLOOKUP($AP368,'[1]V1 V2'!$B$5:$BW$1894,74,0)</f>
        <v>0</v>
      </c>
      <c r="BM368" s="36" t="str">
        <f>IF('[1]V1 V2'!X367="","",'[1]V1 V2'!X367)</f>
        <v/>
      </c>
    </row>
    <row r="369" spans="1:65" ht="16" thickBot="1" x14ac:dyDescent="0.4">
      <c r="A369">
        <v>1</v>
      </c>
      <c r="B369" s="304" t="s">
        <v>1128</v>
      </c>
      <c r="C369" s="305"/>
      <c r="D369" s="306"/>
      <c r="E369" s="36">
        <f>VLOOKUP($B369,'[1]V1 V2'!$B$5:$BW$1894,74,0)</f>
        <v>0</v>
      </c>
      <c r="F369" s="168"/>
      <c r="G369" s="169"/>
      <c r="H369" s="170"/>
      <c r="I369" s="57"/>
      <c r="J369" s="135" t="s">
        <v>127</v>
      </c>
      <c r="K369" s="171"/>
      <c r="L369" s="171">
        <v>5.6</v>
      </c>
      <c r="M369" s="375">
        <v>6</v>
      </c>
      <c r="N369" s="173"/>
      <c r="O369" s="174" t="s">
        <v>1111</v>
      </c>
      <c r="P369" s="171" t="s">
        <v>184</v>
      </c>
      <c r="Q369" s="176"/>
      <c r="R369" s="182" t="s">
        <v>1112</v>
      </c>
      <c r="S369" s="191" t="s">
        <v>184</v>
      </c>
      <c r="T369" s="173" t="s">
        <v>30</v>
      </c>
      <c r="U369" s="62" t="s">
        <v>48</v>
      </c>
      <c r="V369" s="177"/>
      <c r="W369" s="177"/>
      <c r="X369" s="177">
        <v>32214.039000000019</v>
      </c>
      <c r="Y369" s="177">
        <v>2591.0099999999989</v>
      </c>
      <c r="Z369" s="178"/>
      <c r="AA369" s="297" t="s">
        <v>1128</v>
      </c>
      <c r="AB369" s="21" t="s">
        <v>2</v>
      </c>
      <c r="AH369" s="63">
        <v>1</v>
      </c>
      <c r="AO369" s="10" t="s">
        <v>3</v>
      </c>
      <c r="AP369" s="297" t="s">
        <v>1129</v>
      </c>
      <c r="AQ369" s="198"/>
      <c r="AR369" s="177">
        <v>2587.6100000000015</v>
      </c>
      <c r="AS369" s="222">
        <f>AS367-AQ368</f>
        <v>32297.038999999986</v>
      </c>
      <c r="AT369" s="177" t="s">
        <v>1130</v>
      </c>
      <c r="AU369" s="177" t="s">
        <v>1131</v>
      </c>
      <c r="AV369" s="62" t="s">
        <v>48</v>
      </c>
      <c r="AW369" s="173" t="s">
        <v>30</v>
      </c>
      <c r="AX369" s="175" t="s">
        <v>1117</v>
      </c>
      <c r="AY369" s="182" t="s">
        <v>1112</v>
      </c>
      <c r="AZ369" s="221" t="s">
        <v>1031</v>
      </c>
      <c r="BA369" s="171" t="s">
        <v>1008</v>
      </c>
      <c r="BB369" s="180" t="s">
        <v>1111</v>
      </c>
      <c r="BC369" s="172"/>
      <c r="BD369" s="375">
        <v>6</v>
      </c>
      <c r="BE369" s="171">
        <v>5.6</v>
      </c>
      <c r="BF369" s="171"/>
      <c r="BG369" s="183" t="s">
        <v>127</v>
      </c>
      <c r="BH369" s="57"/>
      <c r="BI369" s="170"/>
      <c r="BJ369" s="169"/>
      <c r="BK369" s="181"/>
      <c r="BL369" s="36" t="str">
        <f>VLOOKUP($AP369,'[1]V1 V2'!$B$5:$BW$1894,74,0)</f>
        <v>C.C.1</v>
      </c>
      <c r="BM369" s="36" t="str">
        <f>IF('[1]V1 V2'!X368="","",'[1]V1 V2'!X368)</f>
        <v/>
      </c>
    </row>
    <row r="370" spans="1:65" ht="16" thickBot="1" x14ac:dyDescent="0.4">
      <c r="A370">
        <v>1</v>
      </c>
      <c r="B370" s="304"/>
      <c r="C370" s="305"/>
      <c r="D370" s="306"/>
      <c r="E370" s="36"/>
      <c r="F370" s="168"/>
      <c r="G370" s="169"/>
      <c r="H370" s="170"/>
      <c r="I370" s="57"/>
      <c r="J370" s="135"/>
      <c r="K370" s="171"/>
      <c r="L370" s="142"/>
      <c r="M370" s="172"/>
      <c r="N370" s="173"/>
      <c r="O370" s="174" t="s">
        <v>89</v>
      </c>
      <c r="P370" s="171"/>
      <c r="Q370" s="176"/>
      <c r="R370" s="176"/>
      <c r="S370" s="191"/>
      <c r="T370" s="173"/>
      <c r="U370" s="62"/>
      <c r="V370" s="177"/>
      <c r="W370" s="177"/>
      <c r="X370" s="230"/>
      <c r="Y370" s="177"/>
      <c r="Z370" s="178">
        <v>19.899999999999999</v>
      </c>
      <c r="AA370" s="297"/>
      <c r="AB370" s="21" t="s">
        <v>2</v>
      </c>
      <c r="AH370" s="63">
        <v>1</v>
      </c>
      <c r="AO370" s="10" t="s">
        <v>3</v>
      </c>
      <c r="AP370" s="231"/>
      <c r="AQ370" s="198">
        <v>20</v>
      </c>
      <c r="AR370" s="177"/>
      <c r="AS370" s="222"/>
      <c r="AT370" s="177" t="s">
        <v>89</v>
      </c>
      <c r="AU370" s="177" t="s">
        <v>89</v>
      </c>
      <c r="AV370" s="62"/>
      <c r="AW370" s="173"/>
      <c r="AX370" s="175"/>
      <c r="AY370" s="176"/>
      <c r="AZ370" s="176"/>
      <c r="BA370" s="171"/>
      <c r="BB370" s="180" t="s">
        <v>89</v>
      </c>
      <c r="BC370" s="172"/>
      <c r="BD370" s="375"/>
      <c r="BE370" s="142"/>
      <c r="BF370" s="171"/>
      <c r="BG370" s="56"/>
      <c r="BH370" s="57"/>
      <c r="BI370" s="170"/>
      <c r="BJ370" s="169"/>
      <c r="BK370" s="181"/>
      <c r="BL370" s="36"/>
      <c r="BM370" s="36" t="str">
        <f>IF('[1]V1 V2'!X369="","",'[1]V1 V2'!X369)</f>
        <v/>
      </c>
    </row>
    <row r="371" spans="1:65" ht="16" thickBot="1" x14ac:dyDescent="0.4">
      <c r="A371">
        <v>1</v>
      </c>
      <c r="B371" s="304" t="s">
        <v>1132</v>
      </c>
      <c r="C371" s="305"/>
      <c r="D371" s="306"/>
      <c r="E371" s="36">
        <f>VLOOKUP($B371,'[1]V1 V2'!$B$5:$BW$1894,74,0)</f>
        <v>0</v>
      </c>
      <c r="F371" s="168"/>
      <c r="G371" s="169"/>
      <c r="H371" s="170"/>
      <c r="I371" s="57"/>
      <c r="J371" s="135" t="s">
        <v>127</v>
      </c>
      <c r="K371" s="171"/>
      <c r="L371" s="142">
        <v>5.6</v>
      </c>
      <c r="M371" s="375">
        <v>6</v>
      </c>
      <c r="N371" s="173"/>
      <c r="O371" s="174" t="s">
        <v>1111</v>
      </c>
      <c r="P371" s="171" t="s">
        <v>184</v>
      </c>
      <c r="Q371" s="176"/>
      <c r="R371" s="182" t="s">
        <v>1112</v>
      </c>
      <c r="S371" s="191" t="s">
        <v>184</v>
      </c>
      <c r="T371" s="173" t="s">
        <v>30</v>
      </c>
      <c r="U371" s="62" t="s">
        <v>48</v>
      </c>
      <c r="V371" s="177"/>
      <c r="W371" s="177"/>
      <c r="X371" s="177">
        <v>32194.139000000017</v>
      </c>
      <c r="Y371" s="177">
        <v>2610.9099999999989</v>
      </c>
      <c r="Z371" s="178"/>
      <c r="AA371" s="297" t="s">
        <v>1132</v>
      </c>
      <c r="AB371" s="21" t="s">
        <v>2</v>
      </c>
      <c r="AH371" s="63">
        <v>1</v>
      </c>
      <c r="AO371" s="10" t="s">
        <v>3</v>
      </c>
      <c r="AP371" s="297" t="s">
        <v>1133</v>
      </c>
      <c r="AQ371" s="198"/>
      <c r="AR371" s="177">
        <v>2607.6100000000015</v>
      </c>
      <c r="AS371" s="222">
        <f>AS369-AQ370</f>
        <v>32277.038999999986</v>
      </c>
      <c r="AT371" s="177" t="s">
        <v>1134</v>
      </c>
      <c r="AU371" s="177" t="s">
        <v>1135</v>
      </c>
      <c r="AV371" s="62" t="s">
        <v>48</v>
      </c>
      <c r="AW371" s="173" t="s">
        <v>30</v>
      </c>
      <c r="AX371" s="175" t="s">
        <v>1117</v>
      </c>
      <c r="AY371" s="182" t="s">
        <v>1112</v>
      </c>
      <c r="AZ371" s="221" t="s">
        <v>1031</v>
      </c>
      <c r="BA371" s="171" t="s">
        <v>1008</v>
      </c>
      <c r="BB371" s="180" t="s">
        <v>1111</v>
      </c>
      <c r="BC371" s="172"/>
      <c r="BD371" s="375">
        <v>6</v>
      </c>
      <c r="BE371" s="171">
        <v>5.6</v>
      </c>
      <c r="BF371" s="171"/>
      <c r="BG371" s="183" t="s">
        <v>127</v>
      </c>
      <c r="BH371" s="57"/>
      <c r="BI371" s="170"/>
      <c r="BJ371" s="169"/>
      <c r="BK371" s="181"/>
      <c r="BL371" s="36" t="str">
        <f>VLOOKUP($AP371,'[1]V1 V2'!$B$5:$BW$1894,74,0)</f>
        <v>C.C.1</v>
      </c>
      <c r="BM371" s="36" t="str">
        <f>IF('[1]V1 V2'!X370="","",'[1]V1 V2'!X370)</f>
        <v/>
      </c>
    </row>
    <row r="372" spans="1:65" ht="16" thickBot="1" x14ac:dyDescent="0.4">
      <c r="A372">
        <v>1</v>
      </c>
      <c r="B372" s="304"/>
      <c r="C372" s="305"/>
      <c r="D372" s="306"/>
      <c r="E372" s="36"/>
      <c r="F372" s="168"/>
      <c r="G372" s="169"/>
      <c r="H372" s="170"/>
      <c r="I372" s="57"/>
      <c r="J372" s="135"/>
      <c r="K372" s="171"/>
      <c r="L372" s="142"/>
      <c r="M372" s="172"/>
      <c r="N372" s="173"/>
      <c r="O372" s="174" t="s">
        <v>89</v>
      </c>
      <c r="P372" s="171"/>
      <c r="Q372" s="176"/>
      <c r="R372" s="176"/>
      <c r="S372" s="191"/>
      <c r="T372" s="173"/>
      <c r="U372" s="62"/>
      <c r="V372" s="177"/>
      <c r="W372" s="177"/>
      <c r="X372" s="230"/>
      <c r="Y372" s="177"/>
      <c r="Z372" s="178">
        <v>20.2</v>
      </c>
      <c r="AA372" s="297"/>
      <c r="AB372" s="21" t="s">
        <v>2</v>
      </c>
      <c r="AH372" s="63">
        <v>1</v>
      </c>
      <c r="AO372" s="10" t="s">
        <v>3</v>
      </c>
      <c r="AP372" s="297"/>
      <c r="AQ372" s="178">
        <v>20.399999999999999</v>
      </c>
      <c r="AR372" s="177"/>
      <c r="AS372" s="222"/>
      <c r="AT372" s="177" t="s">
        <v>89</v>
      </c>
      <c r="AU372" s="177" t="s">
        <v>89</v>
      </c>
      <c r="AV372" s="62"/>
      <c r="AW372" s="173"/>
      <c r="AX372" s="175"/>
      <c r="AY372" s="176"/>
      <c r="AZ372" s="176"/>
      <c r="BA372" s="171"/>
      <c r="BB372" s="180" t="s">
        <v>89</v>
      </c>
      <c r="BC372" s="172"/>
      <c r="BD372" s="172"/>
      <c r="BE372" s="142"/>
      <c r="BF372" s="171"/>
      <c r="BG372" s="56"/>
      <c r="BH372" s="57"/>
      <c r="BI372" s="170"/>
      <c r="BJ372" s="169"/>
      <c r="BK372" s="181"/>
      <c r="BL372" s="36"/>
      <c r="BM372" s="36" t="str">
        <f>IF('[1]V1 V2'!X371="","",'[1]V1 V2'!X371)</f>
        <v/>
      </c>
    </row>
    <row r="373" spans="1:65" ht="16" thickBot="1" x14ac:dyDescent="0.4">
      <c r="A373">
        <v>1</v>
      </c>
      <c r="B373" s="304" t="s">
        <v>1136</v>
      </c>
      <c r="C373" s="305"/>
      <c r="D373" s="306"/>
      <c r="E373" s="36">
        <f>VLOOKUP($B373,'[1]V1 V2'!$B$5:$BW$1894,74,0)</f>
        <v>0</v>
      </c>
      <c r="F373" s="168"/>
      <c r="G373" s="169"/>
      <c r="H373" s="170"/>
      <c r="I373" s="57"/>
      <c r="J373" s="135" t="s">
        <v>127</v>
      </c>
      <c r="K373" s="171"/>
      <c r="L373" s="171">
        <v>5.6</v>
      </c>
      <c r="M373" s="375">
        <v>6</v>
      </c>
      <c r="N373" s="173"/>
      <c r="O373" s="174" t="s">
        <v>1111</v>
      </c>
      <c r="P373" s="171" t="s">
        <v>184</v>
      </c>
      <c r="Q373" s="176"/>
      <c r="R373" s="182" t="s">
        <v>1112</v>
      </c>
      <c r="S373" s="191" t="s">
        <v>184</v>
      </c>
      <c r="T373" s="173" t="s">
        <v>30</v>
      </c>
      <c r="U373" s="62">
        <v>-310</v>
      </c>
      <c r="V373" s="177"/>
      <c r="W373" s="177"/>
      <c r="X373" s="177">
        <v>32173.939000000017</v>
      </c>
      <c r="Y373" s="177">
        <v>2631.1099999999988</v>
      </c>
      <c r="Z373" s="178"/>
      <c r="AA373" s="297" t="s">
        <v>1136</v>
      </c>
      <c r="AB373" s="21" t="s">
        <v>2</v>
      </c>
      <c r="AH373" s="63">
        <v>1</v>
      </c>
      <c r="AO373" s="10" t="s">
        <v>3</v>
      </c>
      <c r="AP373" s="297" t="s">
        <v>1137</v>
      </c>
      <c r="AQ373" s="178"/>
      <c r="AR373" s="177">
        <v>2628.0100000000016</v>
      </c>
      <c r="AS373" s="222">
        <f>AS371-AQ372</f>
        <v>32256.638999999985</v>
      </c>
      <c r="AT373" s="177" t="s">
        <v>1138</v>
      </c>
      <c r="AU373" s="177" t="s">
        <v>1139</v>
      </c>
      <c r="AV373" s="62">
        <v>-310</v>
      </c>
      <c r="AW373" s="173" t="s">
        <v>30</v>
      </c>
      <c r="AX373" s="175" t="s">
        <v>1117</v>
      </c>
      <c r="AY373" s="182" t="s">
        <v>1112</v>
      </c>
      <c r="AZ373" s="221" t="s">
        <v>1031</v>
      </c>
      <c r="BA373" s="171" t="s">
        <v>1008</v>
      </c>
      <c r="BB373" s="180" t="s">
        <v>1111</v>
      </c>
      <c r="BC373" s="172"/>
      <c r="BD373" s="375">
        <v>6</v>
      </c>
      <c r="BE373" s="171">
        <v>5.6</v>
      </c>
      <c r="BF373" s="171"/>
      <c r="BG373" s="183" t="s">
        <v>127</v>
      </c>
      <c r="BH373" s="57"/>
      <c r="BI373" s="170"/>
      <c r="BJ373" s="169"/>
      <c r="BK373" s="181"/>
      <c r="BL373" s="36" t="str">
        <f>VLOOKUP($AP373,'[1]V1 V2'!$B$5:$BW$1894,74,0)</f>
        <v>C.C.1</v>
      </c>
      <c r="BM373" s="36" t="str">
        <f>IF('[1]V1 V2'!X372="","",'[1]V1 V2'!X372)</f>
        <v/>
      </c>
    </row>
    <row r="374" spans="1:65" ht="16" thickBot="1" x14ac:dyDescent="0.4">
      <c r="A374">
        <v>1</v>
      </c>
      <c r="B374" s="304"/>
      <c r="C374" s="305"/>
      <c r="D374" s="306"/>
      <c r="E374" s="36"/>
      <c r="F374" s="168"/>
      <c r="G374" s="169"/>
      <c r="H374" s="170"/>
      <c r="I374" s="57"/>
      <c r="J374" s="135"/>
      <c r="K374" s="171"/>
      <c r="L374" s="142"/>
      <c r="M374" s="172"/>
      <c r="N374" s="173"/>
      <c r="O374" s="174" t="s">
        <v>89</v>
      </c>
      <c r="P374" s="171"/>
      <c r="Q374" s="176"/>
      <c r="R374" s="176"/>
      <c r="S374" s="191"/>
      <c r="T374" s="173"/>
      <c r="U374" s="62"/>
      <c r="V374" s="177"/>
      <c r="W374" s="177"/>
      <c r="X374" s="230"/>
      <c r="Y374" s="177"/>
      <c r="Z374" s="178">
        <v>20</v>
      </c>
      <c r="AA374" s="297"/>
      <c r="AB374" s="21" t="s">
        <v>2</v>
      </c>
      <c r="AH374" s="63">
        <v>1</v>
      </c>
      <c r="AO374" s="10" t="s">
        <v>3</v>
      </c>
      <c r="AP374" s="297"/>
      <c r="AQ374" s="178">
        <v>20.2</v>
      </c>
      <c r="AR374" s="177"/>
      <c r="AS374" s="222"/>
      <c r="AT374" s="177" t="s">
        <v>89</v>
      </c>
      <c r="AU374" s="177" t="s">
        <v>89</v>
      </c>
      <c r="AV374" s="62"/>
      <c r="AW374" s="173"/>
      <c r="AX374" s="175"/>
      <c r="AY374" s="176"/>
      <c r="AZ374" s="176"/>
      <c r="BA374" s="171"/>
      <c r="BB374" s="180" t="s">
        <v>89</v>
      </c>
      <c r="BC374" s="172"/>
      <c r="BD374" s="172"/>
      <c r="BE374" s="142"/>
      <c r="BF374" s="171"/>
      <c r="BG374" s="56"/>
      <c r="BH374" s="57"/>
      <c r="BI374" s="170"/>
      <c r="BJ374" s="169"/>
      <c r="BK374" s="181"/>
      <c r="BL374" s="36"/>
      <c r="BM374" s="36" t="str">
        <f>IF('[1]V1 V2'!X373="","",'[1]V1 V2'!X373)</f>
        <v/>
      </c>
    </row>
    <row r="375" spans="1:65" ht="16" thickBot="1" x14ac:dyDescent="0.4">
      <c r="A375">
        <v>1</v>
      </c>
      <c r="B375" s="304" t="s">
        <v>1140</v>
      </c>
      <c r="C375" s="305"/>
      <c r="D375" s="306"/>
      <c r="E375" s="36">
        <f>VLOOKUP($B375,'[1]V1 V2'!$B$5:$BW$1894,74,0)</f>
        <v>0</v>
      </c>
      <c r="F375" s="168"/>
      <c r="G375" s="169"/>
      <c r="H375" s="170"/>
      <c r="I375" s="57"/>
      <c r="J375" s="135" t="s">
        <v>127</v>
      </c>
      <c r="K375" s="171"/>
      <c r="L375" s="142">
        <v>5.6</v>
      </c>
      <c r="M375" s="375">
        <v>6</v>
      </c>
      <c r="N375" s="173"/>
      <c r="O375" s="174" t="s">
        <v>1111</v>
      </c>
      <c r="P375" s="171" t="s">
        <v>184</v>
      </c>
      <c r="Q375" s="176"/>
      <c r="R375" s="182" t="s">
        <v>1112</v>
      </c>
      <c r="S375" s="191" t="s">
        <v>184</v>
      </c>
      <c r="T375" s="173" t="s">
        <v>30</v>
      </c>
      <c r="U375" s="62">
        <v>-310</v>
      </c>
      <c r="V375" s="177"/>
      <c r="W375" s="177"/>
      <c r="X375" s="177">
        <v>32153.939000000017</v>
      </c>
      <c r="Y375" s="177">
        <v>2651.1099999999988</v>
      </c>
      <c r="Z375" s="178"/>
      <c r="AA375" s="297" t="s">
        <v>1140</v>
      </c>
      <c r="AB375" s="21" t="s">
        <v>2</v>
      </c>
      <c r="AH375" s="63">
        <v>1</v>
      </c>
      <c r="AO375" s="10" t="s">
        <v>3</v>
      </c>
      <c r="AP375" s="297" t="s">
        <v>1141</v>
      </c>
      <c r="AQ375" s="178"/>
      <c r="AR375" s="177">
        <v>2648.2100000000014</v>
      </c>
      <c r="AS375" s="222">
        <f>AS373-AQ374</f>
        <v>32236.438999999984</v>
      </c>
      <c r="AT375" s="177" t="s">
        <v>1142</v>
      </c>
      <c r="AU375" s="177" t="s">
        <v>1143</v>
      </c>
      <c r="AV375" s="62">
        <v>-310</v>
      </c>
      <c r="AW375" s="173" t="s">
        <v>30</v>
      </c>
      <c r="AX375" s="175" t="s">
        <v>1117</v>
      </c>
      <c r="AY375" s="182" t="s">
        <v>1112</v>
      </c>
      <c r="AZ375" s="221" t="s">
        <v>1031</v>
      </c>
      <c r="BA375" s="171" t="s">
        <v>1008</v>
      </c>
      <c r="BB375" s="180" t="s">
        <v>1111</v>
      </c>
      <c r="BC375" s="172"/>
      <c r="BD375" s="375">
        <v>6</v>
      </c>
      <c r="BE375" s="171">
        <v>5.6</v>
      </c>
      <c r="BF375" s="171"/>
      <c r="BG375" s="183" t="s">
        <v>127</v>
      </c>
      <c r="BH375" s="57"/>
      <c r="BI375" s="170"/>
      <c r="BJ375" s="169"/>
      <c r="BK375" s="181"/>
      <c r="BL375" s="36" t="str">
        <f>VLOOKUP($AP375,'[1]V1 V2'!$B$5:$BW$1894,74,0)</f>
        <v>C.C.1</v>
      </c>
      <c r="BM375" s="36" t="str">
        <f>IF('[1]V1 V2'!X374="","",'[1]V1 V2'!X374)</f>
        <v/>
      </c>
    </row>
    <row r="376" spans="1:65" ht="16" thickBot="1" x14ac:dyDescent="0.4">
      <c r="A376">
        <v>1</v>
      </c>
      <c r="B376" s="304"/>
      <c r="C376" s="305"/>
      <c r="D376" s="306"/>
      <c r="E376" s="36"/>
      <c r="F376" s="168"/>
      <c r="G376" s="169"/>
      <c r="H376" s="170"/>
      <c r="I376" s="57"/>
      <c r="J376" s="135"/>
      <c r="K376" s="171"/>
      <c r="L376" s="142"/>
      <c r="M376" s="172"/>
      <c r="N376" s="173"/>
      <c r="O376" s="174" t="s">
        <v>89</v>
      </c>
      <c r="P376" s="171"/>
      <c r="Q376" s="176"/>
      <c r="R376" s="176"/>
      <c r="S376" s="191"/>
      <c r="T376" s="173"/>
      <c r="U376" s="62"/>
      <c r="V376" s="177"/>
      <c r="W376" s="177"/>
      <c r="X376" s="230"/>
      <c r="Y376" s="177"/>
      <c r="Z376" s="178">
        <v>19.5</v>
      </c>
      <c r="AA376" s="297"/>
      <c r="AB376" s="21" t="s">
        <v>2</v>
      </c>
      <c r="AH376" s="63">
        <v>1</v>
      </c>
      <c r="AO376" s="10" t="s">
        <v>3</v>
      </c>
      <c r="AP376" s="297"/>
      <c r="AQ376" s="178">
        <v>19.7</v>
      </c>
      <c r="AR376" s="177"/>
      <c r="AS376" s="222"/>
      <c r="AT376" s="177" t="s">
        <v>89</v>
      </c>
      <c r="AU376" s="177" t="s">
        <v>89</v>
      </c>
      <c r="AV376" s="62"/>
      <c r="AW376" s="173"/>
      <c r="AX376" s="175"/>
      <c r="AY376" s="176"/>
      <c r="AZ376" s="176"/>
      <c r="BA376" s="171"/>
      <c r="BB376" s="180" t="s">
        <v>89</v>
      </c>
      <c r="BC376" s="172"/>
      <c r="BD376" s="172"/>
      <c r="BE376" s="142"/>
      <c r="BF376" s="171"/>
      <c r="BG376" s="56"/>
      <c r="BH376" s="57"/>
      <c r="BI376" s="170"/>
      <c r="BJ376" s="169"/>
      <c r="BK376" s="181"/>
      <c r="BL376" s="36"/>
      <c r="BM376" s="36" t="str">
        <f>IF('[1]V1 V2'!X375="","",'[1]V1 V2'!X375)</f>
        <v/>
      </c>
    </row>
    <row r="377" spans="1:65" ht="16" thickBot="1" x14ac:dyDescent="0.4">
      <c r="A377">
        <v>1</v>
      </c>
      <c r="B377" s="304" t="s">
        <v>1144</v>
      </c>
      <c r="C377" s="305"/>
      <c r="D377" s="306"/>
      <c r="E377" s="36">
        <f>VLOOKUP($B377,'[1]V1 V2'!$B$5:$BW$1894,74,0)</f>
        <v>0</v>
      </c>
      <c r="F377" s="168"/>
      <c r="G377" s="169"/>
      <c r="H377" s="170"/>
      <c r="I377" s="57"/>
      <c r="J377" s="135" t="s">
        <v>127</v>
      </c>
      <c r="K377" s="171"/>
      <c r="L377" s="171">
        <v>5.6</v>
      </c>
      <c r="M377" s="375">
        <v>6</v>
      </c>
      <c r="N377" s="173"/>
      <c r="O377" s="174" t="s">
        <v>1111</v>
      </c>
      <c r="P377" s="171" t="s">
        <v>184</v>
      </c>
      <c r="Q377" s="176"/>
      <c r="R377" s="182" t="s">
        <v>1112</v>
      </c>
      <c r="S377" s="191" t="s">
        <v>184</v>
      </c>
      <c r="T377" s="173" t="s">
        <v>30</v>
      </c>
      <c r="U377" s="62">
        <v>-310</v>
      </c>
      <c r="V377" s="177"/>
      <c r="W377" s="177"/>
      <c r="X377" s="177">
        <v>32134.439000000017</v>
      </c>
      <c r="Y377" s="177">
        <v>2670.6099999999988</v>
      </c>
      <c r="Z377" s="178"/>
      <c r="AA377" s="297" t="s">
        <v>1144</v>
      </c>
      <c r="AB377" s="21" t="s">
        <v>2</v>
      </c>
      <c r="AH377" s="63">
        <v>1</v>
      </c>
      <c r="AO377" s="10" t="s">
        <v>3</v>
      </c>
      <c r="AP377" s="297" t="s">
        <v>1145</v>
      </c>
      <c r="AQ377" s="178"/>
      <c r="AR377" s="177">
        <v>2667.9100000000012</v>
      </c>
      <c r="AS377" s="222">
        <f>AS375-AQ376</f>
        <v>32216.738999999983</v>
      </c>
      <c r="AT377" s="177" t="s">
        <v>1146</v>
      </c>
      <c r="AU377" s="177" t="s">
        <v>1147</v>
      </c>
      <c r="AV377" s="62">
        <v>-310</v>
      </c>
      <c r="AW377" s="173" t="s">
        <v>30</v>
      </c>
      <c r="AX377" s="175" t="s">
        <v>1117</v>
      </c>
      <c r="AY377" s="182" t="s">
        <v>1112</v>
      </c>
      <c r="AZ377" s="221" t="s">
        <v>1031</v>
      </c>
      <c r="BA377" s="171" t="s">
        <v>1008</v>
      </c>
      <c r="BB377" s="180" t="s">
        <v>1111</v>
      </c>
      <c r="BC377" s="172"/>
      <c r="BD377" s="375">
        <v>6</v>
      </c>
      <c r="BE377" s="171">
        <v>5.6</v>
      </c>
      <c r="BF377" s="171"/>
      <c r="BG377" s="183" t="s">
        <v>127</v>
      </c>
      <c r="BH377" s="57"/>
      <c r="BI377" s="170"/>
      <c r="BJ377" s="169"/>
      <c r="BK377" s="181"/>
      <c r="BL377" s="36" t="str">
        <f>VLOOKUP($AP377,'[1]V1 V2'!$B$5:$BW$1894,74,0)</f>
        <v>C.C.1</v>
      </c>
      <c r="BM377" s="36" t="str">
        <f>IF('[1]V1 V2'!X376="","",'[1]V1 V2'!X376)</f>
        <v/>
      </c>
    </row>
    <row r="378" spans="1:65" ht="16" thickBot="1" x14ac:dyDescent="0.4">
      <c r="A378">
        <v>1</v>
      </c>
      <c r="B378" s="304"/>
      <c r="C378" s="305"/>
      <c r="D378" s="306"/>
      <c r="E378" s="36"/>
      <c r="F378" s="168"/>
      <c r="G378" s="169"/>
      <c r="H378" s="170"/>
      <c r="I378" s="57"/>
      <c r="J378" s="135"/>
      <c r="K378" s="171"/>
      <c r="L378" s="142"/>
      <c r="M378" s="172"/>
      <c r="N378" s="173"/>
      <c r="O378" s="174" t="s">
        <v>89</v>
      </c>
      <c r="P378" s="171"/>
      <c r="Q378" s="176"/>
      <c r="R378" s="176"/>
      <c r="S378" s="191"/>
      <c r="T378" s="173"/>
      <c r="U378" s="62"/>
      <c r="V378" s="177"/>
      <c r="W378" s="177"/>
      <c r="X378" s="230"/>
      <c r="Y378" s="177"/>
      <c r="Z378" s="178">
        <v>19.600000000000001</v>
      </c>
      <c r="AA378" s="297"/>
      <c r="AB378" s="21" t="s">
        <v>2</v>
      </c>
      <c r="AH378" s="63">
        <v>1</v>
      </c>
      <c r="AO378" s="10" t="s">
        <v>3</v>
      </c>
      <c r="AP378" s="297"/>
      <c r="AQ378" s="178">
        <v>19.8</v>
      </c>
      <c r="AR378" s="177"/>
      <c r="AS378" s="222"/>
      <c r="AT378" s="177" t="s">
        <v>89</v>
      </c>
      <c r="AU378" s="177" t="s">
        <v>89</v>
      </c>
      <c r="AV378" s="62"/>
      <c r="AW378" s="173"/>
      <c r="AX378" s="175"/>
      <c r="AY378" s="176"/>
      <c r="AZ378" s="176"/>
      <c r="BA378" s="171"/>
      <c r="BB378" s="180" t="s">
        <v>89</v>
      </c>
      <c r="BC378" s="172"/>
      <c r="BD378" s="172"/>
      <c r="BE378" s="142"/>
      <c r="BF378" s="171"/>
      <c r="BG378" s="56"/>
      <c r="BH378" s="57"/>
      <c r="BI378" s="170"/>
      <c r="BJ378" s="169"/>
      <c r="BK378" s="181"/>
      <c r="BL378" s="36"/>
      <c r="BM378" s="36" t="str">
        <f>IF('[1]V1 V2'!X377="","",'[1]V1 V2'!X377)</f>
        <v/>
      </c>
    </row>
    <row r="379" spans="1:65" ht="16" thickBot="1" x14ac:dyDescent="0.4">
      <c r="A379">
        <v>1</v>
      </c>
      <c r="B379" s="304" t="s">
        <v>1148</v>
      </c>
      <c r="C379" s="305"/>
      <c r="D379" s="306"/>
      <c r="E379" s="36">
        <f>VLOOKUP($B379,'[1]V1 V2'!$B$5:$BW$1894,74,0)</f>
        <v>0</v>
      </c>
      <c r="F379" s="168"/>
      <c r="G379" s="169"/>
      <c r="H379" s="170"/>
      <c r="I379" s="57"/>
      <c r="J379" s="135" t="s">
        <v>127</v>
      </c>
      <c r="K379" s="171"/>
      <c r="L379" s="142">
        <v>5.6</v>
      </c>
      <c r="M379" s="375">
        <v>6</v>
      </c>
      <c r="N379" s="173"/>
      <c r="O379" s="174" t="s">
        <v>1111</v>
      </c>
      <c r="P379" s="171" t="s">
        <v>184</v>
      </c>
      <c r="Q379" s="176"/>
      <c r="R379" s="182" t="s">
        <v>1112</v>
      </c>
      <c r="S379" s="191" t="s">
        <v>184</v>
      </c>
      <c r="T379" s="173" t="s">
        <v>30</v>
      </c>
      <c r="U379" s="62">
        <v>-310</v>
      </c>
      <c r="V379" s="177"/>
      <c r="W379" s="177"/>
      <c r="X379" s="177">
        <v>32114.839000000018</v>
      </c>
      <c r="Y379" s="177">
        <v>2690.2099999999987</v>
      </c>
      <c r="Z379" s="178"/>
      <c r="AA379" s="297" t="s">
        <v>1148</v>
      </c>
      <c r="AB379" s="21" t="s">
        <v>2</v>
      </c>
      <c r="AH379" s="63">
        <v>1</v>
      </c>
      <c r="AO379" s="10" t="s">
        <v>3</v>
      </c>
      <c r="AP379" s="297" t="s">
        <v>1149</v>
      </c>
      <c r="AQ379" s="178"/>
      <c r="AR379" s="177">
        <v>2687.7100000000014</v>
      </c>
      <c r="AS379" s="222">
        <f>AS377-AQ378</f>
        <v>32196.938999999984</v>
      </c>
      <c r="AT379" s="177" t="s">
        <v>1150</v>
      </c>
      <c r="AU379" s="177" t="s">
        <v>1151</v>
      </c>
      <c r="AV379" s="62">
        <v>-310</v>
      </c>
      <c r="AW379" s="173" t="s">
        <v>30</v>
      </c>
      <c r="AX379" s="175" t="s">
        <v>1117</v>
      </c>
      <c r="AY379" s="182" t="s">
        <v>1112</v>
      </c>
      <c r="AZ379" s="221" t="s">
        <v>1031</v>
      </c>
      <c r="BA379" s="171" t="s">
        <v>1008</v>
      </c>
      <c r="BB379" s="180" t="s">
        <v>1111</v>
      </c>
      <c r="BC379" s="172"/>
      <c r="BD379" s="375">
        <v>6</v>
      </c>
      <c r="BE379" s="171">
        <v>5.6</v>
      </c>
      <c r="BF379" s="171"/>
      <c r="BG379" s="183" t="s">
        <v>127</v>
      </c>
      <c r="BH379" s="57"/>
      <c r="BI379" s="170"/>
      <c r="BJ379" s="169"/>
      <c r="BK379" s="181"/>
      <c r="BL379" s="36" t="str">
        <f>VLOOKUP($AP379,'[1]V1 V2'!$B$5:$BW$1894,74,0)</f>
        <v>C.C.1</v>
      </c>
      <c r="BM379" s="36" t="str">
        <f>IF('[1]V1 V2'!X378="","",'[1]V1 V2'!X378)</f>
        <v/>
      </c>
    </row>
    <row r="380" spans="1:65" ht="16" thickBot="1" x14ac:dyDescent="0.4">
      <c r="A380">
        <v>1</v>
      </c>
      <c r="B380" s="304"/>
      <c r="C380" s="305"/>
      <c r="D380" s="306"/>
      <c r="E380" s="36"/>
      <c r="F380" s="168"/>
      <c r="G380" s="169"/>
      <c r="H380" s="170"/>
      <c r="I380" s="57"/>
      <c r="J380" s="135"/>
      <c r="K380" s="171"/>
      <c r="L380" s="142"/>
      <c r="M380" s="172"/>
      <c r="N380" s="173"/>
      <c r="O380" s="174" t="s">
        <v>89</v>
      </c>
      <c r="P380" s="171"/>
      <c r="Q380" s="176"/>
      <c r="R380" s="176"/>
      <c r="S380" s="191"/>
      <c r="T380" s="173"/>
      <c r="U380" s="62"/>
      <c r="V380" s="177"/>
      <c r="W380" s="177"/>
      <c r="X380" s="230"/>
      <c r="Y380" s="177"/>
      <c r="Z380" s="178">
        <v>20.3</v>
      </c>
      <c r="AA380" s="297"/>
      <c r="AB380" s="21" t="s">
        <v>2</v>
      </c>
      <c r="AH380" s="63">
        <v>1</v>
      </c>
      <c r="AO380" s="10" t="s">
        <v>3</v>
      </c>
      <c r="AP380" s="297"/>
      <c r="AQ380" s="178">
        <v>20.5</v>
      </c>
      <c r="AR380" s="177"/>
      <c r="AS380" s="222"/>
      <c r="AT380" s="177" t="s">
        <v>89</v>
      </c>
      <c r="AU380" s="177" t="s">
        <v>89</v>
      </c>
      <c r="AV380" s="62"/>
      <c r="AW380" s="173"/>
      <c r="AX380" s="175"/>
      <c r="AY380" s="176"/>
      <c r="AZ380" s="176"/>
      <c r="BA380" s="171"/>
      <c r="BB380" s="180" t="s">
        <v>89</v>
      </c>
      <c r="BC380" s="172"/>
      <c r="BD380" s="172"/>
      <c r="BE380" s="142"/>
      <c r="BF380" s="171"/>
      <c r="BG380" s="56"/>
      <c r="BH380" s="57"/>
      <c r="BI380" s="170"/>
      <c r="BJ380" s="169"/>
      <c r="BK380" s="181"/>
      <c r="BL380" s="36"/>
      <c r="BM380" s="36" t="str">
        <f>IF('[1]V1 V2'!X379="","",'[1]V1 V2'!X379)</f>
        <v/>
      </c>
    </row>
    <row r="381" spans="1:65" ht="16" thickBot="1" x14ac:dyDescent="0.4">
      <c r="A381">
        <v>1</v>
      </c>
      <c r="B381" s="304" t="s">
        <v>1152</v>
      </c>
      <c r="C381" s="305"/>
      <c r="D381" s="306"/>
      <c r="E381" s="36">
        <f>VLOOKUP($B381,'[1]V1 V2'!$B$5:$BW$1894,74,0)</f>
        <v>0</v>
      </c>
      <c r="F381" s="168"/>
      <c r="G381" s="169"/>
      <c r="H381" s="170"/>
      <c r="I381" s="57"/>
      <c r="J381" s="135" t="s">
        <v>127</v>
      </c>
      <c r="K381" s="171"/>
      <c r="L381" s="171">
        <v>5.6</v>
      </c>
      <c r="M381" s="375">
        <v>6</v>
      </c>
      <c r="N381" s="173"/>
      <c r="O381" s="174" t="s">
        <v>1111</v>
      </c>
      <c r="P381" s="171" t="s">
        <v>184</v>
      </c>
      <c r="Q381" s="176"/>
      <c r="R381" s="182" t="s">
        <v>1112</v>
      </c>
      <c r="S381" s="191" t="s">
        <v>184</v>
      </c>
      <c r="T381" s="173" t="s">
        <v>30</v>
      </c>
      <c r="U381" s="62">
        <v>-310</v>
      </c>
      <c r="V381" s="177"/>
      <c r="W381" s="177"/>
      <c r="X381" s="177">
        <v>32094.539000000019</v>
      </c>
      <c r="Y381" s="177">
        <v>2710.5099999999989</v>
      </c>
      <c r="Z381" s="178"/>
      <c r="AA381" s="297" t="s">
        <v>1152</v>
      </c>
      <c r="AB381" s="21" t="s">
        <v>2</v>
      </c>
      <c r="AH381" s="63">
        <v>1</v>
      </c>
      <c r="AO381" s="10" t="s">
        <v>3</v>
      </c>
      <c r="AP381" s="297" t="s">
        <v>1153</v>
      </c>
      <c r="AQ381" s="178"/>
      <c r="AR381" s="177">
        <v>2708.2100000000014</v>
      </c>
      <c r="AS381" s="222">
        <f>AS379-AQ380</f>
        <v>32176.438999999984</v>
      </c>
      <c r="AT381" s="177" t="s">
        <v>1154</v>
      </c>
      <c r="AU381" s="177" t="s">
        <v>1155</v>
      </c>
      <c r="AV381" s="62">
        <v>-310</v>
      </c>
      <c r="AW381" s="173" t="s">
        <v>30</v>
      </c>
      <c r="AX381" s="175" t="s">
        <v>1117</v>
      </c>
      <c r="AY381" s="182" t="s">
        <v>1112</v>
      </c>
      <c r="AZ381" s="221" t="s">
        <v>1031</v>
      </c>
      <c r="BA381" s="171" t="s">
        <v>1008</v>
      </c>
      <c r="BB381" s="180" t="s">
        <v>1111</v>
      </c>
      <c r="BC381" s="172"/>
      <c r="BD381" s="375">
        <v>6</v>
      </c>
      <c r="BE381" s="171">
        <v>5.6</v>
      </c>
      <c r="BF381" s="171"/>
      <c r="BG381" s="183" t="s">
        <v>127</v>
      </c>
      <c r="BH381" s="57"/>
      <c r="BI381" s="170"/>
      <c r="BJ381" s="169"/>
      <c r="BK381" s="181"/>
      <c r="BL381" s="36" t="str">
        <f>VLOOKUP($AP381,'[1]V1 V2'!$B$5:$BW$1894,74,0)</f>
        <v>C.C.1</v>
      </c>
      <c r="BM381" s="36" t="str">
        <f>IF('[1]V1 V2'!X380="","",'[1]V1 V2'!X380)</f>
        <v/>
      </c>
    </row>
    <row r="382" spans="1:65" ht="16" thickBot="1" x14ac:dyDescent="0.4">
      <c r="A382">
        <v>1</v>
      </c>
      <c r="B382" s="304"/>
      <c r="C382" s="305"/>
      <c r="D382" s="306"/>
      <c r="E382" s="36"/>
      <c r="F382" s="168"/>
      <c r="G382" s="169"/>
      <c r="H382" s="170"/>
      <c r="I382" s="57"/>
      <c r="J382" s="135"/>
      <c r="K382" s="171"/>
      <c r="L382" s="142"/>
      <c r="M382" s="172"/>
      <c r="N382" s="173"/>
      <c r="O382" s="174" t="s">
        <v>89</v>
      </c>
      <c r="P382" s="171"/>
      <c r="Q382" s="176"/>
      <c r="R382" s="176"/>
      <c r="S382" s="191"/>
      <c r="T382" s="173"/>
      <c r="U382" s="62"/>
      <c r="V382" s="177"/>
      <c r="W382" s="177"/>
      <c r="X382" s="230"/>
      <c r="Y382" s="177"/>
      <c r="Z382" s="178">
        <v>19.899999999999999</v>
      </c>
      <c r="AA382" s="297"/>
      <c r="AB382" s="21" t="s">
        <v>2</v>
      </c>
      <c r="AH382" s="63">
        <v>1</v>
      </c>
      <c r="AO382" s="10" t="s">
        <v>3</v>
      </c>
      <c r="AP382" s="297"/>
      <c r="AQ382" s="178">
        <v>20.100000000000001</v>
      </c>
      <c r="AR382" s="177"/>
      <c r="AS382" s="222"/>
      <c r="AT382" s="177" t="s">
        <v>89</v>
      </c>
      <c r="AU382" s="177" t="s">
        <v>89</v>
      </c>
      <c r="AV382" s="62"/>
      <c r="AW382" s="173"/>
      <c r="AX382" s="175"/>
      <c r="AY382" s="176"/>
      <c r="AZ382" s="176"/>
      <c r="BA382" s="171"/>
      <c r="BB382" s="180" t="s">
        <v>89</v>
      </c>
      <c r="BC382" s="172"/>
      <c r="BD382" s="172"/>
      <c r="BE382" s="142"/>
      <c r="BF382" s="171"/>
      <c r="BG382" s="56"/>
      <c r="BH382" s="57"/>
      <c r="BI382" s="170"/>
      <c r="BJ382" s="169"/>
      <c r="BK382" s="181"/>
      <c r="BL382" s="36"/>
      <c r="BM382" s="36" t="str">
        <f>IF('[1]V1 V2'!X381="","",'[1]V1 V2'!X381)</f>
        <v/>
      </c>
    </row>
    <row r="383" spans="1:65" ht="16" thickBot="1" x14ac:dyDescent="0.4">
      <c r="A383">
        <v>1</v>
      </c>
      <c r="B383" s="304" t="s">
        <v>1156</v>
      </c>
      <c r="C383" s="305"/>
      <c r="D383" s="306"/>
      <c r="E383" s="36">
        <f>VLOOKUP($B383,'[1]V1 V2'!$B$5:$BW$1894,74,0)</f>
        <v>0</v>
      </c>
      <c r="F383" s="168"/>
      <c r="G383" s="169"/>
      <c r="H383" s="170"/>
      <c r="I383" s="57"/>
      <c r="J383" s="135" t="s">
        <v>127</v>
      </c>
      <c r="K383" s="171"/>
      <c r="L383" s="142">
        <v>5.6</v>
      </c>
      <c r="M383" s="375">
        <v>6</v>
      </c>
      <c r="N383" s="173"/>
      <c r="O383" s="174" t="s">
        <v>1111</v>
      </c>
      <c r="P383" s="171" t="s">
        <v>184</v>
      </c>
      <c r="Q383" s="176"/>
      <c r="R383" s="182" t="s">
        <v>1112</v>
      </c>
      <c r="S383" s="191" t="s">
        <v>184</v>
      </c>
      <c r="T383" s="173" t="s">
        <v>30</v>
      </c>
      <c r="U383" s="62">
        <v>-310</v>
      </c>
      <c r="V383" s="177"/>
      <c r="W383" s="177"/>
      <c r="X383" s="177">
        <v>32074.639000000017</v>
      </c>
      <c r="Y383" s="177">
        <v>2730.4099999999989</v>
      </c>
      <c r="Z383" s="178"/>
      <c r="AA383" s="297" t="s">
        <v>1156</v>
      </c>
      <c r="AB383" s="21" t="s">
        <v>2</v>
      </c>
      <c r="AH383" s="63">
        <v>1</v>
      </c>
      <c r="AO383" s="10" t="s">
        <v>3</v>
      </c>
      <c r="AP383" s="297" t="s">
        <v>1157</v>
      </c>
      <c r="AQ383" s="178"/>
      <c r="AR383" s="177">
        <v>2728.3100000000013</v>
      </c>
      <c r="AS383" s="222">
        <f>AS381-AQ382</f>
        <v>32156.338999999985</v>
      </c>
      <c r="AT383" s="177" t="s">
        <v>1158</v>
      </c>
      <c r="AU383" s="177" t="s">
        <v>1159</v>
      </c>
      <c r="AV383" s="62">
        <v>-310</v>
      </c>
      <c r="AW383" s="173" t="s">
        <v>30</v>
      </c>
      <c r="AX383" s="175" t="s">
        <v>1117</v>
      </c>
      <c r="AY383" s="182" t="s">
        <v>1112</v>
      </c>
      <c r="AZ383" s="221" t="s">
        <v>1031</v>
      </c>
      <c r="BA383" s="171" t="s">
        <v>1008</v>
      </c>
      <c r="BB383" s="180" t="s">
        <v>1111</v>
      </c>
      <c r="BC383" s="172"/>
      <c r="BD383" s="375">
        <v>6</v>
      </c>
      <c r="BE383" s="171">
        <v>5.6</v>
      </c>
      <c r="BF383" s="171"/>
      <c r="BG383" s="183" t="s">
        <v>127</v>
      </c>
      <c r="BH383" s="57"/>
      <c r="BI383" s="170"/>
      <c r="BJ383" s="169"/>
      <c r="BK383" s="181"/>
      <c r="BL383" s="36" t="str">
        <f>VLOOKUP($AP383,'[1]V1 V2'!$B$5:$BW$1894,74,0)</f>
        <v>C.C.1</v>
      </c>
      <c r="BM383" s="36" t="str">
        <f>IF('[1]V1 V2'!X382="","",'[1]V1 V2'!X382)</f>
        <v/>
      </c>
    </row>
    <row r="384" spans="1:65" ht="16" thickBot="1" x14ac:dyDescent="0.4">
      <c r="A384">
        <v>1</v>
      </c>
      <c r="B384" s="304"/>
      <c r="C384" s="305"/>
      <c r="D384" s="306"/>
      <c r="E384" s="36"/>
      <c r="F384" s="168"/>
      <c r="G384" s="169"/>
      <c r="H384" s="170"/>
      <c r="I384" s="57"/>
      <c r="J384" s="135"/>
      <c r="K384" s="171"/>
      <c r="L384" s="142"/>
      <c r="M384" s="172"/>
      <c r="N384" s="173"/>
      <c r="O384" s="174" t="s">
        <v>89</v>
      </c>
      <c r="P384" s="171"/>
      <c r="Q384" s="176"/>
      <c r="R384" s="176"/>
      <c r="S384" s="191"/>
      <c r="T384" s="173"/>
      <c r="U384" s="62"/>
      <c r="V384" s="177"/>
      <c r="W384" s="177"/>
      <c r="X384" s="230"/>
      <c r="Y384" s="177"/>
      <c r="Z384" s="178">
        <v>19.600000000000001</v>
      </c>
      <c r="AA384" s="297"/>
      <c r="AB384" s="21" t="s">
        <v>2</v>
      </c>
      <c r="AH384" s="63">
        <v>1</v>
      </c>
      <c r="AO384" s="10" t="s">
        <v>3</v>
      </c>
      <c r="AP384" s="297"/>
      <c r="AQ384" s="178">
        <v>19.8</v>
      </c>
      <c r="AR384" s="177"/>
      <c r="AS384" s="222"/>
      <c r="AT384" s="177" t="s">
        <v>89</v>
      </c>
      <c r="AU384" s="177" t="s">
        <v>89</v>
      </c>
      <c r="AV384" s="62"/>
      <c r="AW384" s="173"/>
      <c r="AX384" s="175"/>
      <c r="AY384" s="176"/>
      <c r="AZ384" s="176"/>
      <c r="BA384" s="171"/>
      <c r="BB384" s="180" t="s">
        <v>89</v>
      </c>
      <c r="BC384" s="172"/>
      <c r="BD384" s="172"/>
      <c r="BE384" s="142"/>
      <c r="BF384" s="171"/>
      <c r="BG384" s="56"/>
      <c r="BH384" s="57"/>
      <c r="BI384" s="170"/>
      <c r="BJ384" s="169"/>
      <c r="BK384" s="181"/>
      <c r="BL384" s="36"/>
      <c r="BM384" s="36" t="str">
        <f>IF('[1]V1 V2'!X383="","",'[1]V1 V2'!X383)</f>
        <v/>
      </c>
    </row>
    <row r="385" spans="1:65" ht="16" thickBot="1" x14ac:dyDescent="0.4">
      <c r="A385">
        <v>1</v>
      </c>
      <c r="B385" s="304" t="s">
        <v>1160</v>
      </c>
      <c r="C385" s="305"/>
      <c r="D385" s="306"/>
      <c r="E385" s="36">
        <f>VLOOKUP($B385,'[1]V1 V2'!$B$5:$BW$1894,74,0)</f>
        <v>0</v>
      </c>
      <c r="F385" s="168"/>
      <c r="G385" s="169"/>
      <c r="H385" s="170"/>
      <c r="I385" s="57"/>
      <c r="J385" s="135" t="s">
        <v>127</v>
      </c>
      <c r="K385" s="171"/>
      <c r="L385" s="171">
        <v>5.6</v>
      </c>
      <c r="M385" s="375">
        <v>6</v>
      </c>
      <c r="N385" s="173"/>
      <c r="O385" s="174" t="s">
        <v>1111</v>
      </c>
      <c r="P385" s="171" t="s">
        <v>184</v>
      </c>
      <c r="Q385" s="176"/>
      <c r="R385" s="182" t="s">
        <v>1112</v>
      </c>
      <c r="S385" s="191" t="s">
        <v>184</v>
      </c>
      <c r="T385" s="173" t="s">
        <v>30</v>
      </c>
      <c r="U385" s="62">
        <v>-310</v>
      </c>
      <c r="V385" s="177"/>
      <c r="W385" s="177"/>
      <c r="X385" s="177">
        <v>32055.039000000019</v>
      </c>
      <c r="Y385" s="177">
        <v>2750.0099999999989</v>
      </c>
      <c r="Z385" s="178"/>
      <c r="AA385" s="297" t="s">
        <v>1160</v>
      </c>
      <c r="AB385" s="21" t="s">
        <v>2</v>
      </c>
      <c r="AH385" s="63">
        <v>1</v>
      </c>
      <c r="AO385" s="10" t="s">
        <v>3</v>
      </c>
      <c r="AP385" s="297" t="s">
        <v>1161</v>
      </c>
      <c r="AQ385" s="178"/>
      <c r="AR385" s="177">
        <v>2748.1100000000015</v>
      </c>
      <c r="AS385" s="222">
        <f>AS383-AQ384</f>
        <v>32136.538999999986</v>
      </c>
      <c r="AT385" s="177" t="s">
        <v>1162</v>
      </c>
      <c r="AU385" s="177" t="s">
        <v>1163</v>
      </c>
      <c r="AV385" s="62">
        <v>-310</v>
      </c>
      <c r="AW385" s="173" t="s">
        <v>30</v>
      </c>
      <c r="AX385" s="175" t="s">
        <v>1117</v>
      </c>
      <c r="AY385" s="182" t="s">
        <v>1112</v>
      </c>
      <c r="AZ385" s="221" t="s">
        <v>1031</v>
      </c>
      <c r="BA385" s="171" t="s">
        <v>1008</v>
      </c>
      <c r="BB385" s="180" t="s">
        <v>1111</v>
      </c>
      <c r="BC385" s="172"/>
      <c r="BD385" s="375">
        <v>6</v>
      </c>
      <c r="BE385" s="171">
        <v>5.6</v>
      </c>
      <c r="BF385" s="171"/>
      <c r="BG385" s="183" t="s">
        <v>127</v>
      </c>
      <c r="BH385" s="57"/>
      <c r="BI385" s="170"/>
      <c r="BJ385" s="169"/>
      <c r="BK385" s="181"/>
      <c r="BL385" s="36" t="str">
        <f>VLOOKUP($AP385,'[1]V1 V2'!$B$5:$BW$1894,74,0)</f>
        <v>C.C.1</v>
      </c>
      <c r="BM385" s="36" t="str">
        <f>IF('[1]V1 V2'!X384="","",'[1]V1 V2'!X384)</f>
        <v/>
      </c>
    </row>
    <row r="386" spans="1:65" ht="16" thickBot="1" x14ac:dyDescent="0.4">
      <c r="A386">
        <v>1</v>
      </c>
      <c r="B386" s="304"/>
      <c r="C386" s="305"/>
      <c r="D386" s="306"/>
      <c r="E386" s="36"/>
      <c r="F386" s="168"/>
      <c r="G386" s="169"/>
      <c r="H386" s="170"/>
      <c r="I386" s="57"/>
      <c r="J386" s="135"/>
      <c r="K386" s="171"/>
      <c r="L386" s="142"/>
      <c r="M386" s="172"/>
      <c r="N386" s="173"/>
      <c r="O386" s="174" t="s">
        <v>89</v>
      </c>
      <c r="P386" s="171"/>
      <c r="Q386" s="176"/>
      <c r="R386" s="176"/>
      <c r="S386" s="191"/>
      <c r="T386" s="173"/>
      <c r="U386" s="62"/>
      <c r="V386" s="177"/>
      <c r="W386" s="177"/>
      <c r="X386" s="230"/>
      <c r="Y386" s="177"/>
      <c r="Z386" s="178">
        <v>20.100000000000001</v>
      </c>
      <c r="AA386" s="297"/>
      <c r="AB386" s="21" t="s">
        <v>2</v>
      </c>
      <c r="AH386" s="63">
        <v>1</v>
      </c>
      <c r="AO386" s="10" t="s">
        <v>3</v>
      </c>
      <c r="AP386" s="297"/>
      <c r="AQ386" s="178">
        <v>20.3</v>
      </c>
      <c r="AR386" s="177"/>
      <c r="AS386" s="222"/>
      <c r="AT386" s="177" t="s">
        <v>89</v>
      </c>
      <c r="AU386" s="177" t="s">
        <v>89</v>
      </c>
      <c r="AV386" s="62"/>
      <c r="AW386" s="173"/>
      <c r="AX386" s="175"/>
      <c r="AY386" s="176"/>
      <c r="AZ386" s="176"/>
      <c r="BA386" s="171"/>
      <c r="BB386" s="180" t="s">
        <v>89</v>
      </c>
      <c r="BC386" s="172"/>
      <c r="BD386" s="172"/>
      <c r="BE386" s="142"/>
      <c r="BF386" s="171"/>
      <c r="BG386" s="56"/>
      <c r="BH386" s="57"/>
      <c r="BI386" s="170"/>
      <c r="BJ386" s="169"/>
      <c r="BK386" s="181"/>
      <c r="BL386" s="36"/>
      <c r="BM386" s="36" t="str">
        <f>IF('[1]V1 V2'!X385="","",'[1]V1 V2'!X385)</f>
        <v/>
      </c>
    </row>
    <row r="387" spans="1:65" ht="16" thickBot="1" x14ac:dyDescent="0.4">
      <c r="A387">
        <v>1</v>
      </c>
      <c r="B387" s="304" t="s">
        <v>1164</v>
      </c>
      <c r="C387" s="305"/>
      <c r="D387" s="306"/>
      <c r="E387" s="36">
        <f>VLOOKUP($B387,'[1]V1 V2'!$B$5:$BW$1894,74,0)</f>
        <v>0</v>
      </c>
      <c r="F387" s="168"/>
      <c r="G387" s="169"/>
      <c r="H387" s="170"/>
      <c r="I387" s="57"/>
      <c r="J387" s="135" t="s">
        <v>127</v>
      </c>
      <c r="K387" s="171"/>
      <c r="L387" s="142">
        <v>5.6</v>
      </c>
      <c r="M387" s="375">
        <v>6</v>
      </c>
      <c r="N387" s="173"/>
      <c r="O387" s="174" t="s">
        <v>1111</v>
      </c>
      <c r="P387" s="171" t="s">
        <v>184</v>
      </c>
      <c r="Q387" s="176"/>
      <c r="R387" s="182" t="s">
        <v>1112</v>
      </c>
      <c r="S387" s="191" t="s">
        <v>184</v>
      </c>
      <c r="T387" s="173" t="s">
        <v>30</v>
      </c>
      <c r="U387" s="62">
        <v>-310</v>
      </c>
      <c r="V387" s="177"/>
      <c r="W387" s="177"/>
      <c r="X387" s="177">
        <v>32034.93900000002</v>
      </c>
      <c r="Y387" s="177">
        <v>2770.1099999999988</v>
      </c>
      <c r="Z387" s="178"/>
      <c r="AA387" s="297" t="s">
        <v>1164</v>
      </c>
      <c r="AB387" s="21" t="s">
        <v>2</v>
      </c>
      <c r="AH387" s="63">
        <v>1</v>
      </c>
      <c r="AO387" s="10" t="s">
        <v>3</v>
      </c>
      <c r="AP387" s="297" t="s">
        <v>1165</v>
      </c>
      <c r="AQ387" s="178"/>
      <c r="AR387" s="177">
        <v>2768.4100000000017</v>
      </c>
      <c r="AS387" s="222">
        <f>AS385-AQ386</f>
        <v>32116.238999999987</v>
      </c>
      <c r="AT387" s="177" t="s">
        <v>1166</v>
      </c>
      <c r="AU387" s="177" t="s">
        <v>1167</v>
      </c>
      <c r="AV387" s="62">
        <v>-310</v>
      </c>
      <c r="AW387" s="173" t="s">
        <v>30</v>
      </c>
      <c r="AX387" s="175" t="s">
        <v>1117</v>
      </c>
      <c r="AY387" s="182" t="s">
        <v>1112</v>
      </c>
      <c r="AZ387" s="221" t="s">
        <v>1031</v>
      </c>
      <c r="BA387" s="171" t="s">
        <v>1008</v>
      </c>
      <c r="BB387" s="180" t="s">
        <v>1111</v>
      </c>
      <c r="BC387" s="172"/>
      <c r="BD387" s="375">
        <v>6</v>
      </c>
      <c r="BE387" s="171">
        <v>5.6</v>
      </c>
      <c r="BF387" s="171"/>
      <c r="BG387" s="183" t="s">
        <v>127</v>
      </c>
      <c r="BH387" s="57"/>
      <c r="BI387" s="170"/>
      <c r="BJ387" s="169"/>
      <c r="BK387" s="181"/>
      <c r="BL387" s="36" t="str">
        <f>VLOOKUP($AP387,'[1]V1 V2'!$B$5:$BW$1894,74,0)</f>
        <v>C.C.1</v>
      </c>
      <c r="BM387" s="36" t="str">
        <f>IF('[1]V1 V2'!X386="","",'[1]V1 V2'!X386)</f>
        <v/>
      </c>
    </row>
    <row r="388" spans="1:65" ht="16" thickBot="1" x14ac:dyDescent="0.4">
      <c r="A388">
        <v>1</v>
      </c>
      <c r="B388" s="227" t="s">
        <v>1168</v>
      </c>
      <c r="C388" s="228"/>
      <c r="D388" s="229"/>
      <c r="E388" s="36">
        <f>VLOOKUP($B388,'[1]V1 V2'!$B$5:$BW$1894,74,0)</f>
        <v>0</v>
      </c>
      <c r="F388" s="168"/>
      <c r="G388" s="169"/>
      <c r="H388" s="170"/>
      <c r="I388" s="57"/>
      <c r="J388" s="135"/>
      <c r="K388" s="171"/>
      <c r="L388" s="142"/>
      <c r="M388" s="375"/>
      <c r="N388" s="173"/>
      <c r="O388" s="174" t="s">
        <v>89</v>
      </c>
      <c r="P388" s="171"/>
      <c r="Q388" s="176"/>
      <c r="R388" s="176"/>
      <c r="S388" s="191"/>
      <c r="T388" s="173"/>
      <c r="U388" s="62"/>
      <c r="V388" s="177"/>
      <c r="W388" s="177"/>
      <c r="X388" s="230"/>
      <c r="Y388" s="177"/>
      <c r="Z388" s="178">
        <v>20.100000000000001</v>
      </c>
      <c r="AA388" s="231" t="s">
        <v>1168</v>
      </c>
      <c r="AB388" s="21" t="s">
        <v>2</v>
      </c>
      <c r="AH388" s="63">
        <v>1</v>
      </c>
      <c r="AO388" s="10" t="s">
        <v>3</v>
      </c>
      <c r="AP388" s="231" t="s">
        <v>1168</v>
      </c>
      <c r="AQ388" s="178">
        <v>20.3</v>
      </c>
      <c r="AR388" s="177"/>
      <c r="AS388" s="222"/>
      <c r="AT388" s="177"/>
      <c r="AU388" s="177"/>
      <c r="AV388" s="62"/>
      <c r="AW388" s="173"/>
      <c r="AX388" s="175"/>
      <c r="AY388" s="176"/>
      <c r="AZ388" s="176"/>
      <c r="BA388" s="171"/>
      <c r="BB388" s="180" t="s">
        <v>89</v>
      </c>
      <c r="BC388" s="172"/>
      <c r="BD388" s="172"/>
      <c r="BE388" s="142"/>
      <c r="BF388" s="171"/>
      <c r="BG388" s="56"/>
      <c r="BH388" s="57"/>
      <c r="BI388" s="170"/>
      <c r="BJ388" s="169"/>
      <c r="BK388" s="181"/>
      <c r="BL388" s="36">
        <f>VLOOKUP($AP388,'[1]V1 V2'!$B$5:$BW$1894,74,0)</f>
        <v>0</v>
      </c>
      <c r="BM388" s="36" t="str">
        <f>IF('[1]V1 V2'!X387="","",'[1]V1 V2'!X387)</f>
        <v/>
      </c>
    </row>
    <row r="389" spans="1:65" ht="16" thickBot="1" x14ac:dyDescent="0.4">
      <c r="A389">
        <v>1</v>
      </c>
      <c r="B389" s="304" t="s">
        <v>1169</v>
      </c>
      <c r="C389" s="305"/>
      <c r="D389" s="306"/>
      <c r="E389" s="36">
        <f>VLOOKUP($B389,'[1]V1 V2'!$B$5:$BW$1894,74,0)</f>
        <v>0</v>
      </c>
      <c r="F389" s="168"/>
      <c r="G389" s="169"/>
      <c r="H389" s="170"/>
      <c r="I389" s="57"/>
      <c r="J389" s="135" t="s">
        <v>127</v>
      </c>
      <c r="K389" s="171"/>
      <c r="L389" s="171">
        <v>5.6</v>
      </c>
      <c r="M389" s="375">
        <v>6</v>
      </c>
      <c r="N389" s="173"/>
      <c r="O389" s="174" t="s">
        <v>1111</v>
      </c>
      <c r="P389" s="171" t="s">
        <v>184</v>
      </c>
      <c r="Q389" s="176"/>
      <c r="R389" s="182" t="s">
        <v>1112</v>
      </c>
      <c r="S389" s="191" t="s">
        <v>184</v>
      </c>
      <c r="T389" s="173" t="s">
        <v>30</v>
      </c>
      <c r="U389" s="62">
        <v>-310</v>
      </c>
      <c r="V389" s="177"/>
      <c r="W389" s="177"/>
      <c r="X389" s="177">
        <v>32014.839000000022</v>
      </c>
      <c r="Y389" s="177">
        <v>2790.2099999999987</v>
      </c>
      <c r="Z389" s="178"/>
      <c r="AA389" s="297" t="s">
        <v>1169</v>
      </c>
      <c r="AB389" s="21" t="s">
        <v>2</v>
      </c>
      <c r="AH389" s="63">
        <v>1</v>
      </c>
      <c r="AO389" s="10" t="s">
        <v>3</v>
      </c>
      <c r="AP389" s="297" t="s">
        <v>1170</v>
      </c>
      <c r="AQ389" s="178"/>
      <c r="AR389" s="177">
        <v>2788.7100000000019</v>
      </c>
      <c r="AS389" s="222">
        <f>AS387-AQ388</f>
        <v>32095.938999999988</v>
      </c>
      <c r="AT389" s="177" t="s">
        <v>1171</v>
      </c>
      <c r="AU389" s="177" t="s">
        <v>1172</v>
      </c>
      <c r="AV389" s="62">
        <v>-310</v>
      </c>
      <c r="AW389" s="173" t="s">
        <v>30</v>
      </c>
      <c r="AX389" s="175" t="s">
        <v>1117</v>
      </c>
      <c r="AY389" s="182" t="s">
        <v>1112</v>
      </c>
      <c r="AZ389" s="221" t="s">
        <v>1031</v>
      </c>
      <c r="BA389" s="240" t="s">
        <v>1049</v>
      </c>
      <c r="BB389" s="180" t="s">
        <v>1111</v>
      </c>
      <c r="BC389" s="172"/>
      <c r="BD389" s="375">
        <v>6</v>
      </c>
      <c r="BE389" s="171">
        <v>5.6</v>
      </c>
      <c r="BF389" s="171"/>
      <c r="BG389" s="183" t="s">
        <v>127</v>
      </c>
      <c r="BH389" s="57"/>
      <c r="BI389" s="170"/>
      <c r="BJ389" s="169"/>
      <c r="BK389" s="181"/>
      <c r="BL389" s="36" t="str">
        <f>VLOOKUP($AP389,'[1]V1 V2'!$B$5:$BW$1894,74,0)</f>
        <v>C.C.1</v>
      </c>
      <c r="BM389" s="36" t="str">
        <f>IF('[1]V1 V2'!X388="","",'[1]V1 V2'!X388)</f>
        <v/>
      </c>
    </row>
    <row r="390" spans="1:65" ht="16" thickBot="1" x14ac:dyDescent="0.4">
      <c r="A390">
        <v>1</v>
      </c>
      <c r="B390" s="304"/>
      <c r="C390" s="305"/>
      <c r="D390" s="306"/>
      <c r="E390" s="36"/>
      <c r="F390" s="168"/>
      <c r="G390" s="169"/>
      <c r="H390" s="170"/>
      <c r="I390" s="57"/>
      <c r="J390" s="135"/>
      <c r="K390" s="171"/>
      <c r="L390" s="142"/>
      <c r="M390" s="172"/>
      <c r="N390" s="173"/>
      <c r="O390" s="174" t="s">
        <v>89</v>
      </c>
      <c r="P390" s="171"/>
      <c r="Q390" s="176"/>
      <c r="R390" s="176"/>
      <c r="S390" s="191"/>
      <c r="T390" s="173"/>
      <c r="U390" s="62"/>
      <c r="V390" s="177"/>
      <c r="W390" s="177"/>
      <c r="X390" s="230"/>
      <c r="Y390" s="177"/>
      <c r="Z390" s="178">
        <v>19.899999999999999</v>
      </c>
      <c r="AA390" s="297"/>
      <c r="AB390" s="21" t="s">
        <v>2</v>
      </c>
      <c r="AH390" s="63">
        <v>1</v>
      </c>
      <c r="AO390" s="10" t="s">
        <v>3</v>
      </c>
      <c r="AP390" s="297"/>
      <c r="AQ390" s="178">
        <v>20.100000000000001</v>
      </c>
      <c r="AR390" s="177"/>
      <c r="AS390" s="222"/>
      <c r="AT390" s="177" t="s">
        <v>89</v>
      </c>
      <c r="AU390" s="177" t="s">
        <v>89</v>
      </c>
      <c r="AV390" s="62"/>
      <c r="AW390" s="173"/>
      <c r="AX390" s="175"/>
      <c r="AY390" s="176"/>
      <c r="AZ390" s="176"/>
      <c r="BA390" s="187"/>
      <c r="BB390" s="180" t="s">
        <v>89</v>
      </c>
      <c r="BC390" s="172"/>
      <c r="BD390" s="172"/>
      <c r="BE390" s="142"/>
      <c r="BF390" s="171"/>
      <c r="BG390" s="56"/>
      <c r="BH390" s="57"/>
      <c r="BI390" s="170"/>
      <c r="BJ390" s="169"/>
      <c r="BK390" s="181"/>
      <c r="BL390" s="36"/>
      <c r="BM390" s="36" t="str">
        <f>IF('[1]V1 V2'!X389="","",'[1]V1 V2'!X389)</f>
        <v/>
      </c>
    </row>
    <row r="391" spans="1:65" ht="16" thickBot="1" x14ac:dyDescent="0.4">
      <c r="A391">
        <v>1</v>
      </c>
      <c r="B391" s="304" t="s">
        <v>1173</v>
      </c>
      <c r="C391" s="305"/>
      <c r="D391" s="306"/>
      <c r="E391" s="36">
        <f>VLOOKUP($B391,'[1]V1 V2'!$B$5:$BW$1894,74,0)</f>
        <v>0</v>
      </c>
      <c r="F391" s="168"/>
      <c r="G391" s="169"/>
      <c r="H391" s="170"/>
      <c r="I391" s="57"/>
      <c r="J391" s="135" t="s">
        <v>127</v>
      </c>
      <c r="K391" s="171"/>
      <c r="L391" s="142">
        <v>5.6</v>
      </c>
      <c r="M391" s="375">
        <v>6</v>
      </c>
      <c r="N391" s="173"/>
      <c r="O391" s="174" t="s">
        <v>1111</v>
      </c>
      <c r="P391" s="171" t="s">
        <v>184</v>
      </c>
      <c r="Q391" s="176"/>
      <c r="R391" s="182" t="s">
        <v>1112</v>
      </c>
      <c r="S391" s="191" t="s">
        <v>184</v>
      </c>
      <c r="T391" s="173" t="s">
        <v>30</v>
      </c>
      <c r="U391" s="62">
        <v>-310</v>
      </c>
      <c r="V391" s="177"/>
      <c r="W391" s="177"/>
      <c r="X391" s="177">
        <v>31994.93900000002</v>
      </c>
      <c r="Y391" s="177">
        <v>2810.1099999999988</v>
      </c>
      <c r="Z391" s="178"/>
      <c r="AA391" s="297" t="s">
        <v>1173</v>
      </c>
      <c r="AB391" s="21" t="s">
        <v>2</v>
      </c>
      <c r="AH391" s="63">
        <v>1</v>
      </c>
      <c r="AO391" s="10" t="s">
        <v>3</v>
      </c>
      <c r="AP391" s="297" t="s">
        <v>1174</v>
      </c>
      <c r="AQ391" s="178"/>
      <c r="AR391" s="177">
        <v>2808.8100000000018</v>
      </c>
      <c r="AS391" s="222">
        <f>AS389-AQ390</f>
        <v>32075.838999999989</v>
      </c>
      <c r="AT391" s="177" t="s">
        <v>1175</v>
      </c>
      <c r="AU391" s="177" t="s">
        <v>1176</v>
      </c>
      <c r="AV391" s="62">
        <v>-310</v>
      </c>
      <c r="AW391" s="173" t="s">
        <v>30</v>
      </c>
      <c r="AX391" s="175" t="s">
        <v>1117</v>
      </c>
      <c r="AY391" s="182" t="s">
        <v>1112</v>
      </c>
      <c r="AZ391" s="221" t="s">
        <v>1031</v>
      </c>
      <c r="BA391" s="240" t="s">
        <v>1049</v>
      </c>
      <c r="BB391" s="180" t="s">
        <v>1111</v>
      </c>
      <c r="BC391" s="172"/>
      <c r="BD391" s="375">
        <v>6</v>
      </c>
      <c r="BE391" s="171">
        <v>5.6</v>
      </c>
      <c r="BF391" s="171"/>
      <c r="BG391" s="183" t="s">
        <v>127</v>
      </c>
      <c r="BH391" s="57"/>
      <c r="BI391" s="170"/>
      <c r="BJ391" s="169"/>
      <c r="BK391" s="181"/>
      <c r="BL391" s="36" t="str">
        <f>VLOOKUP($AP391,'[1]V1 V2'!$B$5:$BW$1894,74,0)</f>
        <v>C.C.1</v>
      </c>
      <c r="BM391" s="36" t="str">
        <f>IF('[1]V1 V2'!X390="","",'[1]V1 V2'!X390)</f>
        <v/>
      </c>
    </row>
    <row r="392" spans="1:65" ht="16" thickBot="1" x14ac:dyDescent="0.4">
      <c r="A392">
        <v>1</v>
      </c>
      <c r="B392" s="304"/>
      <c r="C392" s="305"/>
      <c r="D392" s="306"/>
      <c r="E392" s="36"/>
      <c r="F392" s="168"/>
      <c r="G392" s="169"/>
      <c r="H392" s="170"/>
      <c r="I392" s="57"/>
      <c r="J392" s="135"/>
      <c r="K392" s="171"/>
      <c r="L392" s="142"/>
      <c r="M392" s="172"/>
      <c r="N392" s="173"/>
      <c r="O392" s="174" t="s">
        <v>89</v>
      </c>
      <c r="P392" s="171"/>
      <c r="Q392" s="182"/>
      <c r="R392" s="182"/>
      <c r="S392" s="191"/>
      <c r="T392" s="173"/>
      <c r="U392" s="62"/>
      <c r="V392" s="177"/>
      <c r="W392" s="177"/>
      <c r="X392" s="230"/>
      <c r="Y392" s="177"/>
      <c r="Z392" s="178">
        <v>20</v>
      </c>
      <c r="AA392" s="297"/>
      <c r="AB392" s="21" t="s">
        <v>2</v>
      </c>
      <c r="AH392" s="63">
        <v>1</v>
      </c>
      <c r="AO392" s="10" t="s">
        <v>3</v>
      </c>
      <c r="AP392" s="297"/>
      <c r="AQ392" s="198">
        <v>20.2</v>
      </c>
      <c r="AR392" s="177"/>
      <c r="AS392" s="222"/>
      <c r="AT392" s="177" t="s">
        <v>89</v>
      </c>
      <c r="AU392" s="177" t="s">
        <v>89</v>
      </c>
      <c r="AV392" s="62"/>
      <c r="AW392" s="173"/>
      <c r="AX392" s="175"/>
      <c r="AY392" s="182"/>
      <c r="AZ392" s="182"/>
      <c r="BA392" s="187"/>
      <c r="BB392" s="180" t="s">
        <v>89</v>
      </c>
      <c r="BC392" s="172"/>
      <c r="BD392" s="172"/>
      <c r="BE392" s="142"/>
      <c r="BF392" s="171"/>
      <c r="BG392" s="56"/>
      <c r="BH392" s="57"/>
      <c r="BI392" s="170"/>
      <c r="BJ392" s="169"/>
      <c r="BK392" s="181"/>
      <c r="BL392" s="36"/>
      <c r="BM392" s="36" t="str">
        <f>IF('[1]V1 V2'!X391="","",'[1]V1 V2'!X391)</f>
        <v/>
      </c>
    </row>
    <row r="393" spans="1:65" ht="16" thickBot="1" x14ac:dyDescent="0.4">
      <c r="A393">
        <v>1</v>
      </c>
      <c r="B393" s="304" t="s">
        <v>1177</v>
      </c>
      <c r="C393" s="305"/>
      <c r="D393" s="306"/>
      <c r="E393" s="36">
        <f>VLOOKUP($B393,'[1]V1 V2'!$B$5:$BW$1894,74,0)</f>
        <v>0</v>
      </c>
      <c r="F393" s="168"/>
      <c r="G393" s="169"/>
      <c r="H393" s="170"/>
      <c r="I393" s="57"/>
      <c r="J393" s="135" t="s">
        <v>127</v>
      </c>
      <c r="K393" s="171"/>
      <c r="L393" s="171">
        <v>5.6</v>
      </c>
      <c r="M393" s="375">
        <v>6</v>
      </c>
      <c r="N393" s="173"/>
      <c r="O393" s="174" t="s">
        <v>1111</v>
      </c>
      <c r="P393" s="171" t="s">
        <v>184</v>
      </c>
      <c r="Q393" s="176"/>
      <c r="R393" s="182" t="s">
        <v>1112</v>
      </c>
      <c r="S393" s="191" t="s">
        <v>184</v>
      </c>
      <c r="T393" s="173" t="s">
        <v>30</v>
      </c>
      <c r="U393" s="62">
        <v>-310</v>
      </c>
      <c r="V393" s="177"/>
      <c r="W393" s="177"/>
      <c r="X393" s="177">
        <v>31974.93900000002</v>
      </c>
      <c r="Y393" s="177">
        <v>2830.1099999999988</v>
      </c>
      <c r="Z393" s="198"/>
      <c r="AA393" s="297" t="s">
        <v>1177</v>
      </c>
      <c r="AB393" s="21" t="s">
        <v>2</v>
      </c>
      <c r="AH393" s="63">
        <v>1</v>
      </c>
      <c r="AO393" s="10" t="s">
        <v>3</v>
      </c>
      <c r="AP393" s="297" t="s">
        <v>1178</v>
      </c>
      <c r="AQ393" s="198"/>
      <c r="AR393" s="177">
        <v>2829.0100000000016</v>
      </c>
      <c r="AS393" s="222">
        <f>AS391-AQ392</f>
        <v>32055.638999999988</v>
      </c>
      <c r="AT393" s="177" t="s">
        <v>1179</v>
      </c>
      <c r="AU393" s="177" t="s">
        <v>1180</v>
      </c>
      <c r="AV393" s="62">
        <v>-310</v>
      </c>
      <c r="AW393" s="173" t="s">
        <v>30</v>
      </c>
      <c r="AX393" s="175" t="s">
        <v>1117</v>
      </c>
      <c r="AY393" s="182" t="s">
        <v>1112</v>
      </c>
      <c r="AZ393" s="221" t="s">
        <v>1031</v>
      </c>
      <c r="BA393" s="240" t="s">
        <v>1049</v>
      </c>
      <c r="BB393" s="180" t="s">
        <v>1111</v>
      </c>
      <c r="BC393" s="172"/>
      <c r="BD393" s="375">
        <v>6</v>
      </c>
      <c r="BE393" s="171">
        <v>5.6</v>
      </c>
      <c r="BF393" s="171"/>
      <c r="BG393" s="183" t="s">
        <v>127</v>
      </c>
      <c r="BH393" s="57"/>
      <c r="BI393" s="170"/>
      <c r="BJ393" s="169"/>
      <c r="BK393" s="181"/>
      <c r="BL393" s="36" t="str">
        <f>VLOOKUP($AP393,'[1]V1 V2'!$B$5:$BW$1894,74,0)</f>
        <v>C.C.1</v>
      </c>
      <c r="BM393" s="36" t="str">
        <f>IF('[1]V1 V2'!X392="","",'[1]V1 V2'!X392)</f>
        <v/>
      </c>
    </row>
    <row r="394" spans="1:65" ht="16" thickBot="1" x14ac:dyDescent="0.4">
      <c r="A394">
        <v>1</v>
      </c>
      <c r="B394" s="304"/>
      <c r="C394" s="305"/>
      <c r="D394" s="307" t="s">
        <v>720</v>
      </c>
      <c r="E394" s="36"/>
      <c r="F394" s="168"/>
      <c r="G394" s="169"/>
      <c r="H394" s="170"/>
      <c r="I394" s="57"/>
      <c r="J394" s="135"/>
      <c r="K394" s="171"/>
      <c r="L394" s="142"/>
      <c r="M394" s="172"/>
      <c r="N394" s="173"/>
      <c r="O394" s="174" t="s">
        <v>89</v>
      </c>
      <c r="P394" s="171"/>
      <c r="Q394" s="182"/>
      <c r="R394" s="182"/>
      <c r="S394" s="191"/>
      <c r="T394" s="173"/>
      <c r="U394" s="62"/>
      <c r="V394" s="177"/>
      <c r="W394" s="177"/>
      <c r="X394" s="230"/>
      <c r="Y394" s="177"/>
      <c r="Z394" s="198">
        <v>19.899999999999999</v>
      </c>
      <c r="AA394" s="297"/>
      <c r="AB394" s="21" t="s">
        <v>2</v>
      </c>
      <c r="AH394" s="63">
        <v>1</v>
      </c>
      <c r="AO394" s="10" t="s">
        <v>3</v>
      </c>
      <c r="AP394" s="297"/>
      <c r="AQ394" s="198">
        <v>20.100000000000001</v>
      </c>
      <c r="AR394" s="177"/>
      <c r="AS394" s="222"/>
      <c r="AT394" s="177" t="s">
        <v>89</v>
      </c>
      <c r="AU394" s="177" t="s">
        <v>89</v>
      </c>
      <c r="AV394" s="62"/>
      <c r="AW394" s="173"/>
      <c r="AX394" s="175"/>
      <c r="AY394" s="182"/>
      <c r="AZ394" s="182"/>
      <c r="BA394" s="187"/>
      <c r="BB394" s="180" t="s">
        <v>89</v>
      </c>
      <c r="BC394" s="172"/>
      <c r="BD394" s="172"/>
      <c r="BE394" s="142"/>
      <c r="BF394" s="171"/>
      <c r="BG394" s="56"/>
      <c r="BH394" s="57"/>
      <c r="BI394" s="170"/>
      <c r="BJ394" s="169"/>
      <c r="BK394" s="181"/>
      <c r="BL394" s="36"/>
      <c r="BM394" s="308" t="str">
        <f>IF('[1]V1 V2'!X393="","",'[1]V1 V2'!X393)</f>
        <v>1PEAD D110mm ou 2PEAD D63mm+ 1PEAD 32mm</v>
      </c>
    </row>
    <row r="395" spans="1:65" ht="16" thickBot="1" x14ac:dyDescent="0.4">
      <c r="A395">
        <v>1</v>
      </c>
      <c r="B395" s="304" t="s">
        <v>1181</v>
      </c>
      <c r="C395" s="305"/>
      <c r="D395" s="309" t="s">
        <v>722</v>
      </c>
      <c r="E395" s="36" t="str">
        <f>VLOOKUP($B395,'[1]V1 V2'!$B$5:$BW$1894,74,0)</f>
        <v>C.F.4.A</v>
      </c>
      <c r="F395" s="168"/>
      <c r="G395" s="169"/>
      <c r="H395" s="170"/>
      <c r="I395" s="57"/>
      <c r="J395" s="56" t="s">
        <v>127</v>
      </c>
      <c r="K395" s="171"/>
      <c r="L395" s="142">
        <v>5.6</v>
      </c>
      <c r="M395" s="172"/>
      <c r="N395" s="173"/>
      <c r="O395" s="174" t="s">
        <v>596</v>
      </c>
      <c r="P395" s="191" t="s">
        <v>661</v>
      </c>
      <c r="Q395" s="176" t="s">
        <v>639</v>
      </c>
      <c r="R395" s="176" t="s">
        <v>623</v>
      </c>
      <c r="S395" s="275" t="s">
        <v>1117</v>
      </c>
      <c r="T395" s="173" t="s">
        <v>30</v>
      </c>
      <c r="U395" s="62">
        <v>-310</v>
      </c>
      <c r="V395" s="277" t="s">
        <v>1182</v>
      </c>
      <c r="W395" s="277" t="s">
        <v>1183</v>
      </c>
      <c r="X395" s="177">
        <v>31955.039000000019</v>
      </c>
      <c r="Y395" s="177">
        <v>2850.0099999999989</v>
      </c>
      <c r="Z395" s="198"/>
      <c r="AA395" s="297" t="s">
        <v>1181</v>
      </c>
      <c r="AB395" s="21" t="s">
        <v>2</v>
      </c>
      <c r="AH395" s="63">
        <v>1</v>
      </c>
      <c r="AO395" s="10" t="s">
        <v>3</v>
      </c>
      <c r="AP395" s="297" t="s">
        <v>1184</v>
      </c>
      <c r="AQ395" s="198"/>
      <c r="AR395" s="177">
        <v>2849.1100000000015</v>
      </c>
      <c r="AS395" s="222">
        <f>AS393-AQ394</f>
        <v>32035.53899999999</v>
      </c>
      <c r="AT395" s="277" t="s">
        <v>1185</v>
      </c>
      <c r="AU395" s="277" t="s">
        <v>1186</v>
      </c>
      <c r="AV395" s="62">
        <v>-310</v>
      </c>
      <c r="AW395" s="173" t="s">
        <v>30</v>
      </c>
      <c r="AX395" s="275" t="s">
        <v>1117</v>
      </c>
      <c r="AY395" s="176" t="s">
        <v>623</v>
      </c>
      <c r="AZ395" s="176" t="s">
        <v>639</v>
      </c>
      <c r="BA395" s="240" t="s">
        <v>661</v>
      </c>
      <c r="BB395" s="180" t="s">
        <v>596</v>
      </c>
      <c r="BC395" s="172"/>
      <c r="BD395" s="172"/>
      <c r="BE395" s="171">
        <v>5.6</v>
      </c>
      <c r="BF395" s="171"/>
      <c r="BG395" s="183" t="s">
        <v>127</v>
      </c>
      <c r="BH395" s="57"/>
      <c r="BI395" s="170"/>
      <c r="BJ395" s="169"/>
      <c r="BK395" s="181"/>
      <c r="BL395" s="36" t="str">
        <f>VLOOKUP($AP395,'[1]V1 V2'!$B$5:$BW$1894,74,0)</f>
        <v>C.F.4.A</v>
      </c>
      <c r="BM395" s="202" t="str">
        <f>IF('[1]V1 V2'!X394="","",'[1]V1 V2'!X394)</f>
        <v>FR</v>
      </c>
    </row>
    <row r="396" spans="1:65" ht="16" thickBot="1" x14ac:dyDescent="0.4">
      <c r="A396">
        <v>1</v>
      </c>
      <c r="B396" s="304"/>
      <c r="C396" s="305"/>
      <c r="D396" s="307" t="s">
        <v>728</v>
      </c>
      <c r="E396" s="36"/>
      <c r="F396" s="168"/>
      <c r="G396" s="169"/>
      <c r="H396" s="170"/>
      <c r="I396" s="57"/>
      <c r="J396" s="56"/>
      <c r="K396" s="171"/>
      <c r="L396" s="142"/>
      <c r="M396" s="172"/>
      <c r="N396" s="173"/>
      <c r="O396" s="174" t="s">
        <v>89</v>
      </c>
      <c r="P396" s="171"/>
      <c r="Q396" s="182"/>
      <c r="R396" s="182"/>
      <c r="S396" s="191"/>
      <c r="T396" s="173"/>
      <c r="U396" s="62"/>
      <c r="V396" s="177" t="s">
        <v>89</v>
      </c>
      <c r="W396" s="177" t="s">
        <v>89</v>
      </c>
      <c r="X396" s="230"/>
      <c r="Y396" s="177"/>
      <c r="Z396" s="198">
        <v>19.899999999999999</v>
      </c>
      <c r="AA396" s="297"/>
      <c r="AB396" s="21" t="s">
        <v>2</v>
      </c>
      <c r="AH396" s="63">
        <v>1</v>
      </c>
      <c r="AO396" s="10" t="s">
        <v>3</v>
      </c>
      <c r="AP396" s="297"/>
      <c r="AQ396" s="198">
        <v>20.100000000000001</v>
      </c>
      <c r="AR396" s="177"/>
      <c r="AS396" s="222"/>
      <c r="AT396" s="177" t="s">
        <v>89</v>
      </c>
      <c r="AU396" s="177" t="s">
        <v>89</v>
      </c>
      <c r="AV396" s="62"/>
      <c r="AW396" s="173"/>
      <c r="AX396" s="191"/>
      <c r="AY396" s="182"/>
      <c r="AZ396" s="182"/>
      <c r="BA396" s="171"/>
      <c r="BB396" s="180" t="s">
        <v>89</v>
      </c>
      <c r="BC396" s="172"/>
      <c r="BD396" s="172"/>
      <c r="BE396" s="142"/>
      <c r="BF396" s="171"/>
      <c r="BG396" s="56"/>
      <c r="BH396" s="57"/>
      <c r="BI396" s="170"/>
      <c r="BJ396" s="169"/>
      <c r="BK396" s="181"/>
      <c r="BL396" s="36"/>
      <c r="BM396" s="308" t="str">
        <f>IF('[1]V1 V2'!X395="","",'[1]V1 V2'!X395)</f>
        <v>1PEAD D110mm ou 2PEAD D63mm</v>
      </c>
    </row>
    <row r="397" spans="1:65" ht="16" thickBot="1" x14ac:dyDescent="0.4">
      <c r="A397">
        <v>1</v>
      </c>
      <c r="B397" s="304" t="s">
        <v>1187</v>
      </c>
      <c r="C397" s="305"/>
      <c r="D397" s="306"/>
      <c r="E397" s="36" t="str">
        <f>VLOOKUP($B397,'[1]V1 V2'!$B$5:$BW$1894,74,0)</f>
        <v>C.F.4.A</v>
      </c>
      <c r="F397" s="168"/>
      <c r="G397" s="169"/>
      <c r="H397" s="170"/>
      <c r="I397" s="57"/>
      <c r="J397" s="56" t="s">
        <v>127</v>
      </c>
      <c r="K397" s="171"/>
      <c r="L397" s="171">
        <v>5.6</v>
      </c>
      <c r="M397" s="172"/>
      <c r="N397" s="173"/>
      <c r="O397" s="174" t="s">
        <v>596</v>
      </c>
      <c r="P397" s="191" t="s">
        <v>661</v>
      </c>
      <c r="Q397" s="176" t="s">
        <v>639</v>
      </c>
      <c r="R397" s="176" t="s">
        <v>623</v>
      </c>
      <c r="S397" s="191" t="s">
        <v>1188</v>
      </c>
      <c r="T397" s="173" t="s">
        <v>30</v>
      </c>
      <c r="U397" s="62" t="s">
        <v>48</v>
      </c>
      <c r="V397" s="177" t="s">
        <v>1189</v>
      </c>
      <c r="W397" s="177" t="s">
        <v>1190</v>
      </c>
      <c r="X397" s="177">
        <v>31935.139000000017</v>
      </c>
      <c r="Y397" s="177">
        <v>2869.9099999999989</v>
      </c>
      <c r="Z397" s="198"/>
      <c r="AA397" s="297" t="s">
        <v>1187</v>
      </c>
      <c r="AB397" s="21" t="s">
        <v>2</v>
      </c>
      <c r="AH397" s="63">
        <v>1</v>
      </c>
      <c r="AO397" s="10" t="s">
        <v>3</v>
      </c>
      <c r="AP397" s="297" t="s">
        <v>1191</v>
      </c>
      <c r="AQ397" s="198"/>
      <c r="AR397" s="177">
        <v>2869.2100000000014</v>
      </c>
      <c r="AS397" s="222">
        <f>AS395-AQ396</f>
        <v>32015.438999999991</v>
      </c>
      <c r="AT397" s="177" t="s">
        <v>1192</v>
      </c>
      <c r="AU397" s="177" t="s">
        <v>1193</v>
      </c>
      <c r="AV397" s="62" t="s">
        <v>48</v>
      </c>
      <c r="AW397" s="173" t="s">
        <v>30</v>
      </c>
      <c r="AX397" s="191" t="s">
        <v>1188</v>
      </c>
      <c r="AY397" s="176" t="s">
        <v>623</v>
      </c>
      <c r="AZ397" s="176" t="s">
        <v>639</v>
      </c>
      <c r="BA397" s="240" t="s">
        <v>661</v>
      </c>
      <c r="BB397" s="180" t="s">
        <v>596</v>
      </c>
      <c r="BC397" s="172"/>
      <c r="BD397" s="172"/>
      <c r="BE397" s="171">
        <v>5.6</v>
      </c>
      <c r="BF397" s="171"/>
      <c r="BG397" s="183" t="s">
        <v>127</v>
      </c>
      <c r="BH397" s="57"/>
      <c r="BI397" s="170"/>
      <c r="BJ397" s="169"/>
      <c r="BK397" s="181"/>
      <c r="BL397" s="36" t="str">
        <f>VLOOKUP($AP397,'[1]V1 V2'!$B$5:$BW$1894,74,0)</f>
        <v>C.F.4.A</v>
      </c>
      <c r="BM397" s="36" t="str">
        <f>IF('[1]V1 V2'!X396="","",'[1]V1 V2'!X396)</f>
        <v/>
      </c>
    </row>
    <row r="398" spans="1:65" ht="16" thickBot="1" x14ac:dyDescent="0.4">
      <c r="A398">
        <v>1</v>
      </c>
      <c r="B398" s="304"/>
      <c r="C398" s="305"/>
      <c r="D398" s="306"/>
      <c r="E398" s="36"/>
      <c r="F398" s="168"/>
      <c r="G398" s="169"/>
      <c r="H398" s="170"/>
      <c r="I398" s="57"/>
      <c r="J398" s="56"/>
      <c r="K398" s="171"/>
      <c r="L398" s="142"/>
      <c r="M398" s="172"/>
      <c r="N398" s="173"/>
      <c r="O398" s="174" t="s">
        <v>89</v>
      </c>
      <c r="P398" s="171"/>
      <c r="Q398" s="182"/>
      <c r="R398" s="182"/>
      <c r="S398" s="191"/>
      <c r="T398" s="173"/>
      <c r="U398" s="62"/>
      <c r="V398" s="177" t="s">
        <v>89</v>
      </c>
      <c r="W398" s="177" t="s">
        <v>89</v>
      </c>
      <c r="X398" s="230"/>
      <c r="Y398" s="177"/>
      <c r="Z398" s="198">
        <v>18.899999999999999</v>
      </c>
      <c r="AA398" s="297"/>
      <c r="AB398" s="21" t="s">
        <v>2</v>
      </c>
      <c r="AH398" s="63">
        <v>1</v>
      </c>
      <c r="AO398" s="10" t="s">
        <v>3</v>
      </c>
      <c r="AP398" s="297"/>
      <c r="AQ398" s="198">
        <v>19</v>
      </c>
      <c r="AR398" s="177"/>
      <c r="AS398" s="222"/>
      <c r="AT398" s="177" t="s">
        <v>89</v>
      </c>
      <c r="AU398" s="177" t="s">
        <v>89</v>
      </c>
      <c r="AV398" s="62"/>
      <c r="AW398" s="173"/>
      <c r="AX398" s="191"/>
      <c r="AY398" s="182"/>
      <c r="AZ398" s="182"/>
      <c r="BA398" s="171"/>
      <c r="BB398" s="180" t="s">
        <v>89</v>
      </c>
      <c r="BC398" s="172"/>
      <c r="BD398" s="172"/>
      <c r="BE398" s="142"/>
      <c r="BF398" s="171"/>
      <c r="BG398" s="56"/>
      <c r="BH398" s="57"/>
      <c r="BI398" s="170"/>
      <c r="BJ398" s="169"/>
      <c r="BK398" s="181"/>
      <c r="BL398" s="36"/>
      <c r="BM398" s="36" t="str">
        <f>IF('[1]V1 V2'!X397="","",'[1]V1 V2'!X397)</f>
        <v/>
      </c>
    </row>
    <row r="399" spans="1:65" ht="16" thickBot="1" x14ac:dyDescent="0.4">
      <c r="A399">
        <v>1</v>
      </c>
      <c r="B399" s="304" t="s">
        <v>1194</v>
      </c>
      <c r="C399" s="305"/>
      <c r="D399" s="306"/>
      <c r="E399" s="36" t="str">
        <f>VLOOKUP($B399,'[1]V1 V2'!$B$5:$BW$1894,74,0)</f>
        <v>C.F.2</v>
      </c>
      <c r="F399" s="168"/>
      <c r="G399" s="169"/>
      <c r="H399" s="170"/>
      <c r="I399" s="57"/>
      <c r="J399" s="56">
        <v>-20</v>
      </c>
      <c r="K399" s="171"/>
      <c r="L399" s="142">
        <v>5.6</v>
      </c>
      <c r="M399" s="172"/>
      <c r="N399" s="173"/>
      <c r="O399" s="180" t="s">
        <v>621</v>
      </c>
      <c r="P399" s="191" t="s">
        <v>661</v>
      </c>
      <c r="Q399" s="176" t="s">
        <v>639</v>
      </c>
      <c r="R399" s="176" t="s">
        <v>623</v>
      </c>
      <c r="S399" s="191" t="s">
        <v>1195</v>
      </c>
      <c r="T399" s="173" t="s">
        <v>30</v>
      </c>
      <c r="U399" s="62"/>
      <c r="V399" s="230" t="s">
        <v>1196</v>
      </c>
      <c r="W399" s="230" t="s">
        <v>1197</v>
      </c>
      <c r="X399" s="177">
        <v>31916.239000000016</v>
      </c>
      <c r="Y399" s="177">
        <v>2888.809999999999</v>
      </c>
      <c r="Z399" s="198"/>
      <c r="AA399" s="297" t="s">
        <v>1194</v>
      </c>
      <c r="AB399" s="21" t="s">
        <v>2</v>
      </c>
      <c r="AH399" s="63">
        <v>1</v>
      </c>
      <c r="AO399" s="10" t="s">
        <v>3</v>
      </c>
      <c r="AP399" s="297" t="s">
        <v>1198</v>
      </c>
      <c r="AQ399" s="198"/>
      <c r="AR399" s="177">
        <v>2888.2100000000014</v>
      </c>
      <c r="AS399" s="222">
        <f>AS397-AQ398</f>
        <v>31996.438999999991</v>
      </c>
      <c r="AT399" s="230" t="s">
        <v>1199</v>
      </c>
      <c r="AU399" s="230" t="s">
        <v>1200</v>
      </c>
      <c r="AV399" s="62"/>
      <c r="AW399" s="173" t="s">
        <v>30</v>
      </c>
      <c r="AX399" s="191" t="s">
        <v>1201</v>
      </c>
      <c r="AY399" s="176" t="s">
        <v>623</v>
      </c>
      <c r="AZ399" s="176" t="s">
        <v>639</v>
      </c>
      <c r="BA399" s="240" t="s">
        <v>661</v>
      </c>
      <c r="BB399" s="180" t="s">
        <v>621</v>
      </c>
      <c r="BC399" s="172"/>
      <c r="BD399" s="172"/>
      <c r="BE399" s="171">
        <v>5.6</v>
      </c>
      <c r="BF399" s="171"/>
      <c r="BG399" s="56">
        <v>-20</v>
      </c>
      <c r="BH399" s="57"/>
      <c r="BI399" s="170"/>
      <c r="BJ399" s="169"/>
      <c r="BK399" s="181"/>
      <c r="BL399" s="36" t="str">
        <f>VLOOKUP($AP399,'[1]V1 V2'!$B$5:$BW$1894,74,0)</f>
        <v>C.F.2</v>
      </c>
      <c r="BM399" s="36" t="str">
        <f>IF('[1]V1 V2'!X398="","",'[1]V1 V2'!X398)</f>
        <v/>
      </c>
    </row>
    <row r="400" spans="1:65" ht="16" thickBot="1" x14ac:dyDescent="0.4">
      <c r="A400">
        <v>1</v>
      </c>
      <c r="B400" s="304"/>
      <c r="C400" s="305"/>
      <c r="D400" s="306"/>
      <c r="E400" s="36"/>
      <c r="F400" s="168"/>
      <c r="G400" s="169"/>
      <c r="H400" s="170"/>
      <c r="I400" s="57"/>
      <c r="J400" s="56"/>
      <c r="K400" s="171"/>
      <c r="L400" s="142"/>
      <c r="M400" s="172"/>
      <c r="N400" s="173"/>
      <c r="O400" s="180" t="s">
        <v>89</v>
      </c>
      <c r="P400" s="171"/>
      <c r="Q400" s="182"/>
      <c r="R400" s="182"/>
      <c r="S400" s="191"/>
      <c r="T400" s="173"/>
      <c r="U400" s="62"/>
      <c r="V400" s="177" t="s">
        <v>89</v>
      </c>
      <c r="W400" s="177" t="s">
        <v>89</v>
      </c>
      <c r="X400" s="230"/>
      <c r="Y400" s="177"/>
      <c r="Z400" s="198">
        <v>21.6</v>
      </c>
      <c r="AA400" s="297"/>
      <c r="AB400" s="21" t="s">
        <v>2</v>
      </c>
      <c r="AH400" s="63">
        <v>1</v>
      </c>
      <c r="AO400" s="10" t="s">
        <v>3</v>
      </c>
      <c r="AP400" s="297"/>
      <c r="AQ400" s="198">
        <v>21.6</v>
      </c>
      <c r="AR400" s="177"/>
      <c r="AS400" s="222"/>
      <c r="AT400" s="177" t="s">
        <v>89</v>
      </c>
      <c r="AU400" s="177" t="s">
        <v>89</v>
      </c>
      <c r="AV400" s="62"/>
      <c r="AW400" s="173"/>
      <c r="AX400" s="191"/>
      <c r="AY400" s="182"/>
      <c r="AZ400" s="182"/>
      <c r="BA400" s="171"/>
      <c r="BB400" s="180" t="s">
        <v>89</v>
      </c>
      <c r="BC400" s="172"/>
      <c r="BD400" s="172"/>
      <c r="BE400" s="142"/>
      <c r="BF400" s="171"/>
      <c r="BG400" s="56"/>
      <c r="BH400" s="57"/>
      <c r="BI400" s="170"/>
      <c r="BJ400" s="169"/>
      <c r="BK400" s="181"/>
      <c r="BL400" s="36"/>
      <c r="BM400" s="36" t="str">
        <f>IF('[1]V1 V2'!X399="","",'[1]V1 V2'!X399)</f>
        <v/>
      </c>
    </row>
    <row r="401" spans="1:65" ht="16" thickBot="1" x14ac:dyDescent="0.4">
      <c r="A401">
        <v>1</v>
      </c>
      <c r="B401" s="304" t="s">
        <v>1202</v>
      </c>
      <c r="C401" s="305"/>
      <c r="D401" s="306"/>
      <c r="E401" s="36" t="str">
        <f>VLOOKUP($B401,'[1]V1 V2'!$B$5:$BW$1894,74,0)</f>
        <v>C.F.1</v>
      </c>
      <c r="F401" s="168"/>
      <c r="G401" s="169"/>
      <c r="H401" s="170"/>
      <c r="I401" s="57"/>
      <c r="J401" s="56" t="s">
        <v>127</v>
      </c>
      <c r="K401" s="171"/>
      <c r="L401" s="171">
        <v>5.6</v>
      </c>
      <c r="M401" s="172"/>
      <c r="N401" s="173"/>
      <c r="O401" s="180" t="s">
        <v>621</v>
      </c>
      <c r="P401" s="191" t="s">
        <v>661</v>
      </c>
      <c r="Q401" s="176" t="s">
        <v>639</v>
      </c>
      <c r="R401" s="176" t="s">
        <v>623</v>
      </c>
      <c r="S401" s="191" t="s">
        <v>1203</v>
      </c>
      <c r="T401" s="173" t="s">
        <v>30</v>
      </c>
      <c r="U401" s="62" t="s">
        <v>48</v>
      </c>
      <c r="V401" s="177" t="s">
        <v>1204</v>
      </c>
      <c r="W401" s="177" t="s">
        <v>1205</v>
      </c>
      <c r="X401" s="177">
        <v>31894.639000000017</v>
      </c>
      <c r="Y401" s="177">
        <v>2910.4099999999989</v>
      </c>
      <c r="Z401" s="198"/>
      <c r="AA401" s="297" t="s">
        <v>1202</v>
      </c>
      <c r="AB401" s="21" t="s">
        <v>2</v>
      </c>
      <c r="AH401" s="63">
        <v>1</v>
      </c>
      <c r="AO401" s="10" t="s">
        <v>3</v>
      </c>
      <c r="AP401" s="297" t="s">
        <v>1206</v>
      </c>
      <c r="AQ401" s="198"/>
      <c r="AR401" s="177">
        <v>2909.8100000000013</v>
      </c>
      <c r="AS401" s="222">
        <f>AS399-AQ400</f>
        <v>31974.838999999993</v>
      </c>
      <c r="AT401" s="177" t="s">
        <v>1207</v>
      </c>
      <c r="AU401" s="177" t="s">
        <v>1208</v>
      </c>
      <c r="AV401" s="62"/>
      <c r="AW401" s="173" t="s">
        <v>30</v>
      </c>
      <c r="AX401" s="191" t="s">
        <v>1203</v>
      </c>
      <c r="AY401" s="176" t="s">
        <v>623</v>
      </c>
      <c r="AZ401" s="176" t="s">
        <v>639</v>
      </c>
      <c r="BA401" s="240" t="s">
        <v>661</v>
      </c>
      <c r="BB401" s="180" t="s">
        <v>621</v>
      </c>
      <c r="BC401" s="172"/>
      <c r="BD401" s="172"/>
      <c r="BE401" s="171">
        <v>5.6</v>
      </c>
      <c r="BF401" s="171"/>
      <c r="BG401" s="183" t="s">
        <v>127</v>
      </c>
      <c r="BH401" s="57"/>
      <c r="BI401" s="170"/>
      <c r="BJ401" s="169"/>
      <c r="BK401" s="181"/>
      <c r="BL401" s="36" t="str">
        <f>VLOOKUP($AP401,'[1]V1 V2'!$B$5:$BW$1894,74,0)</f>
        <v>C.F.1</v>
      </c>
      <c r="BM401" s="36" t="str">
        <f>IF('[1]V1 V2'!X400="","",'[1]V1 V2'!X400)</f>
        <v/>
      </c>
    </row>
    <row r="402" spans="1:65" ht="16" thickBot="1" x14ac:dyDescent="0.4">
      <c r="A402">
        <v>1</v>
      </c>
      <c r="B402" s="304"/>
      <c r="C402" s="305"/>
      <c r="D402" s="306"/>
      <c r="E402" s="36"/>
      <c r="F402" s="168"/>
      <c r="G402" s="169"/>
      <c r="H402" s="170"/>
      <c r="I402" s="57"/>
      <c r="J402" s="56"/>
      <c r="K402" s="171"/>
      <c r="L402" s="142"/>
      <c r="M402" s="172"/>
      <c r="N402" s="173"/>
      <c r="O402" s="180" t="s">
        <v>89</v>
      </c>
      <c r="P402" s="171"/>
      <c r="Q402" s="182"/>
      <c r="R402" s="182"/>
      <c r="S402" s="191"/>
      <c r="T402" s="173"/>
      <c r="U402" s="62"/>
      <c r="V402" s="177" t="s">
        <v>89</v>
      </c>
      <c r="W402" s="177" t="s">
        <v>89</v>
      </c>
      <c r="X402" s="230"/>
      <c r="Y402" s="177"/>
      <c r="Z402" s="198">
        <v>20.2</v>
      </c>
      <c r="AA402" s="297"/>
      <c r="AB402" s="21" t="s">
        <v>2</v>
      </c>
      <c r="AH402" s="63">
        <v>1</v>
      </c>
      <c r="AO402" s="10" t="s">
        <v>3</v>
      </c>
      <c r="AP402" s="297"/>
      <c r="AQ402" s="198">
        <v>20.2</v>
      </c>
      <c r="AR402" s="177"/>
      <c r="AS402" s="222"/>
      <c r="AT402" s="177" t="s">
        <v>89</v>
      </c>
      <c r="AU402" s="177" t="s">
        <v>89</v>
      </c>
      <c r="AV402" s="62"/>
      <c r="AW402" s="173"/>
      <c r="AX402" s="191"/>
      <c r="AY402" s="182"/>
      <c r="AZ402" s="182"/>
      <c r="BA402" s="171"/>
      <c r="BB402" s="180" t="s">
        <v>89</v>
      </c>
      <c r="BC402" s="172"/>
      <c r="BD402" s="172"/>
      <c r="BE402" s="142"/>
      <c r="BF402" s="171"/>
      <c r="BG402" s="56"/>
      <c r="BH402" s="57"/>
      <c r="BI402" s="170"/>
      <c r="BJ402" s="169"/>
      <c r="BK402" s="181"/>
      <c r="BL402" s="36"/>
      <c r="BM402" s="36" t="str">
        <f>IF('[1]V1 V2'!X401="","",'[1]V1 V2'!X401)</f>
        <v/>
      </c>
    </row>
    <row r="403" spans="1:65" ht="16" thickBot="1" x14ac:dyDescent="0.4">
      <c r="A403">
        <v>1</v>
      </c>
      <c r="B403" s="304" t="s">
        <v>1209</v>
      </c>
      <c r="C403" s="305"/>
      <c r="D403" s="306"/>
      <c r="E403" s="36" t="str">
        <f>VLOOKUP($B403,'[1]V1 V2'!$B$5:$BW$1894,74,0)</f>
        <v>C.F.2</v>
      </c>
      <c r="F403" s="168"/>
      <c r="G403" s="169"/>
      <c r="H403" s="170"/>
      <c r="I403" s="57"/>
      <c r="J403" s="56">
        <v>-20</v>
      </c>
      <c r="K403" s="171"/>
      <c r="L403" s="142">
        <v>5.6</v>
      </c>
      <c r="M403" s="172"/>
      <c r="N403" s="173"/>
      <c r="O403" s="180" t="s">
        <v>621</v>
      </c>
      <c r="P403" s="191" t="s">
        <v>661</v>
      </c>
      <c r="Q403" s="176" t="s">
        <v>639</v>
      </c>
      <c r="R403" s="176" t="s">
        <v>623</v>
      </c>
      <c r="S403" s="191" t="s">
        <v>1203</v>
      </c>
      <c r="T403" s="173" t="s">
        <v>30</v>
      </c>
      <c r="U403" s="62">
        <v>1200</v>
      </c>
      <c r="V403" s="177" t="s">
        <v>1210</v>
      </c>
      <c r="W403" s="177" t="s">
        <v>1211</v>
      </c>
      <c r="X403" s="177">
        <v>31874.439000000017</v>
      </c>
      <c r="Y403" s="177">
        <v>2930.6099999999988</v>
      </c>
      <c r="Z403" s="178"/>
      <c r="AA403" s="297" t="s">
        <v>1209</v>
      </c>
      <c r="AB403" s="21" t="s">
        <v>2</v>
      </c>
      <c r="AH403" s="63">
        <v>1</v>
      </c>
      <c r="AO403" s="10" t="s">
        <v>3</v>
      </c>
      <c r="AP403" s="297" t="s">
        <v>1212</v>
      </c>
      <c r="AQ403" s="198"/>
      <c r="AR403" s="177">
        <v>2930.0100000000011</v>
      </c>
      <c r="AS403" s="222">
        <f>AS401-AQ402</f>
        <v>31954.638999999992</v>
      </c>
      <c r="AT403" s="177" t="s">
        <v>1213</v>
      </c>
      <c r="AU403" s="177" t="s">
        <v>1214</v>
      </c>
      <c r="AV403" s="62"/>
      <c r="AW403" s="173" t="s">
        <v>30</v>
      </c>
      <c r="AX403" s="191" t="s">
        <v>1203</v>
      </c>
      <c r="AY403" s="176" t="s">
        <v>623</v>
      </c>
      <c r="AZ403" s="176" t="s">
        <v>639</v>
      </c>
      <c r="BA403" s="240" t="s">
        <v>661</v>
      </c>
      <c r="BB403" s="180" t="s">
        <v>621</v>
      </c>
      <c r="BC403" s="172"/>
      <c r="BD403" s="172"/>
      <c r="BE403" s="171">
        <v>5.6</v>
      </c>
      <c r="BF403" s="171"/>
      <c r="BG403" s="56">
        <v>-20</v>
      </c>
      <c r="BH403" s="57"/>
      <c r="BI403" s="170"/>
      <c r="BJ403" s="169"/>
      <c r="BK403" s="181"/>
      <c r="BL403" s="36" t="str">
        <f>VLOOKUP($AP403,'[1]V1 V2'!$B$5:$BW$1894,74,0)</f>
        <v>C.F.2</v>
      </c>
      <c r="BM403" s="36" t="str">
        <f>IF('[1]V1 V2'!X402="","",'[1]V1 V2'!X402)</f>
        <v/>
      </c>
    </row>
    <row r="404" spans="1:65" ht="16" thickBot="1" x14ac:dyDescent="0.4">
      <c r="A404">
        <v>1</v>
      </c>
      <c r="B404" s="304"/>
      <c r="C404" s="305"/>
      <c r="D404" s="306"/>
      <c r="E404" s="36"/>
      <c r="F404" s="168"/>
      <c r="G404" s="169"/>
      <c r="H404" s="170"/>
      <c r="I404" s="57"/>
      <c r="J404" s="56"/>
      <c r="K404" s="171"/>
      <c r="L404" s="142"/>
      <c r="M404" s="172"/>
      <c r="N404" s="173"/>
      <c r="O404" s="180" t="s">
        <v>89</v>
      </c>
      <c r="P404" s="171"/>
      <c r="Q404" s="182"/>
      <c r="R404" s="182"/>
      <c r="S404" s="191"/>
      <c r="T404" s="173"/>
      <c r="U404" s="62"/>
      <c r="V404" s="177" t="s">
        <v>89</v>
      </c>
      <c r="W404" s="177" t="s">
        <v>89</v>
      </c>
      <c r="X404" s="230"/>
      <c r="Y404" s="177"/>
      <c r="Z404" s="178">
        <v>20.2</v>
      </c>
      <c r="AA404" s="297"/>
      <c r="AB404" s="21" t="s">
        <v>2</v>
      </c>
      <c r="AH404" s="63">
        <v>1</v>
      </c>
      <c r="AO404" s="10" t="s">
        <v>3</v>
      </c>
      <c r="AP404" s="297"/>
      <c r="AQ404" s="198">
        <v>20.2</v>
      </c>
      <c r="AR404" s="177"/>
      <c r="AS404" s="222"/>
      <c r="AT404" s="177" t="s">
        <v>89</v>
      </c>
      <c r="AU404" s="177" t="s">
        <v>89</v>
      </c>
      <c r="AV404" s="62"/>
      <c r="AW404" s="173"/>
      <c r="AX404" s="191"/>
      <c r="AY404" s="182"/>
      <c r="AZ404" s="182"/>
      <c r="BA404" s="171"/>
      <c r="BB404" s="180" t="s">
        <v>89</v>
      </c>
      <c r="BC404" s="172"/>
      <c r="BD404" s="172"/>
      <c r="BE404" s="142"/>
      <c r="BF404" s="171"/>
      <c r="BG404" s="56"/>
      <c r="BH404" s="57"/>
      <c r="BI404" s="170"/>
      <c r="BJ404" s="169"/>
      <c r="BK404" s="181"/>
      <c r="BL404" s="36"/>
      <c r="BM404" s="36" t="str">
        <f>IF('[1]V1 V2'!X403="","",'[1]V1 V2'!X403)</f>
        <v/>
      </c>
    </row>
    <row r="405" spans="1:65" ht="16" thickBot="1" x14ac:dyDescent="0.4">
      <c r="A405">
        <v>1</v>
      </c>
      <c r="B405" s="304" t="s">
        <v>1215</v>
      </c>
      <c r="C405" s="305"/>
      <c r="D405" s="306"/>
      <c r="E405" s="36" t="str">
        <f>VLOOKUP($B405,'[1]V1 V2'!$B$5:$BW$1894,74,0)</f>
        <v>C.F.1</v>
      </c>
      <c r="F405" s="168"/>
      <c r="G405" s="169"/>
      <c r="H405" s="170"/>
      <c r="I405" s="57"/>
      <c r="J405" s="225" t="s">
        <v>1104</v>
      </c>
      <c r="K405" s="171"/>
      <c r="L405" s="171">
        <v>5.6</v>
      </c>
      <c r="M405" s="172"/>
      <c r="N405" s="173"/>
      <c r="O405" s="180" t="s">
        <v>621</v>
      </c>
      <c r="P405" s="191" t="s">
        <v>661</v>
      </c>
      <c r="Q405" s="176" t="s">
        <v>639</v>
      </c>
      <c r="R405" s="176" t="s">
        <v>623</v>
      </c>
      <c r="S405" s="191" t="s">
        <v>1203</v>
      </c>
      <c r="T405" s="173" t="s">
        <v>30</v>
      </c>
      <c r="U405" s="62">
        <v>1200</v>
      </c>
      <c r="V405" s="177" t="s">
        <v>1216</v>
      </c>
      <c r="W405" s="177" t="s">
        <v>1217</v>
      </c>
      <c r="X405" s="177">
        <v>31854.239000000016</v>
      </c>
      <c r="Y405" s="177">
        <v>2950.8099999999986</v>
      </c>
      <c r="Z405" s="178"/>
      <c r="AA405" s="297" t="s">
        <v>1215</v>
      </c>
      <c r="AB405" s="21" t="s">
        <v>2</v>
      </c>
      <c r="AH405" s="63">
        <v>1</v>
      </c>
      <c r="AO405" s="10" t="s">
        <v>3</v>
      </c>
      <c r="AP405" s="297" t="s">
        <v>1218</v>
      </c>
      <c r="AQ405" s="198"/>
      <c r="AR405" s="177">
        <v>2950.2100000000009</v>
      </c>
      <c r="AS405" s="222">
        <f>AS403-AQ404</f>
        <v>31934.438999999991</v>
      </c>
      <c r="AT405" s="177" t="s">
        <v>1219</v>
      </c>
      <c r="AU405" s="177" t="s">
        <v>1220</v>
      </c>
      <c r="AV405" s="62"/>
      <c r="AW405" s="173" t="s">
        <v>30</v>
      </c>
      <c r="AX405" s="191" t="s">
        <v>1203</v>
      </c>
      <c r="AY405" s="176" t="s">
        <v>623</v>
      </c>
      <c r="AZ405" s="176" t="s">
        <v>639</v>
      </c>
      <c r="BA405" s="240" t="s">
        <v>661</v>
      </c>
      <c r="BB405" s="180" t="s">
        <v>621</v>
      </c>
      <c r="BC405" s="172"/>
      <c r="BD405" s="172"/>
      <c r="BE405" s="171">
        <v>5.6</v>
      </c>
      <c r="BF405" s="171"/>
      <c r="BG405" s="225" t="s">
        <v>1104</v>
      </c>
      <c r="BH405" s="57"/>
      <c r="BI405" s="170"/>
      <c r="BJ405" s="169"/>
      <c r="BK405" s="181"/>
      <c r="BL405" s="36" t="str">
        <f>VLOOKUP($AP405,'[1]V1 V2'!$B$5:$BW$1894,74,0)</f>
        <v>C.F.1</v>
      </c>
      <c r="BM405" s="36" t="str">
        <f>IF('[1]V1 V2'!X404="","",'[1]V1 V2'!X404)</f>
        <v/>
      </c>
    </row>
    <row r="406" spans="1:65" ht="16" thickBot="1" x14ac:dyDescent="0.4">
      <c r="A406">
        <v>1</v>
      </c>
      <c r="B406" s="304"/>
      <c r="C406" s="305"/>
      <c r="D406" s="306"/>
      <c r="E406" s="36"/>
      <c r="F406" s="168"/>
      <c r="G406" s="169"/>
      <c r="H406" s="170"/>
      <c r="I406" s="57"/>
      <c r="J406" s="56"/>
      <c r="K406" s="171"/>
      <c r="L406" s="142"/>
      <c r="M406" s="172"/>
      <c r="N406" s="173"/>
      <c r="O406" s="180" t="s">
        <v>89</v>
      </c>
      <c r="P406" s="171"/>
      <c r="Q406" s="182"/>
      <c r="R406" s="182"/>
      <c r="S406" s="191"/>
      <c r="T406" s="173"/>
      <c r="U406" s="62"/>
      <c r="V406" s="177" t="s">
        <v>89</v>
      </c>
      <c r="W406" s="177" t="s">
        <v>89</v>
      </c>
      <c r="X406" s="230"/>
      <c r="Y406" s="177"/>
      <c r="Z406" s="178">
        <v>20.2</v>
      </c>
      <c r="AA406" s="297"/>
      <c r="AB406" s="21" t="s">
        <v>2</v>
      </c>
      <c r="AH406" s="63">
        <v>1</v>
      </c>
      <c r="AO406" s="10" t="s">
        <v>3</v>
      </c>
      <c r="AP406" s="297"/>
      <c r="AQ406" s="198">
        <v>20.100000000000001</v>
      </c>
      <c r="AR406" s="177"/>
      <c r="AS406" s="222"/>
      <c r="AT406" s="177" t="s">
        <v>89</v>
      </c>
      <c r="AU406" s="177" t="s">
        <v>89</v>
      </c>
      <c r="AV406" s="62"/>
      <c r="AW406" s="173"/>
      <c r="AX406" s="191"/>
      <c r="AY406" s="182"/>
      <c r="AZ406" s="182"/>
      <c r="BA406" s="171"/>
      <c r="BB406" s="180" t="s">
        <v>89</v>
      </c>
      <c r="BC406" s="172"/>
      <c r="BD406" s="172"/>
      <c r="BE406" s="142"/>
      <c r="BF406" s="171"/>
      <c r="BG406" s="56"/>
      <c r="BH406" s="57"/>
      <c r="BI406" s="170"/>
      <c r="BJ406" s="169"/>
      <c r="BK406" s="181"/>
      <c r="BL406" s="36"/>
      <c r="BM406" s="36" t="str">
        <f>IF('[1]V1 V2'!X405="","",'[1]V1 V2'!X405)</f>
        <v/>
      </c>
    </row>
    <row r="407" spans="1:65" ht="16" thickBot="1" x14ac:dyDescent="0.4">
      <c r="A407">
        <v>1</v>
      </c>
      <c r="B407" s="304" t="s">
        <v>1221</v>
      </c>
      <c r="C407" s="305"/>
      <c r="D407" s="306"/>
      <c r="E407" s="36" t="str">
        <f>VLOOKUP($B407,'[1]V1 V2'!$B$5:$BW$1894,74,0)</f>
        <v>C.F.1</v>
      </c>
      <c r="F407" s="168"/>
      <c r="G407" s="169"/>
      <c r="H407" s="170"/>
      <c r="I407" s="57"/>
      <c r="J407" s="56" t="s">
        <v>127</v>
      </c>
      <c r="K407" s="171"/>
      <c r="L407" s="142">
        <v>5.6</v>
      </c>
      <c r="M407" s="172"/>
      <c r="N407" s="173"/>
      <c r="O407" s="180" t="s">
        <v>621</v>
      </c>
      <c r="P407" s="191" t="s">
        <v>661</v>
      </c>
      <c r="Q407" s="176" t="s">
        <v>639</v>
      </c>
      <c r="R407" s="176" t="s">
        <v>623</v>
      </c>
      <c r="S407" s="191" t="s">
        <v>1203</v>
      </c>
      <c r="T407" s="173" t="s">
        <v>30</v>
      </c>
      <c r="U407" s="62" t="s">
        <v>48</v>
      </c>
      <c r="V407" s="177" t="s">
        <v>1222</v>
      </c>
      <c r="W407" s="177" t="s">
        <v>1223</v>
      </c>
      <c r="X407" s="177">
        <v>31834.039000000015</v>
      </c>
      <c r="Y407" s="377">
        <v>2971.0099999999984</v>
      </c>
      <c r="Z407" s="178"/>
      <c r="AA407" s="297" t="s">
        <v>1221</v>
      </c>
      <c r="AB407" s="21" t="s">
        <v>2</v>
      </c>
      <c r="AH407" s="63">
        <v>1</v>
      </c>
      <c r="AO407" s="10" t="s">
        <v>3</v>
      </c>
      <c r="AP407" s="297" t="s">
        <v>1224</v>
      </c>
      <c r="AQ407" s="198"/>
      <c r="AR407" s="177">
        <v>2970.3100000000009</v>
      </c>
      <c r="AS407" s="222">
        <f>AS405-AQ406</f>
        <v>31914.338999999993</v>
      </c>
      <c r="AT407" s="177" t="s">
        <v>1225</v>
      </c>
      <c r="AU407" s="177" t="s">
        <v>1226</v>
      </c>
      <c r="AV407" s="62"/>
      <c r="AW407" s="173" t="s">
        <v>30</v>
      </c>
      <c r="AX407" s="175" t="s">
        <v>1203</v>
      </c>
      <c r="AY407" s="176" t="s">
        <v>623</v>
      </c>
      <c r="AZ407" s="176" t="s">
        <v>639</v>
      </c>
      <c r="BA407" s="240" t="s">
        <v>661</v>
      </c>
      <c r="BB407" s="180" t="s">
        <v>621</v>
      </c>
      <c r="BC407" s="172"/>
      <c r="BD407" s="172"/>
      <c r="BE407" s="171">
        <v>5.6</v>
      </c>
      <c r="BF407" s="171"/>
      <c r="BG407" s="183" t="s">
        <v>127</v>
      </c>
      <c r="BH407" s="57"/>
      <c r="BI407" s="170"/>
      <c r="BJ407" s="169"/>
      <c r="BK407" s="181"/>
      <c r="BL407" s="36" t="str">
        <f>VLOOKUP($AP407,'[1]V1 V2'!$B$5:$BW$1894,74,0)</f>
        <v>C.F.1</v>
      </c>
      <c r="BM407" s="36" t="str">
        <f>IF('[1]V1 V2'!X406="","",'[1]V1 V2'!X406)</f>
        <v/>
      </c>
    </row>
    <row r="408" spans="1:65" ht="16" thickBot="1" x14ac:dyDescent="0.4">
      <c r="A408">
        <v>1</v>
      </c>
      <c r="B408" s="304"/>
      <c r="C408" s="305"/>
      <c r="D408" s="306"/>
      <c r="E408" s="36"/>
      <c r="F408" s="168"/>
      <c r="G408" s="169"/>
      <c r="H408" s="170"/>
      <c r="I408" s="57"/>
      <c r="J408" s="56"/>
      <c r="K408" s="171"/>
      <c r="L408" s="142"/>
      <c r="M408" s="172"/>
      <c r="N408" s="173"/>
      <c r="O408" s="180" t="s">
        <v>89</v>
      </c>
      <c r="P408" s="171"/>
      <c r="Q408" s="182"/>
      <c r="R408" s="182"/>
      <c r="S408" s="191"/>
      <c r="T408" s="173"/>
      <c r="U408" s="62"/>
      <c r="V408" s="177" t="s">
        <v>89</v>
      </c>
      <c r="W408" s="177" t="s">
        <v>89</v>
      </c>
      <c r="X408" s="230"/>
      <c r="Y408" s="177"/>
      <c r="Z408" s="178">
        <v>20.2</v>
      </c>
      <c r="AA408" s="297"/>
      <c r="AB408" s="21" t="s">
        <v>2</v>
      </c>
      <c r="AH408" s="63">
        <v>1</v>
      </c>
      <c r="AO408" s="10" t="s">
        <v>3</v>
      </c>
      <c r="AP408" s="297"/>
      <c r="AQ408" s="178">
        <v>20.2</v>
      </c>
      <c r="AR408" s="177"/>
      <c r="AS408" s="222"/>
      <c r="AT408" s="177" t="s">
        <v>89</v>
      </c>
      <c r="AU408" s="177" t="s">
        <v>89</v>
      </c>
      <c r="AV408" s="62"/>
      <c r="AW408" s="173"/>
      <c r="AX408" s="175"/>
      <c r="AY408" s="182"/>
      <c r="AZ408" s="182"/>
      <c r="BA408" s="171"/>
      <c r="BB408" s="180" t="s">
        <v>89</v>
      </c>
      <c r="BC408" s="172"/>
      <c r="BD408" s="172"/>
      <c r="BE408" s="142"/>
      <c r="BF408" s="171"/>
      <c r="BG408" s="56"/>
      <c r="BH408" s="57"/>
      <c r="BI408" s="170"/>
      <c r="BJ408" s="169"/>
      <c r="BK408" s="181"/>
      <c r="BL408" s="36"/>
      <c r="BM408" s="36" t="str">
        <f>IF('[1]V1 V2'!X407="","",'[1]V1 V2'!X407)</f>
        <v/>
      </c>
    </row>
    <row r="409" spans="1:65" ht="16" thickBot="1" x14ac:dyDescent="0.4">
      <c r="A409">
        <v>1</v>
      </c>
      <c r="B409" s="304" t="s">
        <v>1227</v>
      </c>
      <c r="C409" s="305"/>
      <c r="D409" s="306"/>
      <c r="E409" s="36" t="str">
        <f>VLOOKUP($B409,'[1]V1 V2'!$B$5:$BW$1894,74,0)</f>
        <v>C.F.2</v>
      </c>
      <c r="F409" s="168"/>
      <c r="G409" s="169"/>
      <c r="H409" s="170"/>
      <c r="I409" s="57"/>
      <c r="J409" s="56">
        <v>-20</v>
      </c>
      <c r="K409" s="171"/>
      <c r="L409" s="171">
        <v>5.6</v>
      </c>
      <c r="M409" s="172"/>
      <c r="N409" s="173"/>
      <c r="O409" s="180" t="s">
        <v>621</v>
      </c>
      <c r="P409" s="191" t="s">
        <v>942</v>
      </c>
      <c r="Q409" s="176" t="s">
        <v>1228</v>
      </c>
      <c r="R409" s="176" t="s">
        <v>623</v>
      </c>
      <c r="S409" s="191" t="s">
        <v>1203</v>
      </c>
      <c r="T409" s="173" t="s">
        <v>30</v>
      </c>
      <c r="U409" s="62"/>
      <c r="V409" s="177" t="s">
        <v>1229</v>
      </c>
      <c r="W409" s="177" t="s">
        <v>1230</v>
      </c>
      <c r="X409" s="177">
        <v>31813.839000000014</v>
      </c>
      <c r="Y409" s="177">
        <v>2991.2099999999982</v>
      </c>
      <c r="Z409" s="178"/>
      <c r="AA409" s="297" t="s">
        <v>1227</v>
      </c>
      <c r="AB409" s="21" t="s">
        <v>2</v>
      </c>
      <c r="AH409" s="63">
        <v>1</v>
      </c>
      <c r="AO409" s="10" t="s">
        <v>3</v>
      </c>
      <c r="AP409" s="297" t="s">
        <v>1231</v>
      </c>
      <c r="AQ409" s="178"/>
      <c r="AR409" s="177">
        <v>2990.5100000000007</v>
      </c>
      <c r="AS409" s="222">
        <f>AS407-AQ408</f>
        <v>31894.138999999992</v>
      </c>
      <c r="AT409" s="177" t="s">
        <v>1232</v>
      </c>
      <c r="AU409" s="177" t="s">
        <v>1233</v>
      </c>
      <c r="AV409" s="62"/>
      <c r="AW409" s="173" t="s">
        <v>30</v>
      </c>
      <c r="AX409" s="175" t="s">
        <v>1203</v>
      </c>
      <c r="AY409" s="176" t="s">
        <v>623</v>
      </c>
      <c r="AZ409" s="176" t="s">
        <v>1228</v>
      </c>
      <c r="BA409" s="240" t="s">
        <v>942</v>
      </c>
      <c r="BB409" s="180" t="s">
        <v>621</v>
      </c>
      <c r="BC409" s="172"/>
      <c r="BD409" s="172"/>
      <c r="BE409" s="171">
        <v>5.6</v>
      </c>
      <c r="BF409" s="171"/>
      <c r="BG409" s="56">
        <v>-20</v>
      </c>
      <c r="BH409" s="57"/>
      <c r="BI409" s="170"/>
      <c r="BJ409" s="169"/>
      <c r="BK409" s="181"/>
      <c r="BL409" s="36" t="str">
        <f>VLOOKUP($AP409,'[1]V1 V2'!$B$5:$BW$1894,74,0)</f>
        <v>C.F.2</v>
      </c>
      <c r="BM409" s="36" t="str">
        <f>IF('[1]V1 V2'!X408="","",'[1]V1 V2'!X408)</f>
        <v/>
      </c>
    </row>
    <row r="410" spans="1:65" ht="16" thickBot="1" x14ac:dyDescent="0.4">
      <c r="A410">
        <v>1</v>
      </c>
      <c r="B410" s="304"/>
      <c r="C410" s="305"/>
      <c r="D410" s="306"/>
      <c r="E410" s="36"/>
      <c r="F410" s="168"/>
      <c r="G410" s="169"/>
      <c r="H410" s="170"/>
      <c r="I410" s="57"/>
      <c r="J410" s="56"/>
      <c r="K410" s="171"/>
      <c r="L410" s="142"/>
      <c r="M410" s="172"/>
      <c r="N410" s="173"/>
      <c r="O410" s="174" t="s">
        <v>89</v>
      </c>
      <c r="P410" s="171"/>
      <c r="Q410" s="182"/>
      <c r="R410" s="182"/>
      <c r="S410" s="191"/>
      <c r="T410" s="173"/>
      <c r="U410" s="62"/>
      <c r="V410" s="177" t="s">
        <v>89</v>
      </c>
      <c r="W410" s="177" t="s">
        <v>89</v>
      </c>
      <c r="X410" s="230"/>
      <c r="Y410" s="177"/>
      <c r="Z410" s="178">
        <v>20.2</v>
      </c>
      <c r="AA410" s="297"/>
      <c r="AB410" s="21" t="s">
        <v>2</v>
      </c>
      <c r="AH410" s="63">
        <v>1</v>
      </c>
      <c r="AO410" s="10" t="s">
        <v>3</v>
      </c>
      <c r="AP410" s="297"/>
      <c r="AQ410" s="178">
        <v>20.2</v>
      </c>
      <c r="AR410" s="177"/>
      <c r="AS410" s="222"/>
      <c r="AT410" s="177" t="s">
        <v>89</v>
      </c>
      <c r="AU410" s="177" t="s">
        <v>89</v>
      </c>
      <c r="AV410" s="62"/>
      <c r="AW410" s="173"/>
      <c r="AX410" s="175"/>
      <c r="AY410" s="182"/>
      <c r="AZ410" s="182"/>
      <c r="BA410" s="171"/>
      <c r="BB410" s="180" t="s">
        <v>89</v>
      </c>
      <c r="BC410" s="172"/>
      <c r="BD410" s="172"/>
      <c r="BE410" s="142"/>
      <c r="BF410" s="171"/>
      <c r="BG410" s="56"/>
      <c r="BH410" s="57"/>
      <c r="BI410" s="170"/>
      <c r="BJ410" s="169"/>
      <c r="BK410" s="181"/>
      <c r="BL410" s="36"/>
      <c r="BM410" s="36" t="str">
        <f>IF('[1]V1 V2'!X409="","",'[1]V1 V2'!X409)</f>
        <v/>
      </c>
    </row>
    <row r="411" spans="1:65" ht="16" thickBot="1" x14ac:dyDescent="0.4">
      <c r="A411">
        <v>1</v>
      </c>
      <c r="B411" s="304" t="s">
        <v>1234</v>
      </c>
      <c r="C411" s="305"/>
      <c r="D411" s="306"/>
      <c r="E411" s="36" t="str">
        <f>VLOOKUP($B411,'[1]V1 V2'!$B$5:$BW$1894,74,0)</f>
        <v>C.F.1</v>
      </c>
      <c r="F411" s="168"/>
      <c r="G411" s="169"/>
      <c r="H411" s="170"/>
      <c r="I411" s="57"/>
      <c r="J411" s="56" t="s">
        <v>127</v>
      </c>
      <c r="K411" s="171"/>
      <c r="L411" s="142">
        <v>5.6</v>
      </c>
      <c r="M411" s="172"/>
      <c r="N411" s="173"/>
      <c r="O411" s="174" t="s">
        <v>621</v>
      </c>
      <c r="P411" s="191" t="s">
        <v>942</v>
      </c>
      <c r="Q411" s="176" t="s">
        <v>1228</v>
      </c>
      <c r="R411" s="176" t="s">
        <v>623</v>
      </c>
      <c r="S411" s="191" t="s">
        <v>1203</v>
      </c>
      <c r="T411" s="173" t="s">
        <v>30</v>
      </c>
      <c r="U411" s="62"/>
      <c r="V411" s="177" t="s">
        <v>1235</v>
      </c>
      <c r="W411" s="177" t="s">
        <v>1236</v>
      </c>
      <c r="X411" s="177">
        <v>31793.639000000014</v>
      </c>
      <c r="Y411" s="177">
        <v>3011.409999999998</v>
      </c>
      <c r="Z411" s="178"/>
      <c r="AA411" s="297" t="s">
        <v>1234</v>
      </c>
      <c r="AB411" s="21" t="s">
        <v>2</v>
      </c>
      <c r="AH411" s="63">
        <v>1</v>
      </c>
      <c r="AO411" s="10" t="s">
        <v>3</v>
      </c>
      <c r="AP411" s="297" t="s">
        <v>1237</v>
      </c>
      <c r="AQ411" s="178"/>
      <c r="AR411" s="177">
        <v>3010.7100000000005</v>
      </c>
      <c r="AS411" s="222">
        <f>AS409-AQ410</f>
        <v>31873.938999999991</v>
      </c>
      <c r="AT411" s="177" t="s">
        <v>1238</v>
      </c>
      <c r="AU411" s="177" t="s">
        <v>1239</v>
      </c>
      <c r="AV411" s="62"/>
      <c r="AW411" s="173" t="s">
        <v>30</v>
      </c>
      <c r="AX411" s="175" t="s">
        <v>1203</v>
      </c>
      <c r="AY411" s="176" t="s">
        <v>623</v>
      </c>
      <c r="AZ411" s="176" t="s">
        <v>1228</v>
      </c>
      <c r="BA411" s="240" t="s">
        <v>942</v>
      </c>
      <c r="BB411" s="180" t="s">
        <v>621</v>
      </c>
      <c r="BC411" s="172"/>
      <c r="BD411" s="172"/>
      <c r="BE411" s="171">
        <v>5.6</v>
      </c>
      <c r="BF411" s="171"/>
      <c r="BG411" s="183" t="s">
        <v>127</v>
      </c>
      <c r="BH411" s="57"/>
      <c r="BI411" s="170"/>
      <c r="BJ411" s="169"/>
      <c r="BK411" s="181"/>
      <c r="BL411" s="36" t="str">
        <f>VLOOKUP($AP411,'[1]V1 V2'!$B$5:$BW$1894,74,0)</f>
        <v>C.F.1</v>
      </c>
      <c r="BM411" s="36" t="str">
        <f>IF('[1]V1 V2'!X410="","",'[1]V1 V2'!X410)</f>
        <v/>
      </c>
    </row>
    <row r="412" spans="1:65" ht="16" thickBot="1" x14ac:dyDescent="0.4">
      <c r="A412">
        <v>1</v>
      </c>
      <c r="B412" s="304"/>
      <c r="C412" s="305"/>
      <c r="D412" s="306"/>
      <c r="E412" s="36"/>
      <c r="F412" s="168"/>
      <c r="G412" s="169"/>
      <c r="H412" s="170"/>
      <c r="I412" s="57"/>
      <c r="J412" s="56"/>
      <c r="K412" s="171"/>
      <c r="L412" s="142"/>
      <c r="M412" s="172"/>
      <c r="N412" s="173"/>
      <c r="O412" s="174" t="s">
        <v>89</v>
      </c>
      <c r="P412" s="171"/>
      <c r="Q412" s="182"/>
      <c r="R412" s="182"/>
      <c r="S412" s="191"/>
      <c r="T412" s="173"/>
      <c r="U412" s="62"/>
      <c r="V412" s="177" t="s">
        <v>89</v>
      </c>
      <c r="W412" s="177" t="s">
        <v>89</v>
      </c>
      <c r="X412" s="230"/>
      <c r="Y412" s="177"/>
      <c r="Z412" s="178">
        <v>24</v>
      </c>
      <c r="AA412" s="297"/>
      <c r="AB412" s="21" t="s">
        <v>2</v>
      </c>
      <c r="AH412" s="63">
        <v>1</v>
      </c>
      <c r="AO412" s="10" t="s">
        <v>3</v>
      </c>
      <c r="AP412" s="297"/>
      <c r="AQ412" s="178">
        <v>24</v>
      </c>
      <c r="AR412" s="177"/>
      <c r="AS412" s="222"/>
      <c r="AT412" s="177" t="s">
        <v>89</v>
      </c>
      <c r="AU412" s="177" t="s">
        <v>89</v>
      </c>
      <c r="AV412" s="62"/>
      <c r="AW412" s="173"/>
      <c r="AX412" s="175"/>
      <c r="AY412" s="182"/>
      <c r="AZ412" s="182"/>
      <c r="BA412" s="171"/>
      <c r="BB412" s="180" t="s">
        <v>89</v>
      </c>
      <c r="BC412" s="172"/>
      <c r="BD412" s="172"/>
      <c r="BE412" s="142"/>
      <c r="BF412" s="171"/>
      <c r="BG412" s="56"/>
      <c r="BH412" s="57"/>
      <c r="BI412" s="170"/>
      <c r="BJ412" s="169"/>
      <c r="BK412" s="181"/>
      <c r="BL412" s="36"/>
      <c r="BM412" s="36" t="str">
        <f>IF('[1]V1 V2'!X411="","",'[1]V1 V2'!X411)</f>
        <v/>
      </c>
    </row>
    <row r="413" spans="1:65" ht="16" thickBot="1" x14ac:dyDescent="0.4">
      <c r="A413">
        <v>1</v>
      </c>
      <c r="B413" s="304" t="s">
        <v>1240</v>
      </c>
      <c r="C413" s="305"/>
      <c r="D413" s="306"/>
      <c r="E413" s="36" t="str">
        <f>VLOOKUP($B413,'[1]V1 V2'!$B$5:$BW$1894,74,0)</f>
        <v>C.F.2</v>
      </c>
      <c r="F413" s="168"/>
      <c r="G413" s="169"/>
      <c r="H413" s="170"/>
      <c r="I413" s="57"/>
      <c r="J413" s="56">
        <v>-20</v>
      </c>
      <c r="K413" s="171"/>
      <c r="L413" s="171">
        <v>5.6</v>
      </c>
      <c r="M413" s="172"/>
      <c r="N413" s="173"/>
      <c r="O413" s="174" t="s">
        <v>621</v>
      </c>
      <c r="P413" s="191" t="s">
        <v>942</v>
      </c>
      <c r="Q413" s="176" t="s">
        <v>1228</v>
      </c>
      <c r="R413" s="176" t="s">
        <v>623</v>
      </c>
      <c r="S413" s="191" t="s">
        <v>1203</v>
      </c>
      <c r="T413" s="173" t="s">
        <v>30</v>
      </c>
      <c r="U413" s="62"/>
      <c r="V413" s="177" t="s">
        <v>1241</v>
      </c>
      <c r="W413" s="177" t="s">
        <v>1242</v>
      </c>
      <c r="X413" s="177">
        <v>31769.639000000014</v>
      </c>
      <c r="Y413" s="177">
        <v>3035.409999999998</v>
      </c>
      <c r="Z413" s="178"/>
      <c r="AA413" s="297" t="s">
        <v>1240</v>
      </c>
      <c r="AB413" s="21" t="s">
        <v>2</v>
      </c>
      <c r="AH413" s="63">
        <v>1</v>
      </c>
      <c r="AO413" s="10" t="s">
        <v>3</v>
      </c>
      <c r="AP413" s="297" t="s">
        <v>1243</v>
      </c>
      <c r="AQ413" s="178"/>
      <c r="AR413" s="177">
        <v>3034.7100000000005</v>
      </c>
      <c r="AS413" s="222">
        <f>AS411-AQ412</f>
        <v>31849.938999999991</v>
      </c>
      <c r="AT413" s="177" t="s">
        <v>1244</v>
      </c>
      <c r="AU413" s="177" t="s">
        <v>1245</v>
      </c>
      <c r="AV413" s="62"/>
      <c r="AW413" s="173" t="s">
        <v>30</v>
      </c>
      <c r="AX413" s="175" t="s">
        <v>1203</v>
      </c>
      <c r="AY413" s="176" t="s">
        <v>623</v>
      </c>
      <c r="AZ413" s="176" t="s">
        <v>1228</v>
      </c>
      <c r="BA413" s="240" t="s">
        <v>942</v>
      </c>
      <c r="BB413" s="180" t="s">
        <v>621</v>
      </c>
      <c r="BC413" s="172"/>
      <c r="BD413" s="172"/>
      <c r="BE413" s="171">
        <v>5.6</v>
      </c>
      <c r="BF413" s="171"/>
      <c r="BG413" s="56">
        <v>-20</v>
      </c>
      <c r="BH413" s="57"/>
      <c r="BI413" s="170"/>
      <c r="BJ413" s="169"/>
      <c r="BK413" s="181"/>
      <c r="BL413" s="36" t="str">
        <f>VLOOKUP($AP413,'[1]V1 V2'!$B$5:$BW$1894,74,0)</f>
        <v>C.F.2</v>
      </c>
      <c r="BM413" s="36" t="str">
        <f>IF('[1]V1 V2'!X412="","",'[1]V1 V2'!X412)</f>
        <v/>
      </c>
    </row>
    <row r="414" spans="1:65" ht="16" thickBot="1" x14ac:dyDescent="0.4">
      <c r="A414">
        <v>1</v>
      </c>
      <c r="B414" s="304"/>
      <c r="C414" s="305"/>
      <c r="D414" s="307" t="s">
        <v>720</v>
      </c>
      <c r="E414" s="36"/>
      <c r="F414" s="168"/>
      <c r="G414" s="169"/>
      <c r="H414" s="170"/>
      <c r="I414" s="57"/>
      <c r="J414" s="56"/>
      <c r="K414" s="171"/>
      <c r="L414" s="142"/>
      <c r="M414" s="172"/>
      <c r="N414" s="173"/>
      <c r="O414" s="174" t="s">
        <v>89</v>
      </c>
      <c r="P414" s="171"/>
      <c r="Q414" s="182"/>
      <c r="R414" s="182"/>
      <c r="S414" s="191"/>
      <c r="T414" s="173"/>
      <c r="U414" s="62"/>
      <c r="V414" s="177" t="s">
        <v>89</v>
      </c>
      <c r="W414" s="177" t="s">
        <v>89</v>
      </c>
      <c r="X414" s="230"/>
      <c r="Y414" s="177"/>
      <c r="Z414" s="178">
        <v>24.5</v>
      </c>
      <c r="AA414" s="297"/>
      <c r="AB414" s="21" t="s">
        <v>2</v>
      </c>
      <c r="AH414" s="63">
        <v>1</v>
      </c>
      <c r="AO414" s="10" t="s">
        <v>3</v>
      </c>
      <c r="AP414" s="297"/>
      <c r="AQ414" s="178">
        <v>24.5</v>
      </c>
      <c r="AR414" s="177"/>
      <c r="AS414" s="222"/>
      <c r="AT414" s="177" t="s">
        <v>89</v>
      </c>
      <c r="AU414" s="177" t="s">
        <v>89</v>
      </c>
      <c r="AV414" s="62"/>
      <c r="AW414" s="173"/>
      <c r="AX414" s="175"/>
      <c r="AY414" s="182"/>
      <c r="AZ414" s="182"/>
      <c r="BA414" s="171"/>
      <c r="BB414" s="180" t="s">
        <v>89</v>
      </c>
      <c r="BC414" s="172"/>
      <c r="BD414" s="172"/>
      <c r="BE414" s="142"/>
      <c r="BF414" s="171"/>
      <c r="BG414" s="56"/>
      <c r="BH414" s="57"/>
      <c r="BI414" s="170"/>
      <c r="BJ414" s="169"/>
      <c r="BK414" s="181"/>
      <c r="BL414" s="36"/>
      <c r="BM414" s="308" t="str">
        <f>IF('[1]V1 V2'!X413="","",'[1]V1 V2'!X413)</f>
        <v>1PEAD D110mm ou 2PEAD D63mm+ 1PEAD 32mm</v>
      </c>
    </row>
    <row r="415" spans="1:65" ht="16" thickBot="1" x14ac:dyDescent="0.4">
      <c r="A415">
        <v>1</v>
      </c>
      <c r="B415" s="304" t="s">
        <v>1246</v>
      </c>
      <c r="C415" s="305"/>
      <c r="D415" s="309" t="s">
        <v>722</v>
      </c>
      <c r="E415" s="36" t="str">
        <f>VLOOKUP($B415,'[1]V1 V2'!$B$5:$BW$1894,74,0)</f>
        <v>C.F.24</v>
      </c>
      <c r="F415" s="168"/>
      <c r="G415" s="169"/>
      <c r="H415" s="170"/>
      <c r="I415" s="57"/>
      <c r="J415" s="56" t="s">
        <v>127</v>
      </c>
      <c r="K415" s="171"/>
      <c r="L415" s="142">
        <v>5.6</v>
      </c>
      <c r="M415" s="172"/>
      <c r="N415" s="173"/>
      <c r="O415" s="174" t="s">
        <v>621</v>
      </c>
      <c r="P415" s="191" t="s">
        <v>942</v>
      </c>
      <c r="Q415" s="176" t="s">
        <v>1228</v>
      </c>
      <c r="R415" s="176" t="s">
        <v>623</v>
      </c>
      <c r="S415" s="175" t="s">
        <v>1203</v>
      </c>
      <c r="T415" s="173" t="s">
        <v>30</v>
      </c>
      <c r="U415" s="62"/>
      <c r="V415" s="177" t="s">
        <v>1247</v>
      </c>
      <c r="W415" s="177" t="s">
        <v>1248</v>
      </c>
      <c r="X415" s="177">
        <v>31745.139000000014</v>
      </c>
      <c r="Y415" s="177">
        <v>3059.909999999998</v>
      </c>
      <c r="Z415" s="178"/>
      <c r="AA415" s="297" t="s">
        <v>1246</v>
      </c>
      <c r="AB415" s="21" t="s">
        <v>2</v>
      </c>
      <c r="AH415" s="63">
        <v>1</v>
      </c>
      <c r="AO415" s="10" t="s">
        <v>3</v>
      </c>
      <c r="AP415" s="297" t="s">
        <v>1249</v>
      </c>
      <c r="AQ415" s="178"/>
      <c r="AR415" s="177">
        <v>3059.2100000000005</v>
      </c>
      <c r="AS415" s="222">
        <f>AS413-AQ414</f>
        <v>31825.438999999991</v>
      </c>
      <c r="AT415" s="177" t="s">
        <v>1250</v>
      </c>
      <c r="AU415" s="177" t="s">
        <v>1251</v>
      </c>
      <c r="AV415" s="62"/>
      <c r="AW415" s="173" t="s">
        <v>30</v>
      </c>
      <c r="AX415" s="175" t="s">
        <v>1203</v>
      </c>
      <c r="AY415" s="176" t="s">
        <v>623</v>
      </c>
      <c r="AZ415" s="176" t="s">
        <v>1228</v>
      </c>
      <c r="BA415" s="240" t="s">
        <v>942</v>
      </c>
      <c r="BB415" s="180" t="s">
        <v>621</v>
      </c>
      <c r="BC415" s="172"/>
      <c r="BD415" s="172"/>
      <c r="BE415" s="171">
        <v>5.6</v>
      </c>
      <c r="BF415" s="171"/>
      <c r="BG415" s="183" t="s">
        <v>127</v>
      </c>
      <c r="BH415" s="57"/>
      <c r="BI415" s="170"/>
      <c r="BJ415" s="169"/>
      <c r="BK415" s="181"/>
      <c r="BL415" s="36" t="str">
        <f>VLOOKUP($AP415,'[1]V1 V2'!$B$5:$BW$1894,74,0)</f>
        <v>C.F.24</v>
      </c>
      <c r="BM415" s="202" t="str">
        <f>IF('[1]V1 V2'!X414="","",'[1]V1 V2'!X414)</f>
        <v>FR</v>
      </c>
    </row>
    <row r="416" spans="1:65" ht="16" thickBot="1" x14ac:dyDescent="0.4">
      <c r="A416">
        <v>1</v>
      </c>
      <c r="B416" s="304"/>
      <c r="C416" s="305"/>
      <c r="D416" s="307" t="s">
        <v>728</v>
      </c>
      <c r="E416" s="36"/>
      <c r="F416" s="168"/>
      <c r="G416" s="169"/>
      <c r="H416" s="170"/>
      <c r="I416" s="57"/>
      <c r="J416" s="56"/>
      <c r="K416" s="171"/>
      <c r="L416" s="142"/>
      <c r="M416" s="172"/>
      <c r="N416" s="173"/>
      <c r="O416" s="174" t="s">
        <v>89</v>
      </c>
      <c r="P416" s="171"/>
      <c r="Q416" s="182"/>
      <c r="R416" s="182"/>
      <c r="S416" s="175"/>
      <c r="T416" s="173"/>
      <c r="U416" s="62"/>
      <c r="V416" s="177" t="s">
        <v>89</v>
      </c>
      <c r="W416" s="177" t="s">
        <v>89</v>
      </c>
      <c r="X416" s="230"/>
      <c r="Y416" s="177"/>
      <c r="Z416" s="178">
        <v>14.8</v>
      </c>
      <c r="AA416" s="297"/>
      <c r="AB416" s="21" t="s">
        <v>2</v>
      </c>
      <c r="AH416" s="63">
        <v>1</v>
      </c>
      <c r="AO416" s="10" t="s">
        <v>3</v>
      </c>
      <c r="AP416" s="297"/>
      <c r="AQ416" s="178">
        <v>14.8</v>
      </c>
      <c r="AR416" s="177"/>
      <c r="AS416" s="222"/>
      <c r="AT416" s="177" t="s">
        <v>89</v>
      </c>
      <c r="AU416" s="177" t="s">
        <v>89</v>
      </c>
      <c r="AV416" s="62"/>
      <c r="AW416" s="173"/>
      <c r="AX416" s="175"/>
      <c r="AY416" s="182"/>
      <c r="AZ416" s="182"/>
      <c r="BA416" s="171"/>
      <c r="BB416" s="180" t="s">
        <v>89</v>
      </c>
      <c r="BC416" s="172"/>
      <c r="BD416" s="172"/>
      <c r="BE416" s="142"/>
      <c r="BF416" s="171"/>
      <c r="BG416" s="56"/>
      <c r="BH416" s="57"/>
      <c r="BI416" s="170"/>
      <c r="BJ416" s="169"/>
      <c r="BK416" s="181"/>
      <c r="BL416" s="36"/>
      <c r="BM416" s="308" t="str">
        <f>IF('[1]V1 V2'!X415="","",'[1]V1 V2'!X415)</f>
        <v>1PEAD D110mm ou 2PEAD D63mm</v>
      </c>
    </row>
    <row r="417" spans="1:66" ht="16" thickBot="1" x14ac:dyDescent="0.4">
      <c r="A417">
        <v>1</v>
      </c>
      <c r="B417" s="304" t="s">
        <v>1252</v>
      </c>
      <c r="C417" s="305"/>
      <c r="D417" s="306"/>
      <c r="E417" s="36" t="str">
        <f>VLOOKUP($B417,'[1]V1 V2'!$B$5:$BW$1894,74,0)</f>
        <v>C.F.2</v>
      </c>
      <c r="F417" s="168"/>
      <c r="G417" s="169"/>
      <c r="H417" s="170"/>
      <c r="I417" s="57"/>
      <c r="J417" s="56">
        <v>-20</v>
      </c>
      <c r="K417" s="171"/>
      <c r="L417" s="171">
        <v>5.6</v>
      </c>
      <c r="M417" s="172"/>
      <c r="N417" s="173"/>
      <c r="O417" s="174" t="s">
        <v>621</v>
      </c>
      <c r="P417" s="191" t="s">
        <v>942</v>
      </c>
      <c r="Q417" s="176" t="s">
        <v>1228</v>
      </c>
      <c r="R417" s="176" t="s">
        <v>623</v>
      </c>
      <c r="S417" s="175" t="s">
        <v>1203</v>
      </c>
      <c r="T417" s="173" t="s">
        <v>30</v>
      </c>
      <c r="U417" s="62"/>
      <c r="V417" s="230" t="s">
        <v>1253</v>
      </c>
      <c r="W417" s="230" t="s">
        <v>1254</v>
      </c>
      <c r="X417" s="177">
        <v>31730.339000000014</v>
      </c>
      <c r="Y417" s="177">
        <v>3074.7099999999982</v>
      </c>
      <c r="Z417" s="178"/>
      <c r="AA417" s="297" t="s">
        <v>1252</v>
      </c>
      <c r="AB417" s="21" t="s">
        <v>2</v>
      </c>
      <c r="AH417" s="63">
        <v>1</v>
      </c>
      <c r="AO417" s="10" t="s">
        <v>3</v>
      </c>
      <c r="AP417" s="297" t="s">
        <v>1255</v>
      </c>
      <c r="AQ417" s="178"/>
      <c r="AR417" s="177">
        <v>3074.0100000000007</v>
      </c>
      <c r="AS417" s="222">
        <f>AS415-AQ416</f>
        <v>31810.638999999992</v>
      </c>
      <c r="AT417" s="230" t="s">
        <v>1256</v>
      </c>
      <c r="AU417" s="230" t="s">
        <v>1257</v>
      </c>
      <c r="AV417" s="62"/>
      <c r="AW417" s="173" t="s">
        <v>30</v>
      </c>
      <c r="AX417" s="175" t="s">
        <v>1203</v>
      </c>
      <c r="AY417" s="176" t="s">
        <v>623</v>
      </c>
      <c r="AZ417" s="176" t="s">
        <v>1228</v>
      </c>
      <c r="BA417" s="240" t="s">
        <v>942</v>
      </c>
      <c r="BB417" s="180" t="s">
        <v>621</v>
      </c>
      <c r="BC417" s="172"/>
      <c r="BD417" s="172"/>
      <c r="BE417" s="171">
        <v>5.6</v>
      </c>
      <c r="BF417" s="171"/>
      <c r="BG417" s="56">
        <v>-20</v>
      </c>
      <c r="BH417" s="57"/>
      <c r="BI417" s="170"/>
      <c r="BJ417" s="169"/>
      <c r="BK417" s="181"/>
      <c r="BL417" s="36" t="str">
        <f>VLOOKUP($AP417,'[1]V1 V2'!$B$5:$BW$1894,74,0)</f>
        <v>C.F.2</v>
      </c>
      <c r="BM417" s="36" t="str">
        <f>IF('[1]V1 V2'!X416="","",'[1]V1 V2'!X416)</f>
        <v/>
      </c>
    </row>
    <row r="418" spans="1:66" ht="16" thickBot="1" x14ac:dyDescent="0.4">
      <c r="A418">
        <v>1</v>
      </c>
      <c r="B418" s="378"/>
      <c r="C418" s="379"/>
      <c r="D418" s="306"/>
      <c r="E418" s="36"/>
      <c r="F418" s="168"/>
      <c r="G418" s="169"/>
      <c r="H418" s="170"/>
      <c r="I418" s="57"/>
      <c r="J418" s="56"/>
      <c r="K418" s="171"/>
      <c r="L418" s="181"/>
      <c r="M418" s="172"/>
      <c r="N418" s="173"/>
      <c r="O418" s="174"/>
      <c r="P418" s="171"/>
      <c r="Q418" s="176"/>
      <c r="R418" s="176"/>
      <c r="S418" s="175"/>
      <c r="T418" s="173"/>
      <c r="U418" s="62"/>
      <c r="V418" s="230"/>
      <c r="W418" s="230"/>
      <c r="X418" s="230"/>
      <c r="Y418" s="177"/>
      <c r="Z418" s="178">
        <v>15</v>
      </c>
      <c r="AA418" s="380"/>
      <c r="AB418" s="21" t="s">
        <v>2</v>
      </c>
      <c r="AH418" s="63">
        <v>1</v>
      </c>
      <c r="AO418" s="10" t="s">
        <v>3</v>
      </c>
      <c r="AP418" s="380"/>
      <c r="AQ418" s="178">
        <v>15</v>
      </c>
      <c r="AR418" s="177"/>
      <c r="AS418" s="222"/>
      <c r="AT418" s="230"/>
      <c r="AU418" s="230"/>
      <c r="AV418" s="62"/>
      <c r="AW418" s="173"/>
      <c r="AX418" s="175"/>
      <c r="AY418" s="176"/>
      <c r="AZ418" s="176"/>
      <c r="BA418" s="171"/>
      <c r="BB418" s="180"/>
      <c r="BC418" s="172"/>
      <c r="BD418" s="172"/>
      <c r="BE418" s="181"/>
      <c r="BF418" s="171"/>
      <c r="BG418" s="56"/>
      <c r="BH418" s="57"/>
      <c r="BI418" s="170"/>
      <c r="BJ418" s="169"/>
      <c r="BK418" s="181"/>
      <c r="BL418" s="36"/>
      <c r="BM418" s="36" t="str">
        <f>IF('[1]V1 V2'!X417="","",'[1]V1 V2'!X417)</f>
        <v/>
      </c>
    </row>
    <row r="419" spans="1:66" ht="16" thickBot="1" x14ac:dyDescent="0.4">
      <c r="A419">
        <v>1</v>
      </c>
      <c r="B419" s="378" t="s">
        <v>1258</v>
      </c>
      <c r="C419" s="379"/>
      <c r="D419" s="306"/>
      <c r="E419" s="36" t="str">
        <f>VLOOKUP($B419,'[1]V1 V2'!$B$5:$BW$1894,74,0)</f>
        <v>C.F.1</v>
      </c>
      <c r="F419" s="168"/>
      <c r="G419" s="169"/>
      <c r="H419" s="170"/>
      <c r="I419" s="57"/>
      <c r="J419" s="56" t="s">
        <v>127</v>
      </c>
      <c r="K419" s="171"/>
      <c r="L419" s="171">
        <v>5.6</v>
      </c>
      <c r="M419" s="172"/>
      <c r="N419" s="173"/>
      <c r="O419" s="174" t="s">
        <v>621</v>
      </c>
      <c r="P419" s="191" t="s">
        <v>942</v>
      </c>
      <c r="Q419" s="176" t="s">
        <v>1228</v>
      </c>
      <c r="R419" s="176" t="s">
        <v>623</v>
      </c>
      <c r="S419" s="191" t="s">
        <v>1259</v>
      </c>
      <c r="T419" s="173" t="s">
        <v>30</v>
      </c>
      <c r="U419" s="62"/>
      <c r="V419" s="230" t="s">
        <v>1260</v>
      </c>
      <c r="W419" s="230" t="s">
        <v>1261</v>
      </c>
      <c r="X419" s="177">
        <v>31715.339000000014</v>
      </c>
      <c r="Y419" s="177">
        <v>3089.7099999999982</v>
      </c>
      <c r="Z419" s="178"/>
      <c r="AA419" s="380" t="s">
        <v>1258</v>
      </c>
      <c r="AB419" s="21" t="s">
        <v>2</v>
      </c>
      <c r="AH419" s="63">
        <v>1</v>
      </c>
      <c r="AO419" s="10" t="s">
        <v>3</v>
      </c>
      <c r="AP419" s="380" t="s">
        <v>1262</v>
      </c>
      <c r="AQ419" s="178"/>
      <c r="AR419" s="177">
        <v>3089.0100000000007</v>
      </c>
      <c r="AS419" s="222">
        <f>AS417-AQ418</f>
        <v>31795.638999999992</v>
      </c>
      <c r="AT419" s="230" t="s">
        <v>1263</v>
      </c>
      <c r="AU419" s="230" t="s">
        <v>1264</v>
      </c>
      <c r="AV419" s="62"/>
      <c r="AW419" s="173" t="s">
        <v>30</v>
      </c>
      <c r="AX419" s="191" t="s">
        <v>1259</v>
      </c>
      <c r="AY419" s="176" t="s">
        <v>623</v>
      </c>
      <c r="AZ419" s="176" t="s">
        <v>1228</v>
      </c>
      <c r="BA419" s="240" t="s">
        <v>942</v>
      </c>
      <c r="BB419" s="180" t="s">
        <v>621</v>
      </c>
      <c r="BC419" s="172"/>
      <c r="BD419" s="172"/>
      <c r="BE419" s="171">
        <v>5.6</v>
      </c>
      <c r="BF419" s="171"/>
      <c r="BG419" s="183" t="s">
        <v>127</v>
      </c>
      <c r="BH419" s="57"/>
      <c r="BI419" s="170"/>
      <c r="BJ419" s="169"/>
      <c r="BK419" s="181"/>
      <c r="BL419" s="36" t="str">
        <f>VLOOKUP($AP419,'[1]V1 V2'!$B$5:$BW$1894,74,0)</f>
        <v>C.F.1</v>
      </c>
      <c r="BM419" s="36" t="str">
        <f>IF('[1]V1 V2'!X418="","",'[1]V1 V2'!X418)</f>
        <v/>
      </c>
    </row>
    <row r="420" spans="1:66" ht="29.5" thickBot="1" x14ac:dyDescent="0.4">
      <c r="A420">
        <v>1</v>
      </c>
      <c r="B420" s="323" t="s">
        <v>1265</v>
      </c>
      <c r="C420" s="324"/>
      <c r="D420" s="325"/>
      <c r="E420" s="36">
        <f>VLOOKUP($B420,'[1]V1 V2'!$B$5:$BW$1894,74,0)</f>
        <v>0</v>
      </c>
      <c r="F420" s="168"/>
      <c r="G420" s="169"/>
      <c r="H420" s="170"/>
      <c r="I420" s="57"/>
      <c r="J420" s="56"/>
      <c r="K420" s="171"/>
      <c r="L420" s="142"/>
      <c r="M420" s="172"/>
      <c r="N420" s="173"/>
      <c r="O420" s="174" t="s">
        <v>89</v>
      </c>
      <c r="P420" s="171"/>
      <c r="Q420" s="182"/>
      <c r="R420" s="182"/>
      <c r="S420" s="191"/>
      <c r="T420" s="173"/>
      <c r="U420" s="62"/>
      <c r="V420" s="177"/>
      <c r="W420" s="177"/>
      <c r="X420" s="230"/>
      <c r="Y420" s="177"/>
      <c r="Z420" s="178">
        <v>19.7</v>
      </c>
      <c r="AA420" s="326" t="s">
        <v>1265</v>
      </c>
      <c r="AB420" s="21" t="s">
        <v>2</v>
      </c>
      <c r="AH420" s="63">
        <v>1</v>
      </c>
      <c r="AO420" s="10" t="s">
        <v>3</v>
      </c>
      <c r="AP420" s="231" t="s">
        <v>1265</v>
      </c>
      <c r="AQ420" s="178">
        <v>19.7</v>
      </c>
      <c r="AR420" s="177"/>
      <c r="AS420" s="222"/>
      <c r="AT420" s="230"/>
      <c r="AU420" s="230"/>
      <c r="AV420" s="62"/>
      <c r="AW420" s="173"/>
      <c r="AX420" s="191"/>
      <c r="AY420" s="182"/>
      <c r="AZ420" s="182"/>
      <c r="BA420" s="171"/>
      <c r="BB420" s="180" t="s">
        <v>89</v>
      </c>
      <c r="BC420" s="172"/>
      <c r="BD420" s="172"/>
      <c r="BE420" s="142"/>
      <c r="BF420" s="171"/>
      <c r="BG420" s="56"/>
      <c r="BH420" s="57"/>
      <c r="BI420" s="170"/>
      <c r="BJ420" s="169"/>
      <c r="BK420" s="181"/>
      <c r="BL420" s="36">
        <f>VLOOKUP($AP420,'[1]V1 V2'!$B$5:$BW$1894,74,0)</f>
        <v>0</v>
      </c>
      <c r="BM420" s="36" t="str">
        <f>IF('[1]V1 V2'!X419="","",'[1]V1 V2'!X419)</f>
        <v/>
      </c>
    </row>
    <row r="421" spans="1:66" ht="16" thickBot="1" x14ac:dyDescent="0.4">
      <c r="A421">
        <v>1</v>
      </c>
      <c r="B421" s="304" t="s">
        <v>1266</v>
      </c>
      <c r="C421" s="305"/>
      <c r="D421" s="306"/>
      <c r="E421" s="36" t="str">
        <f>VLOOKUP($B421,'[1]V1 V2'!$B$5:$BW$1894,74,0)</f>
        <v>C.F.2</v>
      </c>
      <c r="F421" s="168"/>
      <c r="G421" s="169"/>
      <c r="H421" s="170"/>
      <c r="I421" s="57"/>
      <c r="J421" s="56">
        <v>-20</v>
      </c>
      <c r="K421" s="171"/>
      <c r="L421" s="171">
        <v>5.5333000000000006</v>
      </c>
      <c r="M421" s="172"/>
      <c r="N421" s="173"/>
      <c r="O421" s="174" t="s">
        <v>621</v>
      </c>
      <c r="P421" s="171" t="s">
        <v>184</v>
      </c>
      <c r="Q421" s="176" t="s">
        <v>957</v>
      </c>
      <c r="R421" s="176" t="s">
        <v>623</v>
      </c>
      <c r="S421" s="191" t="s">
        <v>1267</v>
      </c>
      <c r="T421" s="173" t="s">
        <v>30</v>
      </c>
      <c r="U421" s="62"/>
      <c r="V421" s="177" t="s">
        <v>1268</v>
      </c>
      <c r="W421" s="177" t="s">
        <v>1269</v>
      </c>
      <c r="X421" s="177">
        <v>31695.639000000014</v>
      </c>
      <c r="Y421" s="177">
        <v>3109.409999999998</v>
      </c>
      <c r="Z421" s="178"/>
      <c r="AA421" s="297" t="s">
        <v>1266</v>
      </c>
      <c r="AB421" s="21" t="s">
        <v>2</v>
      </c>
      <c r="AH421" s="63">
        <v>1</v>
      </c>
      <c r="AO421" s="10" t="s">
        <v>3</v>
      </c>
      <c r="AP421" s="297" t="s">
        <v>1270</v>
      </c>
      <c r="AQ421" s="178"/>
      <c r="AR421" s="177">
        <v>3108.7100000000005</v>
      </c>
      <c r="AS421" s="222">
        <f>AS419-AQ420</f>
        <v>31775.938999999991</v>
      </c>
      <c r="AT421" s="177" t="s">
        <v>1271</v>
      </c>
      <c r="AU421" s="177" t="s">
        <v>1272</v>
      </c>
      <c r="AV421" s="62"/>
      <c r="AW421" s="173" t="s">
        <v>30</v>
      </c>
      <c r="AX421" s="191" t="s">
        <v>1267</v>
      </c>
      <c r="AY421" s="176" t="s">
        <v>623</v>
      </c>
      <c r="AZ421" s="176" t="s">
        <v>957</v>
      </c>
      <c r="BA421" s="171" t="s">
        <v>184</v>
      </c>
      <c r="BB421" s="180" t="s">
        <v>621</v>
      </c>
      <c r="BC421" s="172"/>
      <c r="BD421" s="172"/>
      <c r="BE421" s="171">
        <v>5.5783000000000005</v>
      </c>
      <c r="BF421" s="171"/>
      <c r="BG421" s="56">
        <v>-20</v>
      </c>
      <c r="BH421" s="57"/>
      <c r="BI421" s="170"/>
      <c r="BJ421" s="169"/>
      <c r="BK421" s="181"/>
      <c r="BL421" s="36" t="str">
        <f>VLOOKUP($AP421,'[1]V1 V2'!$B$5:$BW$1894,74,0)</f>
        <v>C.F.2</v>
      </c>
      <c r="BM421" s="36" t="str">
        <f>IF('[1]V1 V2'!X420="","",'[1]V1 V2'!X420)</f>
        <v/>
      </c>
    </row>
    <row r="422" spans="1:66" ht="16" thickBot="1" x14ac:dyDescent="0.4">
      <c r="A422">
        <v>1</v>
      </c>
      <c r="B422" s="304"/>
      <c r="C422" s="305"/>
      <c r="D422" s="306"/>
      <c r="E422" s="36"/>
      <c r="F422" s="168"/>
      <c r="G422" s="169"/>
      <c r="H422" s="170"/>
      <c r="I422" s="57"/>
      <c r="J422" s="56"/>
      <c r="K422" s="171"/>
      <c r="L422" s="142"/>
      <c r="M422" s="172"/>
      <c r="N422" s="173"/>
      <c r="O422" s="174" t="s">
        <v>89</v>
      </c>
      <c r="P422" s="171"/>
      <c r="Q422" s="182"/>
      <c r="R422" s="182"/>
      <c r="S422" s="191"/>
      <c r="T422" s="173"/>
      <c r="U422" s="62"/>
      <c r="V422" s="177" t="s">
        <v>89</v>
      </c>
      <c r="W422" s="177" t="s">
        <v>89</v>
      </c>
      <c r="X422" s="230"/>
      <c r="Y422" s="177"/>
      <c r="Z422" s="178">
        <v>17.25</v>
      </c>
      <c r="AA422" s="297"/>
      <c r="AB422" s="21" t="s">
        <v>2</v>
      </c>
      <c r="AC422" s="163"/>
      <c r="AD422" s="163"/>
      <c r="AE422" s="163"/>
      <c r="AF422" s="163"/>
      <c r="AG422" s="163"/>
      <c r="AH422" s="164">
        <v>1</v>
      </c>
      <c r="AI422" s="163"/>
      <c r="AJ422" s="163"/>
      <c r="AK422" s="163"/>
      <c r="AL422" s="163"/>
      <c r="AM422" s="163"/>
      <c r="AN422" s="163"/>
      <c r="AO422" s="10" t="s">
        <v>3</v>
      </c>
      <c r="AP422" s="297"/>
      <c r="AQ422" s="178">
        <v>17.25</v>
      </c>
      <c r="AR422" s="177"/>
      <c r="AS422" s="222"/>
      <c r="AT422" s="177"/>
      <c r="AU422" s="177"/>
      <c r="AV422" s="62"/>
      <c r="AW422" s="173"/>
      <c r="AX422" s="191"/>
      <c r="AY422" s="182"/>
      <c r="AZ422" s="182"/>
      <c r="BA422" s="171"/>
      <c r="BB422" s="180" t="s">
        <v>89</v>
      </c>
      <c r="BC422" s="172"/>
      <c r="BD422" s="172"/>
      <c r="BE422" s="142"/>
      <c r="BF422" s="171"/>
      <c r="BG422" s="56"/>
      <c r="BH422" s="57"/>
      <c r="BI422" s="170"/>
      <c r="BJ422" s="169"/>
      <c r="BK422" s="181"/>
      <c r="BL422" s="36"/>
      <c r="BM422" s="36" t="str">
        <f>IF('[1]V1 V2'!X421="","",'[1]V1 V2'!X421)</f>
        <v/>
      </c>
    </row>
    <row r="423" spans="1:66" ht="16" thickBot="1" x14ac:dyDescent="0.4">
      <c r="A423">
        <v>1</v>
      </c>
      <c r="B423" s="304" t="s">
        <v>1273</v>
      </c>
      <c r="C423" s="305"/>
      <c r="D423" s="306"/>
      <c r="E423" s="36" t="str">
        <f>VLOOKUP($B423,'[1]V1 V2'!$B$5:$BW$1894,74,0)</f>
        <v>C.F.1</v>
      </c>
      <c r="F423" s="168"/>
      <c r="G423" s="169"/>
      <c r="H423" s="170"/>
      <c r="I423" s="57"/>
      <c r="J423" s="56" t="s">
        <v>127</v>
      </c>
      <c r="K423" s="171"/>
      <c r="L423" s="171">
        <v>5.4643000000000006</v>
      </c>
      <c r="M423" s="172"/>
      <c r="N423" s="173"/>
      <c r="O423" s="174" t="s">
        <v>621</v>
      </c>
      <c r="P423" s="171" t="s">
        <v>184</v>
      </c>
      <c r="Q423" s="176" t="s">
        <v>957</v>
      </c>
      <c r="R423" s="176" t="s">
        <v>623</v>
      </c>
      <c r="S423" s="191" t="s">
        <v>1267</v>
      </c>
      <c r="T423" s="173" t="s">
        <v>30</v>
      </c>
      <c r="U423" s="62"/>
      <c r="V423" s="177" t="s">
        <v>1274</v>
      </c>
      <c r="W423" s="177" t="s">
        <v>1275</v>
      </c>
      <c r="X423" s="177">
        <v>31678.389000000014</v>
      </c>
      <c r="Y423" s="177">
        <v>3126.659999999998</v>
      </c>
      <c r="Z423" s="178"/>
      <c r="AA423" s="297" t="s">
        <v>1273</v>
      </c>
      <c r="AB423" s="21" t="s">
        <v>2</v>
      </c>
      <c r="AC423" s="113"/>
      <c r="AD423" s="113"/>
      <c r="AE423" s="113"/>
      <c r="AF423" s="113"/>
      <c r="AG423" s="113"/>
      <c r="AH423" s="166">
        <f>Y422</f>
        <v>0</v>
      </c>
      <c r="AI423" s="113"/>
      <c r="AJ423" s="113"/>
      <c r="AK423" s="113"/>
      <c r="AL423" s="113"/>
      <c r="AM423" s="113"/>
      <c r="AN423" s="113"/>
      <c r="AO423" s="10" t="s">
        <v>3</v>
      </c>
      <c r="AP423" s="297" t="s">
        <v>1276</v>
      </c>
      <c r="AQ423" s="178"/>
      <c r="AR423" s="177">
        <v>3125.9600000000005</v>
      </c>
      <c r="AS423" s="222">
        <f>AS421-AQ422</f>
        <v>31758.688999999991</v>
      </c>
      <c r="AT423" s="177" t="s">
        <v>1277</v>
      </c>
      <c r="AU423" s="177" t="s">
        <v>1278</v>
      </c>
      <c r="AV423" s="62"/>
      <c r="AW423" s="173" t="s">
        <v>30</v>
      </c>
      <c r="AX423" s="191" t="s">
        <v>1267</v>
      </c>
      <c r="AY423" s="176" t="s">
        <v>623</v>
      </c>
      <c r="AZ423" s="176" t="s">
        <v>957</v>
      </c>
      <c r="BA423" s="171" t="s">
        <v>184</v>
      </c>
      <c r="BB423" s="180" t="s">
        <v>621</v>
      </c>
      <c r="BC423" s="172"/>
      <c r="BD423" s="172"/>
      <c r="BE423" s="171">
        <v>5.5093000000000005</v>
      </c>
      <c r="BF423" s="171"/>
      <c r="BG423" s="183" t="s">
        <v>127</v>
      </c>
      <c r="BH423" s="57"/>
      <c r="BI423" s="170"/>
      <c r="BJ423" s="169"/>
      <c r="BK423" s="181"/>
      <c r="BL423" s="36" t="str">
        <f>VLOOKUP($AP423,'[1]V1 V2'!$B$5:$BW$1894,74,0)</f>
        <v>C.F.1</v>
      </c>
      <c r="BM423" s="36" t="str">
        <f>IF('[1]V1 V2'!X422="","",'[1]V1 V2'!X422)</f>
        <v/>
      </c>
    </row>
    <row r="424" spans="1:66" ht="16" thickBot="1" x14ac:dyDescent="0.4">
      <c r="A424">
        <v>1</v>
      </c>
      <c r="B424" s="304"/>
      <c r="C424" s="305"/>
      <c r="D424" s="306"/>
      <c r="E424" s="36"/>
      <c r="F424" s="168"/>
      <c r="G424" s="169"/>
      <c r="H424" s="170"/>
      <c r="I424" s="57"/>
      <c r="J424" s="56"/>
      <c r="K424" s="171"/>
      <c r="L424" s="142"/>
      <c r="M424" s="172"/>
      <c r="N424" s="173"/>
      <c r="O424" s="174" t="s">
        <v>89</v>
      </c>
      <c r="P424" s="171"/>
      <c r="Q424" s="182"/>
      <c r="R424" s="182"/>
      <c r="S424" s="191"/>
      <c r="T424" s="173"/>
      <c r="U424" s="62"/>
      <c r="V424" s="177" t="s">
        <v>89</v>
      </c>
      <c r="W424" s="177" t="s">
        <v>89</v>
      </c>
      <c r="X424" s="230"/>
      <c r="Y424" s="177"/>
      <c r="Z424" s="178">
        <v>17.25</v>
      </c>
      <c r="AA424" s="297"/>
      <c r="AB424" s="21" t="s">
        <v>2</v>
      </c>
      <c r="AF424" t="s">
        <v>940</v>
      </c>
      <c r="AH424" s="63">
        <v>1</v>
      </c>
      <c r="AK424" t="s">
        <v>940</v>
      </c>
      <c r="AO424" s="10" t="s">
        <v>3</v>
      </c>
      <c r="AP424" s="297"/>
      <c r="AQ424" s="178">
        <v>17.25</v>
      </c>
      <c r="AR424" s="177"/>
      <c r="AS424" s="222"/>
      <c r="AT424" s="177" t="s">
        <v>89</v>
      </c>
      <c r="AU424" s="177" t="s">
        <v>89</v>
      </c>
      <c r="AV424" s="62"/>
      <c r="AW424" s="173"/>
      <c r="AX424" s="191"/>
      <c r="AY424" s="182"/>
      <c r="AZ424" s="182"/>
      <c r="BA424" s="171"/>
      <c r="BB424" s="180" t="s">
        <v>89</v>
      </c>
      <c r="BC424" s="172"/>
      <c r="BD424" s="172"/>
      <c r="BE424" s="142"/>
      <c r="BF424" s="171"/>
      <c r="BG424" s="56"/>
      <c r="BH424" s="57"/>
      <c r="BI424" s="170"/>
      <c r="BJ424" s="169"/>
      <c r="BK424" s="181"/>
      <c r="BL424" s="36"/>
      <c r="BM424" s="36" t="str">
        <f>IF('[1]V1 V2'!X423="","",'[1]V1 V2'!X423)</f>
        <v/>
      </c>
    </row>
    <row r="425" spans="1:66" ht="16" thickBot="1" x14ac:dyDescent="0.4">
      <c r="A425">
        <v>1</v>
      </c>
      <c r="B425" s="304" t="s">
        <v>1279</v>
      </c>
      <c r="C425" s="305"/>
      <c r="D425" s="306"/>
      <c r="E425" s="36" t="str">
        <f>VLOOKUP($B425,'[1]V1 V2'!$B$5:$BW$1894,74,0)</f>
        <v>C.F.2</v>
      </c>
      <c r="F425" s="168"/>
      <c r="G425" s="169"/>
      <c r="H425" s="170"/>
      <c r="I425" s="57"/>
      <c r="J425" s="56">
        <v>-20</v>
      </c>
      <c r="K425" s="171"/>
      <c r="L425" s="171">
        <v>5.3608000000000002</v>
      </c>
      <c r="M425" s="172"/>
      <c r="N425" s="173"/>
      <c r="O425" s="174" t="s">
        <v>621</v>
      </c>
      <c r="P425" s="171" t="s">
        <v>184</v>
      </c>
      <c r="Q425" s="176" t="s">
        <v>957</v>
      </c>
      <c r="R425" s="176" t="s">
        <v>623</v>
      </c>
      <c r="S425" s="191" t="s">
        <v>1267</v>
      </c>
      <c r="T425" s="173" t="s">
        <v>30</v>
      </c>
      <c r="U425" s="62"/>
      <c r="V425" s="177" t="s">
        <v>1280</v>
      </c>
      <c r="W425" s="177" t="s">
        <v>1281</v>
      </c>
      <c r="X425" s="177">
        <v>31661.139000000014</v>
      </c>
      <c r="Y425" s="177">
        <v>3143.909999999998</v>
      </c>
      <c r="Z425" s="178"/>
      <c r="AA425" s="297" t="s">
        <v>1279</v>
      </c>
      <c r="AB425" s="21" t="s">
        <v>2</v>
      </c>
      <c r="AH425" s="63">
        <v>1</v>
      </c>
      <c r="AO425" s="10" t="s">
        <v>3</v>
      </c>
      <c r="AP425" s="297" t="s">
        <v>1282</v>
      </c>
      <c r="AQ425" s="178"/>
      <c r="AR425" s="177">
        <v>3143.2100000000005</v>
      </c>
      <c r="AS425" s="222">
        <f>AS423-AQ424</f>
        <v>31741.438999999991</v>
      </c>
      <c r="AT425" s="177" t="s">
        <v>1283</v>
      </c>
      <c r="AU425" s="177" t="s">
        <v>1284</v>
      </c>
      <c r="AV425" s="62"/>
      <c r="AW425" s="173" t="s">
        <v>30</v>
      </c>
      <c r="AX425" s="191" t="s">
        <v>1267</v>
      </c>
      <c r="AY425" s="176" t="s">
        <v>623</v>
      </c>
      <c r="AZ425" s="176" t="s">
        <v>957</v>
      </c>
      <c r="BA425" s="171" t="s">
        <v>184</v>
      </c>
      <c r="BB425" s="180" t="s">
        <v>621</v>
      </c>
      <c r="BC425" s="172"/>
      <c r="BD425" s="172"/>
      <c r="BE425" s="171">
        <v>5.4058000000000002</v>
      </c>
      <c r="BF425" s="171"/>
      <c r="BG425" s="56">
        <v>-20</v>
      </c>
      <c r="BH425" s="57"/>
      <c r="BI425" s="170"/>
      <c r="BJ425" s="169"/>
      <c r="BK425" s="181"/>
      <c r="BL425" s="36" t="str">
        <f>VLOOKUP($AP425,'[1]V1 V2'!$B$5:$BW$1894,74,0)</f>
        <v>C.F.2</v>
      </c>
      <c r="BM425" s="36" t="str">
        <f>IF('[1]V1 V2'!X424="","",'[1]V1 V2'!X424)</f>
        <v/>
      </c>
    </row>
    <row r="426" spans="1:66" ht="16" thickBot="1" x14ac:dyDescent="0.4">
      <c r="A426">
        <v>1</v>
      </c>
      <c r="B426" s="304"/>
      <c r="C426" s="305"/>
      <c r="D426" s="306"/>
      <c r="E426" s="36"/>
      <c r="F426" s="168"/>
      <c r="G426" s="169"/>
      <c r="H426" s="170"/>
      <c r="I426" s="57"/>
      <c r="J426" s="56"/>
      <c r="K426" s="171"/>
      <c r="L426" s="142"/>
      <c r="M426" s="172"/>
      <c r="N426" s="173"/>
      <c r="O426" s="174" t="s">
        <v>89</v>
      </c>
      <c r="P426" s="171"/>
      <c r="Q426" s="182"/>
      <c r="R426" s="182"/>
      <c r="S426" s="191"/>
      <c r="T426" s="173"/>
      <c r="U426" s="62"/>
      <c r="V426" s="177" t="s">
        <v>89</v>
      </c>
      <c r="W426" s="177" t="s">
        <v>89</v>
      </c>
      <c r="X426" s="230"/>
      <c r="Y426" s="177"/>
      <c r="Z426" s="178">
        <v>17.25</v>
      </c>
      <c r="AA426" s="297"/>
      <c r="AB426" s="21" t="s">
        <v>2</v>
      </c>
      <c r="AH426" s="63">
        <v>1</v>
      </c>
      <c r="AO426" s="10" t="s">
        <v>3</v>
      </c>
      <c r="AP426" s="297"/>
      <c r="AQ426" s="178">
        <v>17.25</v>
      </c>
      <c r="AR426" s="177"/>
      <c r="AS426" s="222"/>
      <c r="AT426" s="177" t="s">
        <v>89</v>
      </c>
      <c r="AU426" s="177" t="s">
        <v>89</v>
      </c>
      <c r="AV426" s="62"/>
      <c r="AW426" s="173"/>
      <c r="AX426" s="191"/>
      <c r="AY426" s="182"/>
      <c r="AZ426" s="182"/>
      <c r="BA426" s="171"/>
      <c r="BB426" s="180" t="s">
        <v>89</v>
      </c>
      <c r="BC426" s="172"/>
      <c r="BD426" s="172"/>
      <c r="BE426" s="142"/>
      <c r="BF426" s="171"/>
      <c r="BG426" s="56"/>
      <c r="BH426" s="57"/>
      <c r="BI426" s="170"/>
      <c r="BJ426" s="169"/>
      <c r="BK426" s="181"/>
      <c r="BL426" s="36"/>
      <c r="BM426" s="36" t="str">
        <f>IF('[1]V1 V2'!X425="","",'[1]V1 V2'!X425)</f>
        <v/>
      </c>
    </row>
    <row r="427" spans="1:66" ht="16" thickBot="1" x14ac:dyDescent="0.4">
      <c r="A427">
        <v>1</v>
      </c>
      <c r="B427" s="304" t="s">
        <v>1285</v>
      </c>
      <c r="C427" s="305"/>
      <c r="D427" s="306"/>
      <c r="E427" s="36" t="str">
        <f>VLOOKUP($B427,'[1]V1 V2'!$B$5:$BW$1894,74,0)</f>
        <v>C.F.1</v>
      </c>
      <c r="F427" s="168"/>
      <c r="G427" s="169"/>
      <c r="H427" s="170"/>
      <c r="I427" s="57"/>
      <c r="J427" s="56" t="s">
        <v>127</v>
      </c>
      <c r="K427" s="171"/>
      <c r="L427" s="171">
        <v>5.2572999999999999</v>
      </c>
      <c r="M427" s="172"/>
      <c r="N427" s="173"/>
      <c r="O427" s="174" t="s">
        <v>621</v>
      </c>
      <c r="P427" s="171" t="s">
        <v>184</v>
      </c>
      <c r="Q427" s="176" t="s">
        <v>957</v>
      </c>
      <c r="R427" s="176" t="s">
        <v>623</v>
      </c>
      <c r="S427" s="191" t="s">
        <v>1267</v>
      </c>
      <c r="T427" s="173" t="s">
        <v>30</v>
      </c>
      <c r="U427" s="62"/>
      <c r="V427" s="177" t="s">
        <v>1286</v>
      </c>
      <c r="W427" s="177" t="s">
        <v>1287</v>
      </c>
      <c r="X427" s="177">
        <v>31643.889000000014</v>
      </c>
      <c r="Y427" s="177">
        <v>3161.159999999998</v>
      </c>
      <c r="Z427" s="178"/>
      <c r="AA427" s="297" t="s">
        <v>1285</v>
      </c>
      <c r="AB427" s="21" t="s">
        <v>2</v>
      </c>
      <c r="AH427" s="63">
        <v>1</v>
      </c>
      <c r="AO427" s="10" t="s">
        <v>3</v>
      </c>
      <c r="AP427" s="297" t="s">
        <v>1288</v>
      </c>
      <c r="AQ427" s="178"/>
      <c r="AR427" s="177">
        <v>3160.4600000000005</v>
      </c>
      <c r="AS427" s="222">
        <f>AS425-AQ426</f>
        <v>31724.188999999991</v>
      </c>
      <c r="AT427" s="177" t="s">
        <v>1289</v>
      </c>
      <c r="AU427" s="177" t="s">
        <v>1290</v>
      </c>
      <c r="AV427" s="62"/>
      <c r="AW427" s="173" t="s">
        <v>30</v>
      </c>
      <c r="AX427" s="191" t="s">
        <v>1267</v>
      </c>
      <c r="AY427" s="176" t="s">
        <v>623</v>
      </c>
      <c r="AZ427" s="176" t="s">
        <v>957</v>
      </c>
      <c r="BA427" s="171" t="s">
        <v>184</v>
      </c>
      <c r="BB427" s="180" t="s">
        <v>621</v>
      </c>
      <c r="BC427" s="172"/>
      <c r="BD427" s="172"/>
      <c r="BE427" s="171">
        <v>5.3022999999999998</v>
      </c>
      <c r="BF427" s="171"/>
      <c r="BG427" s="183" t="s">
        <v>127</v>
      </c>
      <c r="BH427" s="57"/>
      <c r="BI427" s="170"/>
      <c r="BJ427" s="169"/>
      <c r="BK427" s="181"/>
      <c r="BL427" s="36" t="str">
        <f>VLOOKUP($AP427,'[1]V1 V2'!$B$5:$BW$1894,74,0)</f>
        <v>C.F.1</v>
      </c>
      <c r="BM427" s="36" t="str">
        <f>IF('[1]V1 V2'!X426="","",'[1]V1 V2'!X426)</f>
        <v/>
      </c>
    </row>
    <row r="428" spans="1:66" ht="29.5" thickBot="1" x14ac:dyDescent="0.4">
      <c r="A428">
        <v>1</v>
      </c>
      <c r="B428" s="227" t="s">
        <v>1291</v>
      </c>
      <c r="C428" s="228"/>
      <c r="D428" s="229"/>
      <c r="E428" s="36">
        <f>VLOOKUP($B428,'[1]V1 V2'!$B$5:$BW$1894,74,0)</f>
        <v>0</v>
      </c>
      <c r="F428" s="168"/>
      <c r="G428" s="169"/>
      <c r="H428" s="170"/>
      <c r="I428" s="57"/>
      <c r="J428" s="56"/>
      <c r="K428" s="171"/>
      <c r="L428" s="142"/>
      <c r="M428" s="172"/>
      <c r="N428" s="173"/>
      <c r="O428" s="174" t="s">
        <v>89</v>
      </c>
      <c r="P428" s="171"/>
      <c r="Q428" s="182"/>
      <c r="R428" s="182"/>
      <c r="S428" s="191"/>
      <c r="T428" s="173"/>
      <c r="U428" s="62"/>
      <c r="V428" s="177"/>
      <c r="W428" s="177"/>
      <c r="X428" s="230"/>
      <c r="Y428" s="177"/>
      <c r="Z428" s="178">
        <v>19.100000000000001</v>
      </c>
      <c r="AA428" s="231" t="s">
        <v>1291</v>
      </c>
      <c r="AB428" s="21" t="s">
        <v>2</v>
      </c>
      <c r="AH428" s="63">
        <v>1</v>
      </c>
      <c r="AO428" s="10" t="s">
        <v>3</v>
      </c>
      <c r="AP428" s="231" t="s">
        <v>1291</v>
      </c>
      <c r="AQ428" s="178">
        <v>19.100000000000001</v>
      </c>
      <c r="AR428" s="177"/>
      <c r="AS428" s="222"/>
      <c r="AT428" s="230"/>
      <c r="AU428" s="230"/>
      <c r="AV428" s="62"/>
      <c r="AW428" s="173"/>
      <c r="AX428" s="191"/>
      <c r="AY428" s="182"/>
      <c r="AZ428" s="182"/>
      <c r="BA428" s="171"/>
      <c r="BB428" s="180" t="s">
        <v>89</v>
      </c>
      <c r="BC428" s="172"/>
      <c r="BD428" s="172"/>
      <c r="BE428" s="142"/>
      <c r="BF428" s="171"/>
      <c r="BG428" s="56"/>
      <c r="BH428" s="57"/>
      <c r="BI428" s="170"/>
      <c r="BJ428" s="169"/>
      <c r="BK428" s="181"/>
      <c r="BL428" s="36">
        <f>VLOOKUP($AP428,'[1]V1 V2'!$B$5:$BW$1894,74,0)</f>
        <v>0</v>
      </c>
      <c r="BM428" s="36" t="str">
        <f>IF('[1]V1 V2'!X427="","",'[1]V1 V2'!X427)</f>
        <v/>
      </c>
    </row>
    <row r="429" spans="1:66" ht="16" thickBot="1" x14ac:dyDescent="0.4">
      <c r="A429">
        <v>1</v>
      </c>
      <c r="B429" s="304" t="s">
        <v>1292</v>
      </c>
      <c r="C429" s="305"/>
      <c r="D429" s="306"/>
      <c r="E429" s="36" t="str">
        <f>VLOOKUP($B429,'[1]V1 V2'!$B$5:$BW$1894,74,0)</f>
        <v>C.F.2</v>
      </c>
      <c r="F429" s="168"/>
      <c r="G429" s="169"/>
      <c r="H429" s="170"/>
      <c r="I429" s="57"/>
      <c r="J429" s="56">
        <v>-20</v>
      </c>
      <c r="K429" s="171"/>
      <c r="L429" s="171">
        <v>5.2450000000000001</v>
      </c>
      <c r="M429" s="172"/>
      <c r="N429" s="173"/>
      <c r="O429" s="174" t="s">
        <v>89</v>
      </c>
      <c r="P429" s="191" t="s">
        <v>942</v>
      </c>
      <c r="Q429" s="176" t="s">
        <v>1228</v>
      </c>
      <c r="R429" s="176" t="s">
        <v>623</v>
      </c>
      <c r="S429" s="191" t="s">
        <v>1259</v>
      </c>
      <c r="T429" s="173" t="s">
        <v>30</v>
      </c>
      <c r="U429" s="62"/>
      <c r="V429" s="230" t="s">
        <v>1293</v>
      </c>
      <c r="W429" s="230" t="s">
        <v>1294</v>
      </c>
      <c r="X429" s="177">
        <v>31624.789000000015</v>
      </c>
      <c r="Y429" s="177">
        <v>3180.2599999999979</v>
      </c>
      <c r="Z429" s="178"/>
      <c r="AA429" s="297" t="s">
        <v>1292</v>
      </c>
      <c r="AB429" s="21" t="s">
        <v>2</v>
      </c>
      <c r="AH429" s="63">
        <v>1</v>
      </c>
      <c r="AO429" s="10" t="s">
        <v>3</v>
      </c>
      <c r="AP429" s="297" t="s">
        <v>1295</v>
      </c>
      <c r="AQ429" s="178"/>
      <c r="AR429" s="177">
        <v>3179.5600000000004</v>
      </c>
      <c r="AS429" s="222">
        <f>AS427-AQ428</f>
        <v>31705.088999999993</v>
      </c>
      <c r="AT429" s="230" t="s">
        <v>1296</v>
      </c>
      <c r="AU429" s="230" t="s">
        <v>1297</v>
      </c>
      <c r="AV429" s="62"/>
      <c r="AW429" s="173" t="s">
        <v>30</v>
      </c>
      <c r="AX429" s="191" t="s">
        <v>1259</v>
      </c>
      <c r="AY429" s="176" t="s">
        <v>623</v>
      </c>
      <c r="AZ429" s="176" t="s">
        <v>1228</v>
      </c>
      <c r="BA429" s="240" t="s">
        <v>942</v>
      </c>
      <c r="BB429" s="180" t="s">
        <v>89</v>
      </c>
      <c r="BC429" s="172"/>
      <c r="BD429" s="172"/>
      <c r="BE429" s="171">
        <v>5.2450000000000001</v>
      </c>
      <c r="BF429" s="171"/>
      <c r="BG429" s="56">
        <v>-20</v>
      </c>
      <c r="BH429" s="57"/>
      <c r="BI429" s="170"/>
      <c r="BJ429" s="169"/>
      <c r="BK429" s="181"/>
      <c r="BL429" s="36" t="str">
        <f>VLOOKUP($AP429,'[1]V1 V2'!$B$5:$BW$1894,74,0)</f>
        <v>C.F.2</v>
      </c>
      <c r="BM429" s="36" t="str">
        <f>IF('[1]V1 V2'!X428="","",'[1]V1 V2'!X428)</f>
        <v/>
      </c>
    </row>
    <row r="430" spans="1:66" ht="16" thickBot="1" x14ac:dyDescent="0.4">
      <c r="A430">
        <v>1</v>
      </c>
      <c r="B430" s="304"/>
      <c r="C430" s="305"/>
      <c r="D430" s="306"/>
      <c r="E430" s="36"/>
      <c r="F430" s="168"/>
      <c r="G430" s="169"/>
      <c r="H430" s="170"/>
      <c r="I430" s="57"/>
      <c r="J430" s="56"/>
      <c r="K430" s="171"/>
      <c r="L430" s="142"/>
      <c r="M430" s="172"/>
      <c r="N430" s="173"/>
      <c r="O430" s="174"/>
      <c r="P430" s="171"/>
      <c r="Q430" s="182"/>
      <c r="R430" s="182"/>
      <c r="S430" s="175"/>
      <c r="T430" s="173"/>
      <c r="U430" s="62"/>
      <c r="V430" s="177"/>
      <c r="W430" s="177"/>
      <c r="X430" s="230"/>
      <c r="Y430" s="177"/>
      <c r="Z430" s="178">
        <v>15</v>
      </c>
      <c r="AA430" s="297"/>
      <c r="AB430" s="21" t="s">
        <v>2</v>
      </c>
      <c r="AC430" s="163"/>
      <c r="AD430" s="163"/>
      <c r="AE430" s="163"/>
      <c r="AF430" s="163"/>
      <c r="AG430" s="163"/>
      <c r="AH430" s="164">
        <v>1</v>
      </c>
      <c r="AI430" s="163"/>
      <c r="AJ430" s="163"/>
      <c r="AK430" s="163"/>
      <c r="AL430" s="163"/>
      <c r="AM430" s="163"/>
      <c r="AN430" s="163"/>
      <c r="AO430" s="10" t="s">
        <v>3</v>
      </c>
      <c r="AP430" s="297"/>
      <c r="AQ430" s="178">
        <v>15</v>
      </c>
      <c r="AR430" s="177"/>
      <c r="AS430" s="222"/>
      <c r="AT430" s="230"/>
      <c r="AU430" s="230"/>
      <c r="AV430" s="62"/>
      <c r="AW430" s="173"/>
      <c r="AX430" s="191"/>
      <c r="AY430" s="182"/>
      <c r="AZ430" s="182"/>
      <c r="BA430" s="171"/>
      <c r="BB430" s="180"/>
      <c r="BC430" s="172"/>
      <c r="BD430" s="172"/>
      <c r="BE430" s="142"/>
      <c r="BF430" s="171"/>
      <c r="BG430" s="56"/>
      <c r="BH430" s="57"/>
      <c r="BI430" s="170"/>
      <c r="BJ430" s="169"/>
      <c r="BK430" s="181"/>
      <c r="BL430" s="36"/>
      <c r="BM430" s="36" t="str">
        <f>IF('[1]V1 V2'!X429="","",'[1]V1 V2'!X429)</f>
        <v/>
      </c>
    </row>
    <row r="431" spans="1:66" ht="16" thickBot="1" x14ac:dyDescent="0.4">
      <c r="A431">
        <v>1</v>
      </c>
      <c r="B431" s="310" t="s">
        <v>1298</v>
      </c>
      <c r="C431" s="311"/>
      <c r="D431" s="312"/>
      <c r="E431" s="36" t="str">
        <f>VLOOKUP($B431,'[1]V1 V2'!$B$5:$BW$1894,74,0)</f>
        <v>C.F.6</v>
      </c>
      <c r="F431" s="144"/>
      <c r="G431" s="145" t="s">
        <v>1030</v>
      </c>
      <c r="H431" s="69"/>
      <c r="I431" s="87"/>
      <c r="J431" s="86" t="s">
        <v>127</v>
      </c>
      <c r="K431" s="147">
        <v>5.5</v>
      </c>
      <c r="L431" s="147">
        <v>5.2</v>
      </c>
      <c r="M431" s="149"/>
      <c r="N431" s="150"/>
      <c r="O431" s="151" t="s">
        <v>621</v>
      </c>
      <c r="P431" s="352" t="s">
        <v>654</v>
      </c>
      <c r="Q431" s="161" t="s">
        <v>1031</v>
      </c>
      <c r="R431" s="161" t="s">
        <v>623</v>
      </c>
      <c r="S431" s="152" t="s">
        <v>1188</v>
      </c>
      <c r="T431" s="150" t="s">
        <v>585</v>
      </c>
      <c r="U431" s="80"/>
      <c r="V431" s="253" t="s">
        <v>1299</v>
      </c>
      <c r="W431" s="253" t="s">
        <v>1300</v>
      </c>
      <c r="X431" s="355">
        <v>31609.789000000015</v>
      </c>
      <c r="Y431" s="154">
        <v>3195.2599999999979</v>
      </c>
      <c r="Z431" s="155"/>
      <c r="AA431" s="315" t="s">
        <v>1298</v>
      </c>
      <c r="AB431" s="21" t="s">
        <v>2</v>
      </c>
      <c r="AC431" s="113"/>
      <c r="AD431" s="113"/>
      <c r="AE431" s="113"/>
      <c r="AF431" s="113"/>
      <c r="AG431" s="113"/>
      <c r="AH431" s="166">
        <f>Y430</f>
        <v>0</v>
      </c>
      <c r="AI431" s="113"/>
      <c r="AJ431" s="113"/>
      <c r="AK431" s="113"/>
      <c r="AL431" s="113"/>
      <c r="AM431" s="113"/>
      <c r="AN431" s="113"/>
      <c r="AO431" s="10" t="s">
        <v>3</v>
      </c>
      <c r="AP431" s="315" t="s">
        <v>1301</v>
      </c>
      <c r="AQ431" s="155"/>
      <c r="AR431" s="154">
        <v>3194.5600000000004</v>
      </c>
      <c r="AS431" s="154">
        <f>AS429-AQ430</f>
        <v>31690.088999999993</v>
      </c>
      <c r="AT431" s="154" t="s">
        <v>1302</v>
      </c>
      <c r="AU431" s="154" t="s">
        <v>1303</v>
      </c>
      <c r="AV431" s="80"/>
      <c r="AW431" s="150" t="s">
        <v>585</v>
      </c>
      <c r="AX431" s="152" t="s">
        <v>1188</v>
      </c>
      <c r="AY431" s="161" t="s">
        <v>623</v>
      </c>
      <c r="AZ431" s="161" t="s">
        <v>1031</v>
      </c>
      <c r="BA431" s="381" t="s">
        <v>654</v>
      </c>
      <c r="BB431" s="157" t="s">
        <v>621</v>
      </c>
      <c r="BC431" s="149"/>
      <c r="BD431" s="149"/>
      <c r="BE431" s="147">
        <v>5.2</v>
      </c>
      <c r="BF431" s="147">
        <v>5.5</v>
      </c>
      <c r="BG431" s="316" t="s">
        <v>127</v>
      </c>
      <c r="BH431" s="87"/>
      <c r="BI431" s="69"/>
      <c r="BJ431" s="145" t="s">
        <v>1030</v>
      </c>
      <c r="BK431" s="160"/>
      <c r="BL431" s="36" t="str">
        <f>VLOOKUP($AP431,'[1]V1 V2'!$B$5:$BW$1894,74,0)</f>
        <v>C.F.6</v>
      </c>
      <c r="BM431" s="36" t="str">
        <f>IF('[1]V1 V2'!X430="","",'[1]V1 V2'!X430)</f>
        <v/>
      </c>
      <c r="BN431">
        <v>1</v>
      </c>
    </row>
    <row r="432" spans="1:66" ht="16" thickBot="1" x14ac:dyDescent="0.4">
      <c r="A432">
        <v>1</v>
      </c>
      <c r="B432" s="310"/>
      <c r="C432" s="311"/>
      <c r="D432" s="312"/>
      <c r="E432" s="36"/>
      <c r="F432" s="144"/>
      <c r="G432" s="145"/>
      <c r="H432" s="317" t="s">
        <v>1063</v>
      </c>
      <c r="I432" s="87"/>
      <c r="J432" s="86"/>
      <c r="K432" s="147"/>
      <c r="L432" s="148"/>
      <c r="M432" s="149"/>
      <c r="N432" s="150"/>
      <c r="O432" s="151" t="s">
        <v>89</v>
      </c>
      <c r="P432" s="350"/>
      <c r="Q432" s="153"/>
      <c r="R432" s="153"/>
      <c r="S432" s="152"/>
      <c r="T432" s="150"/>
      <c r="U432" s="80"/>
      <c r="V432" s="154" t="s">
        <v>89</v>
      </c>
      <c r="W432" s="154" t="s">
        <v>89</v>
      </c>
      <c r="X432" s="356"/>
      <c r="Y432" s="154"/>
      <c r="Z432" s="155">
        <v>15.4</v>
      </c>
      <c r="AA432" s="315"/>
      <c r="AB432" s="21" t="s">
        <v>2</v>
      </c>
      <c r="AF432" t="s">
        <v>940</v>
      </c>
      <c r="AH432" s="63">
        <v>1</v>
      </c>
      <c r="AK432" t="s">
        <v>940</v>
      </c>
      <c r="AO432" s="10" t="s">
        <v>3</v>
      </c>
      <c r="AP432" s="315"/>
      <c r="AQ432" s="155">
        <v>15.4</v>
      </c>
      <c r="AR432" s="154"/>
      <c r="AS432" s="154"/>
      <c r="AT432" s="253" t="s">
        <v>89</v>
      </c>
      <c r="AU432" s="253" t="s">
        <v>89</v>
      </c>
      <c r="AV432" s="80"/>
      <c r="AW432" s="150"/>
      <c r="AX432" s="152"/>
      <c r="AY432" s="153"/>
      <c r="AZ432" s="153"/>
      <c r="BA432" s="147"/>
      <c r="BB432" s="157" t="s">
        <v>89</v>
      </c>
      <c r="BC432" s="149"/>
      <c r="BD432" s="149"/>
      <c r="BE432" s="148"/>
      <c r="BF432" s="147"/>
      <c r="BG432" s="86"/>
      <c r="BH432" s="87"/>
      <c r="BI432" s="317"/>
      <c r="BJ432" s="145"/>
      <c r="BK432" s="160"/>
      <c r="BL432" s="36"/>
      <c r="BM432" s="36" t="str">
        <f>IF('[1]V1 V2'!X431="","",'[1]V1 V2'!X431)</f>
        <v/>
      </c>
    </row>
    <row r="433" spans="1:65" ht="16" thickBot="1" x14ac:dyDescent="0.4">
      <c r="A433">
        <v>1</v>
      </c>
      <c r="B433" s="310" t="s">
        <v>1304</v>
      </c>
      <c r="C433" s="311"/>
      <c r="D433" s="312"/>
      <c r="E433" s="36" t="str">
        <f>VLOOKUP($B433,'[1]V1 V2'!$B$5:$BW$1894,74,0)</f>
        <v>C.F.17</v>
      </c>
      <c r="F433" s="144"/>
      <c r="G433" s="145"/>
      <c r="H433" s="318"/>
      <c r="I433" s="87">
        <v>-20</v>
      </c>
      <c r="J433" s="86">
        <v>0</v>
      </c>
      <c r="K433" s="147">
        <v>5.3902000000000001</v>
      </c>
      <c r="L433" s="147">
        <v>5.2</v>
      </c>
      <c r="M433" s="149"/>
      <c r="N433" s="150" t="s">
        <v>621</v>
      </c>
      <c r="O433" s="151" t="s">
        <v>596</v>
      </c>
      <c r="P433" s="352" t="s">
        <v>661</v>
      </c>
      <c r="Q433" s="161" t="s">
        <v>639</v>
      </c>
      <c r="R433" s="161" t="s">
        <v>623</v>
      </c>
      <c r="S433" s="152" t="s">
        <v>1188</v>
      </c>
      <c r="T433" s="150" t="s">
        <v>33</v>
      </c>
      <c r="U433" s="80"/>
      <c r="V433" s="154" t="s">
        <v>1305</v>
      </c>
      <c r="W433" s="154" t="s">
        <v>1306</v>
      </c>
      <c r="X433" s="355">
        <v>31594.389000000014</v>
      </c>
      <c r="Y433" s="154">
        <v>3210.659999999998</v>
      </c>
      <c r="Z433" s="155"/>
      <c r="AA433" s="315" t="s">
        <v>1304</v>
      </c>
      <c r="AB433" s="21" t="s">
        <v>2</v>
      </c>
      <c r="AH433" s="63">
        <v>1</v>
      </c>
      <c r="AO433" s="10" t="s">
        <v>3</v>
      </c>
      <c r="AP433" s="315" t="s">
        <v>1307</v>
      </c>
      <c r="AQ433" s="155"/>
      <c r="AR433" s="154">
        <v>3209.9600000000005</v>
      </c>
      <c r="AS433" s="154">
        <f>AS431-AQ432</f>
        <v>31674.688999999991</v>
      </c>
      <c r="AT433" s="154" t="s">
        <v>1308</v>
      </c>
      <c r="AU433" s="154" t="s">
        <v>1309</v>
      </c>
      <c r="AV433" s="80"/>
      <c r="AW433" s="150" t="s">
        <v>33</v>
      </c>
      <c r="AX433" s="152" t="s">
        <v>1188</v>
      </c>
      <c r="AY433" s="161" t="s">
        <v>623</v>
      </c>
      <c r="AZ433" s="161" t="s">
        <v>639</v>
      </c>
      <c r="BA433" s="381" t="s">
        <v>661</v>
      </c>
      <c r="BB433" s="157" t="s">
        <v>596</v>
      </c>
      <c r="BC433" s="149" t="s">
        <v>596</v>
      </c>
      <c r="BD433" s="149"/>
      <c r="BE433" s="147">
        <v>5.2</v>
      </c>
      <c r="BF433" s="147">
        <v>5.3902000000000001</v>
      </c>
      <c r="BG433" s="86">
        <v>0</v>
      </c>
      <c r="BH433" s="87">
        <v>-20</v>
      </c>
      <c r="BI433" s="318" t="s">
        <v>1062</v>
      </c>
      <c r="BJ433" s="145"/>
      <c r="BK433" s="160"/>
      <c r="BL433" s="36" t="str">
        <f>VLOOKUP($AP433,'[1]V1 V2'!$B$5:$BW$1894,74,0)</f>
        <v>C.F.17</v>
      </c>
      <c r="BM433" s="36" t="str">
        <f>IF('[1]V1 V2'!X432="","",'[1]V1 V2'!X432)</f>
        <v/>
      </c>
    </row>
    <row r="434" spans="1:65" ht="16" thickBot="1" x14ac:dyDescent="0.4">
      <c r="A434">
        <v>1</v>
      </c>
      <c r="B434" s="310"/>
      <c r="C434" s="311"/>
      <c r="D434" s="312"/>
      <c r="E434" s="36"/>
      <c r="F434" s="144"/>
      <c r="G434" s="145"/>
      <c r="H434" s="317"/>
      <c r="I434" s="87"/>
      <c r="J434" s="86"/>
      <c r="K434" s="147"/>
      <c r="L434" s="148"/>
      <c r="M434" s="149"/>
      <c r="N434" s="150"/>
      <c r="O434" s="151" t="s">
        <v>89</v>
      </c>
      <c r="P434" s="350"/>
      <c r="Q434" s="153"/>
      <c r="R434" s="153"/>
      <c r="S434" s="152"/>
      <c r="T434" s="150"/>
      <c r="U434" s="80"/>
      <c r="V434" s="154" t="s">
        <v>89</v>
      </c>
      <c r="W434" s="154" t="s">
        <v>89</v>
      </c>
      <c r="X434" s="356"/>
      <c r="Y434" s="154"/>
      <c r="Z434" s="155">
        <v>21.7</v>
      </c>
      <c r="AA434" s="315"/>
      <c r="AB434" s="21" t="s">
        <v>2</v>
      </c>
      <c r="AH434" s="63">
        <v>1</v>
      </c>
      <c r="AO434" s="10" t="s">
        <v>3</v>
      </c>
      <c r="AP434" s="315"/>
      <c r="AQ434" s="155">
        <v>21.7</v>
      </c>
      <c r="AR434" s="154"/>
      <c r="AS434" s="154"/>
      <c r="AT434" s="154" t="s">
        <v>89</v>
      </c>
      <c r="AU434" s="154" t="s">
        <v>89</v>
      </c>
      <c r="AV434" s="80"/>
      <c r="AW434" s="150"/>
      <c r="AX434" s="152"/>
      <c r="AY434" s="153"/>
      <c r="AZ434" s="153"/>
      <c r="BA434" s="147"/>
      <c r="BB434" s="157" t="s">
        <v>89</v>
      </c>
      <c r="BC434" s="149"/>
      <c r="BD434" s="149"/>
      <c r="BE434" s="148"/>
      <c r="BF434" s="147"/>
      <c r="BG434" s="86"/>
      <c r="BH434" s="87"/>
      <c r="BI434" s="317"/>
      <c r="BJ434" s="145"/>
      <c r="BK434" s="160"/>
      <c r="BL434" s="36"/>
      <c r="BM434" s="36" t="str">
        <f>IF('[1]V1 V2'!X433="","",'[1]V1 V2'!X433)</f>
        <v/>
      </c>
    </row>
    <row r="435" spans="1:65" ht="16" thickBot="1" x14ac:dyDescent="0.4">
      <c r="A435">
        <v>1</v>
      </c>
      <c r="B435" s="310" t="s">
        <v>1310</v>
      </c>
      <c r="C435" s="311"/>
      <c r="D435" s="312"/>
      <c r="E435" s="36" t="str">
        <f>VLOOKUP($B435,'[1]V1 V2'!$B$5:$BW$1894,74,0)</f>
        <v>C.F.21</v>
      </c>
      <c r="F435" s="144"/>
      <c r="G435" s="145"/>
      <c r="H435" s="318"/>
      <c r="I435" s="87">
        <v>0</v>
      </c>
      <c r="J435" s="86" t="s">
        <v>127</v>
      </c>
      <c r="K435" s="147">
        <v>5.26</v>
      </c>
      <c r="L435" s="147">
        <v>5.2</v>
      </c>
      <c r="M435" s="149"/>
      <c r="N435" s="150" t="s">
        <v>621</v>
      </c>
      <c r="O435" s="151" t="s">
        <v>596</v>
      </c>
      <c r="P435" s="352" t="s">
        <v>661</v>
      </c>
      <c r="Q435" s="161" t="s">
        <v>639</v>
      </c>
      <c r="R435" s="161" t="s">
        <v>623</v>
      </c>
      <c r="S435" s="152" t="s">
        <v>1188</v>
      </c>
      <c r="T435" s="150" t="s">
        <v>753</v>
      </c>
      <c r="U435" s="80"/>
      <c r="V435" s="154" t="s">
        <v>1311</v>
      </c>
      <c r="W435" s="154" t="s">
        <v>1312</v>
      </c>
      <c r="X435" s="355">
        <v>31572.689000000013</v>
      </c>
      <c r="Y435" s="154">
        <v>3232.3599999999979</v>
      </c>
      <c r="Z435" s="155"/>
      <c r="AA435" s="315" t="s">
        <v>1310</v>
      </c>
      <c r="AB435" s="21" t="s">
        <v>2</v>
      </c>
      <c r="AH435" s="63">
        <v>1</v>
      </c>
      <c r="AO435" s="10" t="s">
        <v>3</v>
      </c>
      <c r="AP435" s="315" t="s">
        <v>1313</v>
      </c>
      <c r="AQ435" s="155"/>
      <c r="AR435" s="154">
        <v>3231.6600000000003</v>
      </c>
      <c r="AS435" s="154">
        <f>AS433-AQ434</f>
        <v>31652.98899999999</v>
      </c>
      <c r="AT435" s="154" t="s">
        <v>1314</v>
      </c>
      <c r="AU435" s="154" t="s">
        <v>1315</v>
      </c>
      <c r="AV435" s="80"/>
      <c r="AW435" s="150" t="s">
        <v>753</v>
      </c>
      <c r="AX435" s="152" t="s">
        <v>1188</v>
      </c>
      <c r="AY435" s="161" t="s">
        <v>623</v>
      </c>
      <c r="AZ435" s="161" t="s">
        <v>639</v>
      </c>
      <c r="BA435" s="381" t="s">
        <v>661</v>
      </c>
      <c r="BB435" s="157" t="s">
        <v>596</v>
      </c>
      <c r="BC435" s="149" t="s">
        <v>621</v>
      </c>
      <c r="BD435" s="149"/>
      <c r="BE435" s="147">
        <v>5.2</v>
      </c>
      <c r="BF435" s="147">
        <v>5.26</v>
      </c>
      <c r="BG435" s="316" t="s">
        <v>127</v>
      </c>
      <c r="BH435" s="87">
        <v>0</v>
      </c>
      <c r="BI435" s="318"/>
      <c r="BJ435" s="145"/>
      <c r="BK435" s="160"/>
      <c r="BL435" s="36" t="str">
        <f>VLOOKUP($AP435,'[1]V1 V2'!$B$5:$BW$1894,74,0)</f>
        <v>C.F.21</v>
      </c>
      <c r="BM435" s="36" t="str">
        <f>IF('[1]V1 V2'!X434="","",'[1]V1 V2'!X434)</f>
        <v/>
      </c>
    </row>
    <row r="436" spans="1:65" ht="16" thickBot="1" x14ac:dyDescent="0.4">
      <c r="A436">
        <v>1</v>
      </c>
      <c r="B436" s="310"/>
      <c r="C436" s="311"/>
      <c r="D436" s="312"/>
      <c r="E436" s="36"/>
      <c r="F436" s="144"/>
      <c r="G436" s="145"/>
      <c r="H436" s="92" t="s">
        <v>8</v>
      </c>
      <c r="I436" s="87"/>
      <c r="J436" s="86"/>
      <c r="K436" s="147"/>
      <c r="L436" s="148"/>
      <c r="M436" s="149"/>
      <c r="N436" s="150"/>
      <c r="O436" s="151" t="s">
        <v>89</v>
      </c>
      <c r="P436" s="350"/>
      <c r="Q436" s="153"/>
      <c r="R436" s="153"/>
      <c r="S436" s="152"/>
      <c r="T436" s="150"/>
      <c r="U436" s="80"/>
      <c r="V436" s="154" t="s">
        <v>89</v>
      </c>
      <c r="W436" s="154" t="s">
        <v>89</v>
      </c>
      <c r="X436" s="356"/>
      <c r="Y436" s="154"/>
      <c r="Z436" s="155">
        <v>20</v>
      </c>
      <c r="AA436" s="315"/>
      <c r="AB436" s="21" t="s">
        <v>2</v>
      </c>
      <c r="AH436" s="63">
        <v>1</v>
      </c>
      <c r="AO436" s="10" t="s">
        <v>3</v>
      </c>
      <c r="AP436" s="315"/>
      <c r="AQ436" s="155">
        <v>20</v>
      </c>
      <c r="AR436" s="154"/>
      <c r="AS436" s="154"/>
      <c r="AT436" s="154" t="s">
        <v>89</v>
      </c>
      <c r="AU436" s="154" t="s">
        <v>89</v>
      </c>
      <c r="AV436" s="80"/>
      <c r="AW436" s="150"/>
      <c r="AX436" s="152"/>
      <c r="AY436" s="153"/>
      <c r="AZ436" s="153"/>
      <c r="BA436" s="147"/>
      <c r="BB436" s="157" t="s">
        <v>89</v>
      </c>
      <c r="BC436" s="149"/>
      <c r="BD436" s="149"/>
      <c r="BE436" s="148"/>
      <c r="BF436" s="147"/>
      <c r="BG436" s="86"/>
      <c r="BH436" s="87"/>
      <c r="BI436" s="92" t="s">
        <v>8</v>
      </c>
      <c r="BJ436" s="145"/>
      <c r="BK436" s="160"/>
      <c r="BL436" s="36"/>
      <c r="BM436" s="36" t="str">
        <f>IF('[1]V1 V2'!X435="","",'[1]V1 V2'!X435)</f>
        <v/>
      </c>
    </row>
    <row r="437" spans="1:65" ht="16" thickBot="1" x14ac:dyDescent="0.4">
      <c r="A437">
        <v>1</v>
      </c>
      <c r="B437" s="310" t="s">
        <v>1316</v>
      </c>
      <c r="C437" s="311"/>
      <c r="D437" s="312"/>
      <c r="E437" s="36" t="str">
        <f>VLOOKUP($B437,'[1]V1 V2'!$B$5:$BW$1894,74,0)</f>
        <v>C.F.20.B</v>
      </c>
      <c r="F437" s="144"/>
      <c r="G437" s="145"/>
      <c r="H437" s="318"/>
      <c r="I437" s="87">
        <v>-20</v>
      </c>
      <c r="J437" s="86">
        <v>0</v>
      </c>
      <c r="K437" s="147">
        <v>5.26</v>
      </c>
      <c r="L437" s="147">
        <v>5.2</v>
      </c>
      <c r="M437" s="149"/>
      <c r="N437" s="150" t="s">
        <v>1048</v>
      </c>
      <c r="O437" s="151" t="s">
        <v>621</v>
      </c>
      <c r="P437" s="352" t="s">
        <v>661</v>
      </c>
      <c r="Q437" s="161" t="s">
        <v>639</v>
      </c>
      <c r="R437" s="161" t="s">
        <v>623</v>
      </c>
      <c r="S437" s="152" t="s">
        <v>1188</v>
      </c>
      <c r="T437" s="150" t="s">
        <v>753</v>
      </c>
      <c r="U437" s="80"/>
      <c r="V437" s="154" t="s">
        <v>1317</v>
      </c>
      <c r="W437" s="154" t="s">
        <v>1318</v>
      </c>
      <c r="X437" s="355">
        <v>31552.689000000013</v>
      </c>
      <c r="Y437" s="154">
        <v>3252.3599999999979</v>
      </c>
      <c r="Z437" s="155"/>
      <c r="AA437" s="315" t="s">
        <v>1316</v>
      </c>
      <c r="AB437" s="21" t="s">
        <v>2</v>
      </c>
      <c r="AH437" s="63">
        <v>1</v>
      </c>
      <c r="AO437" s="10" t="s">
        <v>3</v>
      </c>
      <c r="AP437" s="315" t="s">
        <v>1319</v>
      </c>
      <c r="AQ437" s="155"/>
      <c r="AR437" s="154">
        <v>3251.6600000000003</v>
      </c>
      <c r="AS437" s="154">
        <f>AS435-AQ436</f>
        <v>31632.98899999999</v>
      </c>
      <c r="AT437" s="154" t="s">
        <v>1320</v>
      </c>
      <c r="AU437" s="154" t="s">
        <v>1321</v>
      </c>
      <c r="AV437" s="80"/>
      <c r="AW437" s="150" t="s">
        <v>753</v>
      </c>
      <c r="AX437" s="152" t="s">
        <v>1188</v>
      </c>
      <c r="AY437" s="161" t="s">
        <v>623</v>
      </c>
      <c r="AZ437" s="161" t="s">
        <v>639</v>
      </c>
      <c r="BA437" s="381" t="s">
        <v>661</v>
      </c>
      <c r="BB437" s="157" t="s">
        <v>621</v>
      </c>
      <c r="BC437" s="149" t="s">
        <v>596</v>
      </c>
      <c r="BD437" s="149"/>
      <c r="BE437" s="147">
        <v>5.2</v>
      </c>
      <c r="BF437" s="147">
        <v>5.26</v>
      </c>
      <c r="BG437" s="86">
        <v>0</v>
      </c>
      <c r="BH437" s="87">
        <v>-20</v>
      </c>
      <c r="BI437" s="318"/>
      <c r="BJ437" s="145"/>
      <c r="BK437" s="160"/>
      <c r="BL437" s="36" t="str">
        <f>VLOOKUP($AP437,'[1]V1 V2'!$B$5:$BW$1894,74,0)</f>
        <v>C.F.20.B</v>
      </c>
      <c r="BM437" s="36" t="str">
        <f>IF('[1]V1 V2'!X436="","",'[1]V1 V2'!X436)</f>
        <v/>
      </c>
    </row>
    <row r="438" spans="1:65" ht="16" thickBot="1" x14ac:dyDescent="0.4">
      <c r="A438">
        <v>1</v>
      </c>
      <c r="B438" s="310"/>
      <c r="C438" s="311"/>
      <c r="D438" s="312"/>
      <c r="E438" s="36"/>
      <c r="F438" s="144"/>
      <c r="G438" s="145"/>
      <c r="H438" s="317"/>
      <c r="I438" s="87"/>
      <c r="J438" s="86"/>
      <c r="K438" s="147"/>
      <c r="L438" s="147"/>
      <c r="M438" s="149"/>
      <c r="N438" s="150"/>
      <c r="O438" s="151" t="s">
        <v>89</v>
      </c>
      <c r="P438" s="350"/>
      <c r="Q438" s="153"/>
      <c r="R438" s="153"/>
      <c r="S438" s="152"/>
      <c r="T438" s="150"/>
      <c r="U438" s="80"/>
      <c r="V438" s="154" t="s">
        <v>89</v>
      </c>
      <c r="W438" s="154" t="s">
        <v>89</v>
      </c>
      <c r="X438" s="356"/>
      <c r="Y438" s="154"/>
      <c r="Z438" s="155">
        <v>20</v>
      </c>
      <c r="AA438" s="315"/>
      <c r="AB438" s="21" t="s">
        <v>2</v>
      </c>
      <c r="AH438" s="63">
        <v>1</v>
      </c>
      <c r="AO438" s="10" t="s">
        <v>3</v>
      </c>
      <c r="AP438" s="315"/>
      <c r="AQ438" s="155">
        <v>20</v>
      </c>
      <c r="AR438" s="154"/>
      <c r="AS438" s="154"/>
      <c r="AT438" s="154" t="s">
        <v>89</v>
      </c>
      <c r="AU438" s="154" t="s">
        <v>89</v>
      </c>
      <c r="AV438" s="80"/>
      <c r="AW438" s="150"/>
      <c r="AX438" s="152"/>
      <c r="AY438" s="153"/>
      <c r="AZ438" s="153"/>
      <c r="BA438" s="147"/>
      <c r="BB438" s="157" t="s">
        <v>89</v>
      </c>
      <c r="BC438" s="149"/>
      <c r="BD438" s="149"/>
      <c r="BE438" s="147"/>
      <c r="BF438" s="147"/>
      <c r="BG438" s="86"/>
      <c r="BH438" s="87"/>
      <c r="BI438" s="317"/>
      <c r="BJ438" s="145"/>
      <c r="BK438" s="160"/>
      <c r="BL438" s="36"/>
      <c r="BM438" s="36" t="str">
        <f>IF('[1]V1 V2'!X437="","",'[1]V1 V2'!X437)</f>
        <v/>
      </c>
    </row>
    <row r="439" spans="1:65" ht="16" thickBot="1" x14ac:dyDescent="0.4">
      <c r="A439">
        <v>1</v>
      </c>
      <c r="B439" s="310" t="s">
        <v>1322</v>
      </c>
      <c r="C439" s="311"/>
      <c r="D439" s="312"/>
      <c r="E439" s="36" t="str">
        <f>VLOOKUP($B439,'[1]V1 V2'!$B$5:$BW$1894,74,0)</f>
        <v>C.F.18.A</v>
      </c>
      <c r="F439" s="144"/>
      <c r="G439" s="145"/>
      <c r="H439" s="317"/>
      <c r="I439" s="87">
        <v>0</v>
      </c>
      <c r="J439" s="86" t="s">
        <v>127</v>
      </c>
      <c r="K439" s="147">
        <v>5.38</v>
      </c>
      <c r="L439" s="147">
        <v>5.2</v>
      </c>
      <c r="M439" s="149"/>
      <c r="N439" s="150" t="s">
        <v>1048</v>
      </c>
      <c r="O439" s="151" t="s">
        <v>621</v>
      </c>
      <c r="P439" s="352" t="s">
        <v>661</v>
      </c>
      <c r="Q439" s="161" t="s">
        <v>639</v>
      </c>
      <c r="R439" s="161" t="s">
        <v>623</v>
      </c>
      <c r="S439" s="152" t="s">
        <v>1188</v>
      </c>
      <c r="T439" s="150" t="s">
        <v>33</v>
      </c>
      <c r="U439" s="80"/>
      <c r="V439" s="154" t="s">
        <v>1323</v>
      </c>
      <c r="W439" s="154" t="s">
        <v>1324</v>
      </c>
      <c r="X439" s="355">
        <v>31532.689000000013</v>
      </c>
      <c r="Y439" s="154">
        <v>3272.3599999999979</v>
      </c>
      <c r="Z439" s="155"/>
      <c r="AA439" s="315" t="s">
        <v>1322</v>
      </c>
      <c r="AB439" s="21" t="s">
        <v>2</v>
      </c>
      <c r="AH439" s="63">
        <v>1</v>
      </c>
      <c r="AO439" s="10" t="s">
        <v>3</v>
      </c>
      <c r="AP439" s="315" t="s">
        <v>1325</v>
      </c>
      <c r="AQ439" s="155"/>
      <c r="AR439" s="154">
        <v>3271.6600000000003</v>
      </c>
      <c r="AS439" s="154">
        <f>AS437-AQ438</f>
        <v>31612.98899999999</v>
      </c>
      <c r="AT439" s="154" t="s">
        <v>1326</v>
      </c>
      <c r="AU439" s="154" t="s">
        <v>1327</v>
      </c>
      <c r="AV439" s="80"/>
      <c r="AW439" s="150" t="s">
        <v>33</v>
      </c>
      <c r="AX439" s="152" t="s">
        <v>1188</v>
      </c>
      <c r="AY439" s="161" t="s">
        <v>623</v>
      </c>
      <c r="AZ439" s="161" t="s">
        <v>639</v>
      </c>
      <c r="BA439" s="381" t="s">
        <v>661</v>
      </c>
      <c r="BB439" s="157" t="s">
        <v>621</v>
      </c>
      <c r="BC439" s="149" t="s">
        <v>596</v>
      </c>
      <c r="BD439" s="149"/>
      <c r="BE439" s="147">
        <v>5.2</v>
      </c>
      <c r="BF439" s="147">
        <v>5.38</v>
      </c>
      <c r="BG439" s="316" t="s">
        <v>127</v>
      </c>
      <c r="BH439" s="87">
        <v>0</v>
      </c>
      <c r="BI439" s="317" t="s">
        <v>1328</v>
      </c>
      <c r="BJ439" s="145"/>
      <c r="BK439" s="160"/>
      <c r="BL439" s="36" t="str">
        <f>VLOOKUP($AP439,'[1]V1 V2'!$B$5:$BW$1894,74,0)</f>
        <v>C.F.18.A</v>
      </c>
      <c r="BM439" s="36" t="str">
        <f>IF('[1]V1 V2'!X438="","",'[1]V1 V2'!X438)</f>
        <v/>
      </c>
    </row>
    <row r="440" spans="1:65" ht="16" thickBot="1" x14ac:dyDescent="0.4">
      <c r="A440">
        <v>1</v>
      </c>
      <c r="B440" s="310"/>
      <c r="C440" s="311"/>
      <c r="D440" s="312"/>
      <c r="E440" s="36"/>
      <c r="F440" s="144"/>
      <c r="G440" s="145"/>
      <c r="H440" s="317" t="s">
        <v>1329</v>
      </c>
      <c r="I440" s="87"/>
      <c r="J440" s="86"/>
      <c r="K440" s="148"/>
      <c r="L440" s="147"/>
      <c r="M440" s="149"/>
      <c r="N440" s="150"/>
      <c r="O440" s="151" t="s">
        <v>89</v>
      </c>
      <c r="P440" s="350"/>
      <c r="Q440" s="153"/>
      <c r="R440" s="153"/>
      <c r="S440" s="152"/>
      <c r="T440" s="150"/>
      <c r="U440" s="80"/>
      <c r="V440" s="154" t="s">
        <v>89</v>
      </c>
      <c r="W440" s="154" t="s">
        <v>89</v>
      </c>
      <c r="X440" s="356"/>
      <c r="Y440" s="154"/>
      <c r="Z440" s="155">
        <v>20</v>
      </c>
      <c r="AA440" s="315"/>
      <c r="AB440" s="21" t="s">
        <v>2</v>
      </c>
      <c r="AH440" s="63">
        <v>1</v>
      </c>
      <c r="AO440" s="10" t="s">
        <v>3</v>
      </c>
      <c r="AP440" s="315"/>
      <c r="AQ440" s="155">
        <v>20</v>
      </c>
      <c r="AR440" s="154"/>
      <c r="AS440" s="154"/>
      <c r="AT440" s="154" t="s">
        <v>89</v>
      </c>
      <c r="AU440" s="154" t="s">
        <v>89</v>
      </c>
      <c r="AV440" s="80"/>
      <c r="AW440" s="150"/>
      <c r="AX440" s="152"/>
      <c r="AY440" s="153"/>
      <c r="AZ440" s="153"/>
      <c r="BA440" s="147"/>
      <c r="BB440" s="157" t="s">
        <v>89</v>
      </c>
      <c r="BC440" s="149"/>
      <c r="BD440" s="149"/>
      <c r="BE440" s="147"/>
      <c r="BF440" s="148"/>
      <c r="BG440" s="86"/>
      <c r="BH440" s="87"/>
      <c r="BI440" s="317"/>
      <c r="BJ440" s="145"/>
      <c r="BK440" s="160"/>
      <c r="BL440" s="36"/>
      <c r="BM440" s="36" t="str">
        <f>IF('[1]V1 V2'!X439="","",'[1]V1 V2'!X439)</f>
        <v/>
      </c>
    </row>
    <row r="441" spans="1:65" ht="16" thickBot="1" x14ac:dyDescent="0.4">
      <c r="A441">
        <v>1</v>
      </c>
      <c r="B441" s="310" t="s">
        <v>1330</v>
      </c>
      <c r="C441" s="311"/>
      <c r="D441" s="312"/>
      <c r="E441" s="36" t="str">
        <f>VLOOKUP($B441,'[1]V1 V2'!$B$5:$BW$1894,74,0)</f>
        <v>C.F.7.A</v>
      </c>
      <c r="F441" s="144"/>
      <c r="G441" s="145" t="s">
        <v>1030</v>
      </c>
      <c r="H441" s="98"/>
      <c r="I441" s="257"/>
      <c r="J441" s="158">
        <v>-20</v>
      </c>
      <c r="K441" s="147">
        <v>5.5</v>
      </c>
      <c r="L441" s="147">
        <v>5.2</v>
      </c>
      <c r="M441" s="149"/>
      <c r="N441" s="150"/>
      <c r="O441" s="151" t="s">
        <v>621</v>
      </c>
      <c r="P441" s="352" t="s">
        <v>654</v>
      </c>
      <c r="Q441" s="161" t="s">
        <v>1031</v>
      </c>
      <c r="R441" s="161" t="s">
        <v>623</v>
      </c>
      <c r="S441" s="152" t="s">
        <v>1188</v>
      </c>
      <c r="T441" s="150" t="s">
        <v>585</v>
      </c>
      <c r="U441" s="80"/>
      <c r="V441" s="154" t="s">
        <v>1331</v>
      </c>
      <c r="W441" s="154" t="s">
        <v>1332</v>
      </c>
      <c r="X441" s="355">
        <v>31512.689000000013</v>
      </c>
      <c r="Y441" s="154">
        <v>3292.3599999999979</v>
      </c>
      <c r="Z441" s="155"/>
      <c r="AA441" s="315" t="s">
        <v>1330</v>
      </c>
      <c r="AB441" s="21" t="s">
        <v>2</v>
      </c>
      <c r="AH441" s="63">
        <v>1</v>
      </c>
      <c r="AO441" s="10" t="s">
        <v>3</v>
      </c>
      <c r="AP441" s="315" t="s">
        <v>1333</v>
      </c>
      <c r="AQ441" s="155"/>
      <c r="AR441" s="154">
        <v>3291.6600000000003</v>
      </c>
      <c r="AS441" s="154">
        <f>AS439-AQ440</f>
        <v>31592.98899999999</v>
      </c>
      <c r="AT441" s="154" t="s">
        <v>1334</v>
      </c>
      <c r="AU441" s="154" t="s">
        <v>1335</v>
      </c>
      <c r="AV441" s="80"/>
      <c r="AW441" s="150" t="s">
        <v>585</v>
      </c>
      <c r="AX441" s="152" t="s">
        <v>1188</v>
      </c>
      <c r="AY441" s="161" t="s">
        <v>623</v>
      </c>
      <c r="AZ441" s="161" t="s">
        <v>1031</v>
      </c>
      <c r="BA441" s="381" t="s">
        <v>654</v>
      </c>
      <c r="BB441" s="157" t="s">
        <v>621</v>
      </c>
      <c r="BC441" s="149"/>
      <c r="BD441" s="149"/>
      <c r="BE441" s="147">
        <v>5.2</v>
      </c>
      <c r="BF441" s="147">
        <v>5.5</v>
      </c>
      <c r="BG441" s="158">
        <v>-20</v>
      </c>
      <c r="BH441" s="257"/>
      <c r="BI441" s="98"/>
      <c r="BJ441" s="145" t="s">
        <v>1030</v>
      </c>
      <c r="BK441" s="160"/>
      <c r="BL441" s="36" t="str">
        <f>VLOOKUP($AP441,'[1]V1 V2'!$B$5:$BW$1894,74,0)</f>
        <v>C.F.7.A</v>
      </c>
      <c r="BM441" s="36" t="str">
        <f>IF('[1]V1 V2'!X440="","",'[1]V1 V2'!X440)</f>
        <v/>
      </c>
    </row>
    <row r="442" spans="1:65" ht="16" thickBot="1" x14ac:dyDescent="0.4">
      <c r="A442">
        <v>1</v>
      </c>
      <c r="B442" s="304"/>
      <c r="C442" s="305"/>
      <c r="D442" s="307" t="s">
        <v>728</v>
      </c>
      <c r="E442" s="36"/>
      <c r="F442" s="168"/>
      <c r="G442" s="169"/>
      <c r="H442" s="170"/>
      <c r="I442" s="57"/>
      <c r="J442" s="56"/>
      <c r="K442" s="171"/>
      <c r="L442" s="142"/>
      <c r="M442" s="172"/>
      <c r="N442" s="173"/>
      <c r="O442" s="174" t="s">
        <v>89</v>
      </c>
      <c r="P442" s="171"/>
      <c r="Q442" s="182"/>
      <c r="R442" s="182"/>
      <c r="S442" s="175"/>
      <c r="T442" s="173"/>
      <c r="U442" s="62"/>
      <c r="V442" s="177" t="s">
        <v>89</v>
      </c>
      <c r="W442" s="177" t="s">
        <v>89</v>
      </c>
      <c r="X442" s="230"/>
      <c r="Y442" s="177"/>
      <c r="Z442" s="178">
        <v>20</v>
      </c>
      <c r="AA442" s="297"/>
      <c r="AB442" s="21" t="s">
        <v>2</v>
      </c>
      <c r="AH442" s="63">
        <v>1</v>
      </c>
      <c r="AO442" s="10" t="s">
        <v>3</v>
      </c>
      <c r="AP442" s="297"/>
      <c r="AQ442" s="178">
        <v>20</v>
      </c>
      <c r="AR442" s="177"/>
      <c r="AS442" s="222"/>
      <c r="AT442" s="177" t="s">
        <v>89</v>
      </c>
      <c r="AU442" s="177" t="s">
        <v>89</v>
      </c>
      <c r="AV442" s="62"/>
      <c r="AW442" s="173"/>
      <c r="AX442" s="175"/>
      <c r="AY442" s="182"/>
      <c r="AZ442" s="182"/>
      <c r="BA442" s="171"/>
      <c r="BB442" s="180" t="s">
        <v>89</v>
      </c>
      <c r="BC442" s="172"/>
      <c r="BD442" s="172"/>
      <c r="BE442" s="142"/>
      <c r="BF442" s="171"/>
      <c r="BG442" s="56"/>
      <c r="BH442" s="57"/>
      <c r="BI442" s="170"/>
      <c r="BJ442" s="169"/>
      <c r="BK442" s="181"/>
      <c r="BL442" s="36"/>
      <c r="BM442" s="308" t="str">
        <f>IF('[1]V1 V2'!X441="","",'[1]V1 V2'!X441)</f>
        <v>1PEAD D110mm ou 2PEAD D63mm</v>
      </c>
    </row>
    <row r="443" spans="1:65" ht="16" thickBot="1" x14ac:dyDescent="0.4">
      <c r="A443">
        <v>1</v>
      </c>
      <c r="B443" s="304" t="s">
        <v>1336</v>
      </c>
      <c r="C443" s="305"/>
      <c r="D443" s="309" t="s">
        <v>722</v>
      </c>
      <c r="E443" s="36" t="str">
        <f>VLOOKUP($B443,'[1]V1 V2'!$B$5:$BW$1894,74,0)</f>
        <v>C.F.24</v>
      </c>
      <c r="F443" s="168"/>
      <c r="G443" s="169"/>
      <c r="H443" s="170"/>
      <c r="I443" s="57"/>
      <c r="J443" s="56" t="s">
        <v>127</v>
      </c>
      <c r="K443" s="171"/>
      <c r="L443" s="171">
        <v>5.0678000000000001</v>
      </c>
      <c r="M443" s="172"/>
      <c r="N443" s="173"/>
      <c r="O443" s="174" t="s">
        <v>621</v>
      </c>
      <c r="P443" s="191" t="s">
        <v>942</v>
      </c>
      <c r="Q443" s="176" t="s">
        <v>1228</v>
      </c>
      <c r="R443" s="176" t="s">
        <v>623</v>
      </c>
      <c r="S443" s="175" t="s">
        <v>1188</v>
      </c>
      <c r="T443" s="173" t="s">
        <v>30</v>
      </c>
      <c r="U443" s="62"/>
      <c r="V443" s="177" t="s">
        <v>1337</v>
      </c>
      <c r="W443" s="177" t="s">
        <v>1338</v>
      </c>
      <c r="X443" s="177">
        <v>31492.689000000013</v>
      </c>
      <c r="Y443" s="177">
        <v>3312.3599999999979</v>
      </c>
      <c r="Z443" s="178"/>
      <c r="AA443" s="297" t="s">
        <v>1336</v>
      </c>
      <c r="AB443" s="21" t="s">
        <v>2</v>
      </c>
      <c r="AH443" s="63">
        <v>1</v>
      </c>
      <c r="AO443" s="10" t="s">
        <v>3</v>
      </c>
      <c r="AP443" s="297" t="s">
        <v>1339</v>
      </c>
      <c r="AQ443" s="178"/>
      <c r="AR443" s="177">
        <v>3311.6600000000003</v>
      </c>
      <c r="AS443" s="222">
        <f>AS441-AQ442</f>
        <v>31572.98899999999</v>
      </c>
      <c r="AT443" s="177" t="s">
        <v>1340</v>
      </c>
      <c r="AU443" s="177" t="s">
        <v>1341</v>
      </c>
      <c r="AV443" s="62"/>
      <c r="AW443" s="173" t="s">
        <v>30</v>
      </c>
      <c r="AX443" s="175" t="s">
        <v>1188</v>
      </c>
      <c r="AY443" s="176" t="s">
        <v>623</v>
      </c>
      <c r="AZ443" s="176" t="s">
        <v>1228</v>
      </c>
      <c r="BA443" s="240" t="s">
        <v>942</v>
      </c>
      <c r="BB443" s="180" t="s">
        <v>621</v>
      </c>
      <c r="BC443" s="172"/>
      <c r="BD443" s="172"/>
      <c r="BE443" s="171">
        <v>5.0678000000000001</v>
      </c>
      <c r="BF443" s="171"/>
      <c r="BG443" s="183" t="s">
        <v>127</v>
      </c>
      <c r="BH443" s="57"/>
      <c r="BI443" s="170"/>
      <c r="BJ443" s="169"/>
      <c r="BK443" s="181"/>
      <c r="BL443" s="36" t="str">
        <f>VLOOKUP($AP443,'[1]V1 V2'!$B$5:$BW$1894,74,0)</f>
        <v>C.F.24</v>
      </c>
      <c r="BM443" s="202" t="str">
        <f>IF('[1]V1 V2'!X442="","",'[1]V1 V2'!X442)</f>
        <v>FR</v>
      </c>
    </row>
    <row r="444" spans="1:65" ht="16" thickBot="1" x14ac:dyDescent="0.4">
      <c r="A444">
        <v>1</v>
      </c>
      <c r="B444" s="304"/>
      <c r="C444" s="305"/>
      <c r="D444" s="307" t="s">
        <v>728</v>
      </c>
      <c r="E444" s="36"/>
      <c r="F444" s="168"/>
      <c r="G444" s="169"/>
      <c r="H444" s="170"/>
      <c r="I444" s="57"/>
      <c r="J444" s="56"/>
      <c r="K444" s="171"/>
      <c r="L444" s="142"/>
      <c r="M444" s="172"/>
      <c r="N444" s="173"/>
      <c r="O444" s="174" t="s">
        <v>89</v>
      </c>
      <c r="P444" s="171"/>
      <c r="Q444" s="182"/>
      <c r="R444" s="182"/>
      <c r="S444" s="175"/>
      <c r="T444" s="173"/>
      <c r="U444" s="62"/>
      <c r="V444" s="177" t="s">
        <v>89</v>
      </c>
      <c r="W444" s="177" t="s">
        <v>89</v>
      </c>
      <c r="X444" s="230"/>
      <c r="Y444" s="177"/>
      <c r="Z444" s="178">
        <v>20</v>
      </c>
      <c r="AA444" s="297"/>
      <c r="AB444" s="21" t="s">
        <v>2</v>
      </c>
      <c r="AH444" s="63">
        <v>1</v>
      </c>
      <c r="AO444" s="10" t="s">
        <v>3</v>
      </c>
      <c r="AP444" s="297"/>
      <c r="AQ444" s="178">
        <v>20</v>
      </c>
      <c r="AR444" s="177"/>
      <c r="AS444" s="222"/>
      <c r="AT444" s="177" t="s">
        <v>89</v>
      </c>
      <c r="AU444" s="177" t="s">
        <v>89</v>
      </c>
      <c r="AV444" s="62"/>
      <c r="AW444" s="173"/>
      <c r="AX444" s="175"/>
      <c r="AY444" s="182"/>
      <c r="AZ444" s="182"/>
      <c r="BA444" s="171"/>
      <c r="BB444" s="180" t="s">
        <v>89</v>
      </c>
      <c r="BC444" s="172"/>
      <c r="BD444" s="172"/>
      <c r="BE444" s="142"/>
      <c r="BF444" s="171"/>
      <c r="BG444" s="56"/>
      <c r="BH444" s="57"/>
      <c r="BI444" s="170"/>
      <c r="BJ444" s="169"/>
      <c r="BK444" s="181"/>
      <c r="BL444" s="36"/>
      <c r="BM444" s="308" t="str">
        <f>IF('[1]V1 V2'!X443="","",'[1]V1 V2'!X443)</f>
        <v>1PEAD D110mm ou 2PEAD D63mm</v>
      </c>
    </row>
    <row r="445" spans="1:65" ht="16" thickBot="1" x14ac:dyDescent="0.4">
      <c r="A445">
        <v>1</v>
      </c>
      <c r="B445" s="304" t="s">
        <v>1342</v>
      </c>
      <c r="C445" s="305"/>
      <c r="D445" s="306"/>
      <c r="E445" s="36" t="str">
        <f>VLOOKUP($B445,'[1]V1 V2'!$B$5:$BW$1894,74,0)</f>
        <v>C.F.2</v>
      </c>
      <c r="F445" s="168"/>
      <c r="G445" s="169"/>
      <c r="H445" s="170"/>
      <c r="I445" s="57"/>
      <c r="J445" s="56">
        <v>-20</v>
      </c>
      <c r="K445" s="171"/>
      <c r="L445" s="171">
        <v>4.9478</v>
      </c>
      <c r="M445" s="172"/>
      <c r="N445" s="173"/>
      <c r="O445" s="174" t="s">
        <v>621</v>
      </c>
      <c r="P445" s="191" t="s">
        <v>942</v>
      </c>
      <c r="Q445" s="176" t="s">
        <v>1228</v>
      </c>
      <c r="R445" s="176" t="s">
        <v>623</v>
      </c>
      <c r="S445" s="175" t="s">
        <v>1188</v>
      </c>
      <c r="T445" s="173" t="s">
        <v>30</v>
      </c>
      <c r="U445" s="62"/>
      <c r="V445" s="177" t="s">
        <v>1343</v>
      </c>
      <c r="W445" s="177" t="s">
        <v>1344</v>
      </c>
      <c r="X445" s="177">
        <v>31472.689000000013</v>
      </c>
      <c r="Y445" s="177">
        <v>3332.3599999999979</v>
      </c>
      <c r="Z445" s="178"/>
      <c r="AA445" s="297" t="s">
        <v>1342</v>
      </c>
      <c r="AB445" s="21" t="s">
        <v>2</v>
      </c>
      <c r="AH445" s="63">
        <v>1</v>
      </c>
      <c r="AO445" s="10" t="s">
        <v>3</v>
      </c>
      <c r="AP445" s="297" t="s">
        <v>1345</v>
      </c>
      <c r="AQ445" s="178"/>
      <c r="AR445" s="177">
        <v>3331.6600000000003</v>
      </c>
      <c r="AS445" s="222">
        <f>AS443-AQ444</f>
        <v>31552.98899999999</v>
      </c>
      <c r="AT445" s="177" t="s">
        <v>1346</v>
      </c>
      <c r="AU445" s="177" t="s">
        <v>1347</v>
      </c>
      <c r="AV445" s="62"/>
      <c r="AW445" s="173" t="s">
        <v>30</v>
      </c>
      <c r="AX445" s="175" t="s">
        <v>1188</v>
      </c>
      <c r="AY445" s="176" t="s">
        <v>623</v>
      </c>
      <c r="AZ445" s="176" t="s">
        <v>1228</v>
      </c>
      <c r="BA445" s="240" t="s">
        <v>942</v>
      </c>
      <c r="BB445" s="180" t="s">
        <v>621</v>
      </c>
      <c r="BC445" s="172"/>
      <c r="BD445" s="172"/>
      <c r="BE445" s="171">
        <v>4.9478</v>
      </c>
      <c r="BF445" s="171"/>
      <c r="BG445" s="56">
        <v>-20</v>
      </c>
      <c r="BH445" s="57"/>
      <c r="BI445" s="170"/>
      <c r="BJ445" s="169"/>
      <c r="BK445" s="181"/>
      <c r="BL445" s="36" t="str">
        <f>VLOOKUP($AP445,'[1]V1 V2'!$B$5:$BW$1894,74,0)</f>
        <v>C.F.2</v>
      </c>
      <c r="BM445" s="36" t="str">
        <f>IF('[1]V1 V2'!X444="","",'[1]V1 V2'!X444)</f>
        <v/>
      </c>
    </row>
    <row r="446" spans="1:65" ht="16" thickBot="1" x14ac:dyDescent="0.4">
      <c r="A446">
        <v>1</v>
      </c>
      <c r="B446" s="304"/>
      <c r="C446" s="305"/>
      <c r="D446" s="306"/>
      <c r="E446" s="36"/>
      <c r="F446" s="168"/>
      <c r="G446" s="169"/>
      <c r="H446" s="170"/>
      <c r="I446" s="57"/>
      <c r="J446" s="56"/>
      <c r="K446" s="171"/>
      <c r="L446" s="142"/>
      <c r="M446" s="172"/>
      <c r="N446" s="173"/>
      <c r="O446" s="174" t="s">
        <v>89</v>
      </c>
      <c r="P446" s="171"/>
      <c r="Q446" s="182"/>
      <c r="R446" s="182"/>
      <c r="S446" s="175"/>
      <c r="T446" s="173"/>
      <c r="U446" s="62"/>
      <c r="V446" s="177" t="s">
        <v>89</v>
      </c>
      <c r="W446" s="177" t="s">
        <v>89</v>
      </c>
      <c r="X446" s="230"/>
      <c r="Y446" s="177"/>
      <c r="Z446" s="178">
        <v>20</v>
      </c>
      <c r="AA446" s="297"/>
      <c r="AB446" s="21" t="s">
        <v>2</v>
      </c>
      <c r="AH446" s="63">
        <v>1</v>
      </c>
      <c r="AO446" s="10" t="s">
        <v>3</v>
      </c>
      <c r="AP446" s="297"/>
      <c r="AQ446" s="178">
        <v>20</v>
      </c>
      <c r="AR446" s="177"/>
      <c r="AS446" s="222"/>
      <c r="AT446" s="177" t="s">
        <v>89</v>
      </c>
      <c r="AU446" s="177" t="s">
        <v>89</v>
      </c>
      <c r="AV446" s="62"/>
      <c r="AW446" s="173"/>
      <c r="AX446" s="175"/>
      <c r="AY446" s="182"/>
      <c r="AZ446" s="182"/>
      <c r="BA446" s="171"/>
      <c r="BB446" s="180" t="s">
        <v>89</v>
      </c>
      <c r="BC446" s="172"/>
      <c r="BD446" s="172"/>
      <c r="BE446" s="142"/>
      <c r="BF446" s="171"/>
      <c r="BG446" s="56"/>
      <c r="BH446" s="57"/>
      <c r="BI446" s="170"/>
      <c r="BJ446" s="169"/>
      <c r="BK446" s="181"/>
      <c r="BL446" s="36"/>
      <c r="BM446" s="36" t="str">
        <f>IF('[1]V1 V2'!X445="","",'[1]V1 V2'!X445)</f>
        <v/>
      </c>
    </row>
    <row r="447" spans="1:65" ht="16" thickBot="1" x14ac:dyDescent="0.4">
      <c r="A447">
        <v>1</v>
      </c>
      <c r="B447" s="304" t="s">
        <v>1348</v>
      </c>
      <c r="C447" s="305"/>
      <c r="D447" s="306"/>
      <c r="E447" s="36" t="str">
        <f>VLOOKUP($B447,'[1]V1 V2'!$B$5:$BW$1894,74,0)</f>
        <v>C.F.1</v>
      </c>
      <c r="F447" s="168"/>
      <c r="G447" s="169"/>
      <c r="H447" s="170"/>
      <c r="I447" s="57"/>
      <c r="J447" s="56" t="s">
        <v>127</v>
      </c>
      <c r="K447" s="171"/>
      <c r="L447" s="171">
        <v>4.8277999999999999</v>
      </c>
      <c r="M447" s="172"/>
      <c r="N447" s="173"/>
      <c r="O447" s="174" t="s">
        <v>621</v>
      </c>
      <c r="P447" s="191" t="s">
        <v>942</v>
      </c>
      <c r="Q447" s="176" t="s">
        <v>1228</v>
      </c>
      <c r="R447" s="176" t="s">
        <v>623</v>
      </c>
      <c r="S447" s="175" t="s">
        <v>1188</v>
      </c>
      <c r="T447" s="173" t="s">
        <v>30</v>
      </c>
      <c r="U447" s="62"/>
      <c r="V447" s="177" t="s">
        <v>1349</v>
      </c>
      <c r="W447" s="177" t="s">
        <v>1350</v>
      </c>
      <c r="X447" s="177">
        <v>31452.689000000013</v>
      </c>
      <c r="Y447" s="177">
        <v>3352.3599999999979</v>
      </c>
      <c r="Z447" s="178"/>
      <c r="AA447" s="297" t="s">
        <v>1348</v>
      </c>
      <c r="AB447" s="21" t="s">
        <v>2</v>
      </c>
      <c r="AH447" s="63">
        <v>1</v>
      </c>
      <c r="AO447" s="10" t="s">
        <v>3</v>
      </c>
      <c r="AP447" s="297" t="s">
        <v>1351</v>
      </c>
      <c r="AQ447" s="178"/>
      <c r="AR447" s="177">
        <v>3351.6600000000003</v>
      </c>
      <c r="AS447" s="222">
        <f>AS445-AQ446</f>
        <v>31532.98899999999</v>
      </c>
      <c r="AT447" s="177" t="s">
        <v>1352</v>
      </c>
      <c r="AU447" s="177" t="s">
        <v>1353</v>
      </c>
      <c r="AV447" s="62"/>
      <c r="AW447" s="173" t="s">
        <v>30</v>
      </c>
      <c r="AX447" s="175" t="s">
        <v>1188</v>
      </c>
      <c r="AY447" s="176" t="s">
        <v>623</v>
      </c>
      <c r="AZ447" s="176" t="s">
        <v>1228</v>
      </c>
      <c r="BA447" s="240" t="s">
        <v>942</v>
      </c>
      <c r="BB447" s="180" t="s">
        <v>621</v>
      </c>
      <c r="BC447" s="172"/>
      <c r="BD447" s="172"/>
      <c r="BE447" s="171">
        <v>4.8277999999999999</v>
      </c>
      <c r="BF447" s="171"/>
      <c r="BG447" s="183" t="s">
        <v>127</v>
      </c>
      <c r="BH447" s="57"/>
      <c r="BI447" s="170"/>
      <c r="BJ447" s="169"/>
      <c r="BK447" s="181"/>
      <c r="BL447" s="36" t="str">
        <f>VLOOKUP($AP447,'[1]V1 V2'!$B$5:$BW$1894,74,0)</f>
        <v>C.F.1</v>
      </c>
      <c r="BM447" s="36" t="str">
        <f>IF('[1]V1 V2'!X446="","",'[1]V1 V2'!X446)</f>
        <v/>
      </c>
    </row>
    <row r="448" spans="1:65" ht="16" thickBot="1" x14ac:dyDescent="0.4">
      <c r="A448">
        <v>1</v>
      </c>
      <c r="B448" s="304"/>
      <c r="C448" s="305"/>
      <c r="D448" s="306"/>
      <c r="E448" s="36"/>
      <c r="F448" s="168"/>
      <c r="G448" s="169"/>
      <c r="H448" s="170"/>
      <c r="I448" s="57"/>
      <c r="J448" s="56"/>
      <c r="K448" s="171"/>
      <c r="L448" s="142"/>
      <c r="M448" s="172"/>
      <c r="N448" s="173"/>
      <c r="O448" s="174" t="s">
        <v>89</v>
      </c>
      <c r="P448" s="171"/>
      <c r="Q448" s="182"/>
      <c r="R448" s="182"/>
      <c r="S448" s="175"/>
      <c r="T448" s="173"/>
      <c r="U448" s="62"/>
      <c r="V448" s="177" t="s">
        <v>89</v>
      </c>
      <c r="W448" s="177" t="s">
        <v>89</v>
      </c>
      <c r="X448" s="230"/>
      <c r="Y448" s="177"/>
      <c r="Z448" s="178">
        <v>23.3</v>
      </c>
      <c r="AA448" s="297"/>
      <c r="AB448" s="21" t="s">
        <v>2</v>
      </c>
      <c r="AH448" s="63">
        <v>1</v>
      </c>
      <c r="AO448" s="10" t="s">
        <v>3</v>
      </c>
      <c r="AP448" s="297"/>
      <c r="AQ448" s="178">
        <v>23.3</v>
      </c>
      <c r="AR448" s="177"/>
      <c r="AS448" s="222"/>
      <c r="AT448" s="177" t="s">
        <v>89</v>
      </c>
      <c r="AU448" s="177" t="s">
        <v>89</v>
      </c>
      <c r="AV448" s="62"/>
      <c r="AW448" s="173"/>
      <c r="AX448" s="175"/>
      <c r="AY448" s="182"/>
      <c r="AZ448" s="182"/>
      <c r="BA448" s="171"/>
      <c r="BB448" s="180" t="s">
        <v>89</v>
      </c>
      <c r="BC448" s="172"/>
      <c r="BD448" s="172"/>
      <c r="BE448" s="142"/>
      <c r="BF448" s="171"/>
      <c r="BG448" s="56"/>
      <c r="BH448" s="57"/>
      <c r="BI448" s="170"/>
      <c r="BJ448" s="169"/>
      <c r="BK448" s="181"/>
      <c r="BL448" s="36"/>
      <c r="BM448" s="36" t="str">
        <f>IF('[1]V1 V2'!X447="","",'[1]V1 V2'!X447)</f>
        <v/>
      </c>
    </row>
    <row r="449" spans="1:65" ht="16" thickBot="1" x14ac:dyDescent="0.4">
      <c r="A449">
        <v>1</v>
      </c>
      <c r="B449" s="304" t="s">
        <v>1354</v>
      </c>
      <c r="C449" s="305"/>
      <c r="D449" s="306"/>
      <c r="E449" s="36" t="str">
        <f>VLOOKUP($B449,'[1]V1 V2'!$B$5:$BW$1894,74,0)</f>
        <v>C.F.2</v>
      </c>
      <c r="F449" s="168"/>
      <c r="G449" s="169"/>
      <c r="H449" s="170"/>
      <c r="I449" s="57"/>
      <c r="J449" s="56">
        <v>-20</v>
      </c>
      <c r="K449" s="171"/>
      <c r="L449" s="171">
        <v>4.6879999999999997</v>
      </c>
      <c r="M449" s="172"/>
      <c r="N449" s="173"/>
      <c r="O449" s="174" t="s">
        <v>621</v>
      </c>
      <c r="P449" s="191" t="s">
        <v>942</v>
      </c>
      <c r="Q449" s="176" t="s">
        <v>1228</v>
      </c>
      <c r="R449" s="176" t="s">
        <v>623</v>
      </c>
      <c r="S449" s="175" t="s">
        <v>1188</v>
      </c>
      <c r="T449" s="173" t="s">
        <v>30</v>
      </c>
      <c r="U449" s="62"/>
      <c r="V449" s="177" t="s">
        <v>1355</v>
      </c>
      <c r="W449" s="177" t="s">
        <v>1356</v>
      </c>
      <c r="X449" s="177">
        <v>31429.389000000014</v>
      </c>
      <c r="Y449" s="177">
        <v>3375.659999999998</v>
      </c>
      <c r="Z449" s="178"/>
      <c r="AA449" s="297" t="s">
        <v>1354</v>
      </c>
      <c r="AB449" s="21" t="s">
        <v>2</v>
      </c>
      <c r="AH449" s="63">
        <v>1</v>
      </c>
      <c r="AO449" s="10" t="s">
        <v>3</v>
      </c>
      <c r="AP449" s="297" t="s">
        <v>1357</v>
      </c>
      <c r="AQ449" s="178"/>
      <c r="AR449" s="177">
        <v>3374.9600000000005</v>
      </c>
      <c r="AS449" s="222">
        <f>AS447-AQ448</f>
        <v>31509.688999999991</v>
      </c>
      <c r="AT449" s="177" t="s">
        <v>1358</v>
      </c>
      <c r="AU449" s="177" t="s">
        <v>1359</v>
      </c>
      <c r="AV449" s="62"/>
      <c r="AW449" s="173" t="s">
        <v>30</v>
      </c>
      <c r="AX449" s="175" t="s">
        <v>1188</v>
      </c>
      <c r="AY449" s="176" t="s">
        <v>623</v>
      </c>
      <c r="AZ449" s="176" t="s">
        <v>1228</v>
      </c>
      <c r="BA449" s="240" t="s">
        <v>942</v>
      </c>
      <c r="BB449" s="180" t="s">
        <v>621</v>
      </c>
      <c r="BC449" s="172"/>
      <c r="BD449" s="172"/>
      <c r="BE449" s="171">
        <v>4.6879999999999997</v>
      </c>
      <c r="BF449" s="171"/>
      <c r="BG449" s="56">
        <v>-20</v>
      </c>
      <c r="BH449" s="57"/>
      <c r="BI449" s="170"/>
      <c r="BJ449" s="169"/>
      <c r="BK449" s="181"/>
      <c r="BL449" s="36" t="str">
        <f>VLOOKUP($AP449,'[1]V1 V2'!$B$5:$BW$1894,74,0)</f>
        <v>C.F.2</v>
      </c>
      <c r="BM449" s="36" t="str">
        <f>IF('[1]V1 V2'!X448="","",'[1]V1 V2'!X448)</f>
        <v/>
      </c>
    </row>
    <row r="450" spans="1:65" ht="16" thickBot="1" x14ac:dyDescent="0.4">
      <c r="A450">
        <v>1</v>
      </c>
      <c r="B450" s="304"/>
      <c r="C450" s="305"/>
      <c r="D450" s="306"/>
      <c r="E450" s="36"/>
      <c r="F450" s="168"/>
      <c r="G450" s="169"/>
      <c r="H450" s="170"/>
      <c r="I450" s="57"/>
      <c r="J450" s="56"/>
      <c r="K450" s="171"/>
      <c r="L450" s="142"/>
      <c r="M450" s="172"/>
      <c r="N450" s="173"/>
      <c r="O450" s="174" t="s">
        <v>89</v>
      </c>
      <c r="P450" s="171"/>
      <c r="Q450" s="182"/>
      <c r="R450" s="182"/>
      <c r="S450" s="175"/>
      <c r="T450" s="173"/>
      <c r="U450" s="62"/>
      <c r="V450" s="177" t="s">
        <v>89</v>
      </c>
      <c r="W450" s="177" t="s">
        <v>89</v>
      </c>
      <c r="X450" s="230"/>
      <c r="Y450" s="177"/>
      <c r="Z450" s="178">
        <v>22</v>
      </c>
      <c r="AA450" s="297"/>
      <c r="AB450" s="21" t="s">
        <v>2</v>
      </c>
      <c r="AH450" s="63">
        <v>1</v>
      </c>
      <c r="AO450" s="10" t="s">
        <v>3</v>
      </c>
      <c r="AP450" s="297"/>
      <c r="AQ450" s="178">
        <v>22</v>
      </c>
      <c r="AR450" s="177"/>
      <c r="AS450" s="222"/>
      <c r="AT450" s="177" t="s">
        <v>89</v>
      </c>
      <c r="AU450" s="177" t="s">
        <v>89</v>
      </c>
      <c r="AV450" s="62"/>
      <c r="AW450" s="173"/>
      <c r="AX450" s="175"/>
      <c r="AY450" s="182"/>
      <c r="AZ450" s="182"/>
      <c r="BA450" s="171"/>
      <c r="BB450" s="180" t="s">
        <v>89</v>
      </c>
      <c r="BC450" s="172"/>
      <c r="BD450" s="172"/>
      <c r="BE450" s="142"/>
      <c r="BF450" s="171"/>
      <c r="BG450" s="56"/>
      <c r="BH450" s="57"/>
      <c r="BI450" s="170"/>
      <c r="BJ450" s="169"/>
      <c r="BK450" s="181"/>
      <c r="BL450" s="36"/>
      <c r="BM450" s="36" t="str">
        <f>IF('[1]V1 V2'!X449="","",'[1]V1 V2'!X449)</f>
        <v/>
      </c>
    </row>
    <row r="451" spans="1:65" ht="16" thickBot="1" x14ac:dyDescent="0.4">
      <c r="A451">
        <v>1</v>
      </c>
      <c r="B451" s="304" t="s">
        <v>1360</v>
      </c>
      <c r="C451" s="305"/>
      <c r="D451" s="306"/>
      <c r="E451" s="36" t="str">
        <f>VLOOKUP($B451,'[1]V1 V2'!$B$5:$BW$1894,74,0)</f>
        <v>C.F.1</v>
      </c>
      <c r="F451" s="168"/>
      <c r="G451" s="169"/>
      <c r="H451" s="170"/>
      <c r="I451" s="57"/>
      <c r="J451" s="56" t="s">
        <v>127</v>
      </c>
      <c r="K451" s="171"/>
      <c r="L451" s="171">
        <v>4.556</v>
      </c>
      <c r="M451" s="172"/>
      <c r="N451" s="173"/>
      <c r="O451" s="174" t="s">
        <v>621</v>
      </c>
      <c r="P451" s="191" t="s">
        <v>942</v>
      </c>
      <c r="Q451" s="176" t="s">
        <v>1228</v>
      </c>
      <c r="R451" s="176" t="s">
        <v>623</v>
      </c>
      <c r="S451" s="175" t="s">
        <v>1203</v>
      </c>
      <c r="T451" s="173" t="s">
        <v>30</v>
      </c>
      <c r="U451" s="62"/>
      <c r="V451" s="177" t="s">
        <v>1361</v>
      </c>
      <c r="W451" s="177" t="s">
        <v>1362</v>
      </c>
      <c r="X451" s="177">
        <v>31407.389000000014</v>
      </c>
      <c r="Y451" s="177">
        <v>3397.659999999998</v>
      </c>
      <c r="Z451" s="178"/>
      <c r="AA451" s="297" t="s">
        <v>1360</v>
      </c>
      <c r="AB451" s="21" t="s">
        <v>2</v>
      </c>
      <c r="AH451" s="63">
        <v>1</v>
      </c>
      <c r="AO451" s="10" t="s">
        <v>3</v>
      </c>
      <c r="AP451" s="297" t="s">
        <v>1363</v>
      </c>
      <c r="AQ451" s="178"/>
      <c r="AR451" s="177">
        <v>3396.9600000000005</v>
      </c>
      <c r="AS451" s="222">
        <f>AS449-AQ450</f>
        <v>31487.688999999991</v>
      </c>
      <c r="AT451" s="177" t="s">
        <v>1364</v>
      </c>
      <c r="AU451" s="177" t="s">
        <v>1365</v>
      </c>
      <c r="AV451" s="62"/>
      <c r="AW451" s="173" t="s">
        <v>30</v>
      </c>
      <c r="AX451" s="175" t="s">
        <v>1203</v>
      </c>
      <c r="AY451" s="176" t="s">
        <v>623</v>
      </c>
      <c r="AZ451" s="176" t="s">
        <v>1228</v>
      </c>
      <c r="BA451" s="240" t="s">
        <v>942</v>
      </c>
      <c r="BB451" s="180" t="s">
        <v>621</v>
      </c>
      <c r="BC451" s="172"/>
      <c r="BD451" s="172"/>
      <c r="BE451" s="171">
        <v>4.556</v>
      </c>
      <c r="BF451" s="171"/>
      <c r="BG451" s="183" t="s">
        <v>127</v>
      </c>
      <c r="BH451" s="57"/>
      <c r="BI451" s="170"/>
      <c r="BJ451" s="169"/>
      <c r="BK451" s="181"/>
      <c r="BL451" s="36" t="str">
        <f>VLOOKUP($AP451,'[1]V1 V2'!$B$5:$BW$1894,74,0)</f>
        <v>C.F.1</v>
      </c>
      <c r="BM451" s="36" t="str">
        <f>IF('[1]V1 V2'!X450="","",'[1]V1 V2'!X450)</f>
        <v/>
      </c>
    </row>
    <row r="452" spans="1:65" ht="16" thickBot="1" x14ac:dyDescent="0.4">
      <c r="A452">
        <v>1</v>
      </c>
      <c r="B452" s="304"/>
      <c r="C452" s="305"/>
      <c r="D452" s="306"/>
      <c r="E452" s="36"/>
      <c r="F452" s="168"/>
      <c r="G452" s="169"/>
      <c r="H452" s="170"/>
      <c r="I452" s="57"/>
      <c r="J452" s="56"/>
      <c r="K452" s="171"/>
      <c r="L452" s="142"/>
      <c r="M452" s="172"/>
      <c r="N452" s="173"/>
      <c r="O452" s="174" t="s">
        <v>89</v>
      </c>
      <c r="P452" s="171"/>
      <c r="Q452" s="182"/>
      <c r="R452" s="182"/>
      <c r="S452" s="175"/>
      <c r="T452" s="173"/>
      <c r="U452" s="62"/>
      <c r="V452" s="177" t="s">
        <v>89</v>
      </c>
      <c r="W452" s="177" t="s">
        <v>89</v>
      </c>
      <c r="X452" s="230"/>
      <c r="Y452" s="177"/>
      <c r="Z452" s="178">
        <v>16</v>
      </c>
      <c r="AA452" s="297"/>
      <c r="AB452" s="21" t="s">
        <v>2</v>
      </c>
      <c r="AH452" s="63">
        <v>1</v>
      </c>
      <c r="AO452" s="10" t="s">
        <v>3</v>
      </c>
      <c r="AP452" s="297"/>
      <c r="AQ452" s="178">
        <v>16</v>
      </c>
      <c r="AR452" s="177"/>
      <c r="AS452" s="222"/>
      <c r="AT452" s="177" t="s">
        <v>89</v>
      </c>
      <c r="AU452" s="177" t="s">
        <v>89</v>
      </c>
      <c r="AV452" s="62"/>
      <c r="AW452" s="173"/>
      <c r="AX452" s="175"/>
      <c r="AY452" s="182"/>
      <c r="AZ452" s="182"/>
      <c r="BA452" s="171"/>
      <c r="BB452" s="180" t="s">
        <v>89</v>
      </c>
      <c r="BC452" s="172"/>
      <c r="BD452" s="172"/>
      <c r="BE452" s="142"/>
      <c r="BF452" s="171"/>
      <c r="BG452" s="56"/>
      <c r="BH452" s="57"/>
      <c r="BI452" s="170"/>
      <c r="BJ452" s="169"/>
      <c r="BK452" s="181"/>
      <c r="BL452" s="36"/>
      <c r="BM452" s="36" t="str">
        <f>IF('[1]V1 V2'!X451="","",'[1]V1 V2'!X451)</f>
        <v/>
      </c>
    </row>
    <row r="453" spans="1:65" ht="16" thickBot="1" x14ac:dyDescent="0.4">
      <c r="A453">
        <v>1</v>
      </c>
      <c r="B453" s="304" t="s">
        <v>1366</v>
      </c>
      <c r="C453" s="305"/>
      <c r="D453" s="306"/>
      <c r="E453" s="36" t="str">
        <f>VLOOKUP($B453,'[1]V1 V2'!$B$5:$BW$1894,74,0)</f>
        <v>C.F.2</v>
      </c>
      <c r="F453" s="168"/>
      <c r="G453" s="169"/>
      <c r="H453" s="170"/>
      <c r="I453" s="57"/>
      <c r="J453" s="56">
        <v>-20</v>
      </c>
      <c r="K453" s="171"/>
      <c r="L453" s="171">
        <v>4.46</v>
      </c>
      <c r="M453" s="172"/>
      <c r="N453" s="173"/>
      <c r="O453" s="174" t="s">
        <v>621</v>
      </c>
      <c r="P453" s="191" t="s">
        <v>942</v>
      </c>
      <c r="Q453" s="176" t="s">
        <v>1228</v>
      </c>
      <c r="R453" s="176" t="s">
        <v>623</v>
      </c>
      <c r="S453" s="175" t="s">
        <v>1203</v>
      </c>
      <c r="T453" s="173" t="s">
        <v>30</v>
      </c>
      <c r="U453" s="62"/>
      <c r="V453" s="177" t="s">
        <v>1367</v>
      </c>
      <c r="W453" s="177" t="s">
        <v>1368</v>
      </c>
      <c r="X453" s="177">
        <v>31391.389000000014</v>
      </c>
      <c r="Y453" s="177">
        <v>3413.659999999998</v>
      </c>
      <c r="Z453" s="178"/>
      <c r="AA453" s="297" t="s">
        <v>1366</v>
      </c>
      <c r="AB453" s="21" t="s">
        <v>2</v>
      </c>
      <c r="AH453" s="63">
        <v>1</v>
      </c>
      <c r="AO453" s="10" t="s">
        <v>3</v>
      </c>
      <c r="AP453" s="297" t="s">
        <v>1369</v>
      </c>
      <c r="AQ453" s="178"/>
      <c r="AR453" s="177">
        <v>3412.9600000000005</v>
      </c>
      <c r="AS453" s="222">
        <f>AS451-AQ452</f>
        <v>31471.688999999991</v>
      </c>
      <c r="AT453" s="177" t="s">
        <v>1370</v>
      </c>
      <c r="AU453" s="177" t="s">
        <v>1371</v>
      </c>
      <c r="AV453" s="62"/>
      <c r="AW453" s="173" t="s">
        <v>30</v>
      </c>
      <c r="AX453" s="175" t="s">
        <v>1203</v>
      </c>
      <c r="AY453" s="176" t="s">
        <v>623</v>
      </c>
      <c r="AZ453" s="176" t="s">
        <v>1228</v>
      </c>
      <c r="BA453" s="240" t="s">
        <v>942</v>
      </c>
      <c r="BB453" s="180" t="s">
        <v>621</v>
      </c>
      <c r="BC453" s="172"/>
      <c r="BD453" s="172"/>
      <c r="BE453" s="171">
        <v>4.46</v>
      </c>
      <c r="BF453" s="171"/>
      <c r="BG453" s="56">
        <v>-20</v>
      </c>
      <c r="BH453" s="57"/>
      <c r="BI453" s="170"/>
      <c r="BJ453" s="169"/>
      <c r="BK453" s="181"/>
      <c r="BL453" s="36" t="str">
        <f>VLOOKUP($AP453,'[1]V1 V2'!$B$5:$BW$1894,74,0)</f>
        <v>C.F.2</v>
      </c>
      <c r="BM453" s="36" t="str">
        <f>IF('[1]V1 V2'!X452="","",'[1]V1 V2'!X452)</f>
        <v/>
      </c>
    </row>
    <row r="454" spans="1:65" ht="16" thickBot="1" x14ac:dyDescent="0.4">
      <c r="A454">
        <v>1</v>
      </c>
      <c r="B454" s="304"/>
      <c r="C454" s="305"/>
      <c r="D454" s="306"/>
      <c r="E454" s="36"/>
      <c r="F454" s="168"/>
      <c r="G454" s="169"/>
      <c r="H454" s="170"/>
      <c r="I454" s="57"/>
      <c r="J454" s="56"/>
      <c r="K454" s="171"/>
      <c r="L454" s="142"/>
      <c r="M454" s="172"/>
      <c r="N454" s="173"/>
      <c r="O454" s="174" t="s">
        <v>89</v>
      </c>
      <c r="P454" s="171"/>
      <c r="Q454" s="182"/>
      <c r="R454" s="182"/>
      <c r="S454" s="175"/>
      <c r="T454" s="173"/>
      <c r="U454" s="62"/>
      <c r="V454" s="177" t="s">
        <v>89</v>
      </c>
      <c r="W454" s="177" t="s">
        <v>89</v>
      </c>
      <c r="X454" s="230"/>
      <c r="Y454" s="177"/>
      <c r="Z454" s="178">
        <v>20</v>
      </c>
      <c r="AA454" s="297"/>
      <c r="AB454" s="21" t="s">
        <v>2</v>
      </c>
      <c r="AH454" s="63">
        <v>1</v>
      </c>
      <c r="AO454" s="10" t="s">
        <v>3</v>
      </c>
      <c r="AP454" s="297"/>
      <c r="AQ454" s="178">
        <v>20</v>
      </c>
      <c r="AR454" s="177"/>
      <c r="AS454" s="222"/>
      <c r="AT454" s="177" t="s">
        <v>89</v>
      </c>
      <c r="AU454" s="177" t="s">
        <v>89</v>
      </c>
      <c r="AV454" s="62"/>
      <c r="AW454" s="173"/>
      <c r="AX454" s="175"/>
      <c r="AY454" s="182"/>
      <c r="AZ454" s="182"/>
      <c r="BA454" s="171"/>
      <c r="BB454" s="180" t="s">
        <v>89</v>
      </c>
      <c r="BC454" s="172"/>
      <c r="BD454" s="172"/>
      <c r="BE454" s="142"/>
      <c r="BF454" s="171"/>
      <c r="BG454" s="56"/>
      <c r="BH454" s="57"/>
      <c r="BI454" s="170"/>
      <c r="BJ454" s="169"/>
      <c r="BK454" s="181"/>
      <c r="BL454" s="36"/>
      <c r="BM454" s="36" t="str">
        <f>IF('[1]V1 V2'!X453="","",'[1]V1 V2'!X453)</f>
        <v/>
      </c>
    </row>
    <row r="455" spans="1:65" ht="16" thickBot="1" x14ac:dyDescent="0.4">
      <c r="A455">
        <v>1</v>
      </c>
      <c r="B455" s="304" t="s">
        <v>1372</v>
      </c>
      <c r="C455" s="305"/>
      <c r="D455" s="306"/>
      <c r="E455" s="36" t="str">
        <f>VLOOKUP($B455,'[1]V1 V2'!$B$5:$BW$1894,74,0)</f>
        <v>C.F.1</v>
      </c>
      <c r="F455" s="168"/>
      <c r="G455" s="169"/>
      <c r="H455" s="170"/>
      <c r="I455" s="57"/>
      <c r="J455" s="56" t="s">
        <v>127</v>
      </c>
      <c r="K455" s="171"/>
      <c r="L455" s="171">
        <v>4.34</v>
      </c>
      <c r="M455" s="172"/>
      <c r="N455" s="173"/>
      <c r="O455" s="174" t="s">
        <v>621</v>
      </c>
      <c r="P455" s="191" t="s">
        <v>942</v>
      </c>
      <c r="Q455" s="176" t="s">
        <v>1228</v>
      </c>
      <c r="R455" s="176" t="s">
        <v>623</v>
      </c>
      <c r="S455" s="175" t="s">
        <v>1188</v>
      </c>
      <c r="T455" s="173" t="s">
        <v>30</v>
      </c>
      <c r="U455" s="62"/>
      <c r="V455" s="177" t="s">
        <v>1373</v>
      </c>
      <c r="W455" s="177" t="s">
        <v>1374</v>
      </c>
      <c r="X455" s="177">
        <v>31371.389000000014</v>
      </c>
      <c r="Y455" s="177">
        <v>3433.659999999998</v>
      </c>
      <c r="Z455" s="178"/>
      <c r="AA455" s="297" t="s">
        <v>1372</v>
      </c>
      <c r="AB455" s="21" t="s">
        <v>2</v>
      </c>
      <c r="AH455" s="63">
        <v>1</v>
      </c>
      <c r="AO455" s="10" t="s">
        <v>3</v>
      </c>
      <c r="AP455" s="297" t="s">
        <v>1375</v>
      </c>
      <c r="AQ455" s="178"/>
      <c r="AR455" s="177">
        <v>3432.9600000000005</v>
      </c>
      <c r="AS455" s="222">
        <f>AS453-AQ454</f>
        <v>31451.688999999991</v>
      </c>
      <c r="AT455" s="177" t="s">
        <v>1376</v>
      </c>
      <c r="AU455" s="177" t="s">
        <v>1377</v>
      </c>
      <c r="AV455" s="62"/>
      <c r="AW455" s="173" t="s">
        <v>30</v>
      </c>
      <c r="AX455" s="175" t="s">
        <v>1188</v>
      </c>
      <c r="AY455" s="176" t="s">
        <v>623</v>
      </c>
      <c r="AZ455" s="176" t="s">
        <v>1228</v>
      </c>
      <c r="BA455" s="240" t="s">
        <v>942</v>
      </c>
      <c r="BB455" s="180" t="s">
        <v>621</v>
      </c>
      <c r="BC455" s="172"/>
      <c r="BD455" s="172"/>
      <c r="BE455" s="171">
        <v>4.34</v>
      </c>
      <c r="BF455" s="171"/>
      <c r="BG455" s="183" t="s">
        <v>127</v>
      </c>
      <c r="BH455" s="57"/>
      <c r="BI455" s="170"/>
      <c r="BJ455" s="169"/>
      <c r="BK455" s="181"/>
      <c r="BL455" s="36" t="str">
        <f>VLOOKUP($AP455,'[1]V1 V2'!$B$5:$BW$1894,74,0)</f>
        <v>C.F.1</v>
      </c>
      <c r="BM455" s="36" t="str">
        <f>IF('[1]V1 V2'!X454="","",'[1]V1 V2'!X454)</f>
        <v/>
      </c>
    </row>
    <row r="456" spans="1:65" ht="16" thickBot="1" x14ac:dyDescent="0.4">
      <c r="A456">
        <v>1</v>
      </c>
      <c r="B456" s="304"/>
      <c r="C456" s="305"/>
      <c r="D456" s="307" t="s">
        <v>720</v>
      </c>
      <c r="E456" s="36"/>
      <c r="F456" s="168"/>
      <c r="G456" s="169"/>
      <c r="H456" s="170"/>
      <c r="I456" s="57"/>
      <c r="J456" s="56"/>
      <c r="K456" s="171"/>
      <c r="L456" s="142"/>
      <c r="M456" s="172"/>
      <c r="N456" s="173"/>
      <c r="O456" s="174" t="s">
        <v>89</v>
      </c>
      <c r="P456" s="171"/>
      <c r="Q456" s="182"/>
      <c r="R456" s="182"/>
      <c r="S456" s="175"/>
      <c r="T456" s="173"/>
      <c r="U456" s="62"/>
      <c r="V456" s="177" t="s">
        <v>89</v>
      </c>
      <c r="W456" s="177" t="s">
        <v>89</v>
      </c>
      <c r="X456" s="230"/>
      <c r="Y456" s="177"/>
      <c r="Z456" s="178">
        <v>20</v>
      </c>
      <c r="AA456" s="297"/>
      <c r="AB456" s="21" t="s">
        <v>2</v>
      </c>
      <c r="AH456" s="63">
        <v>1</v>
      </c>
      <c r="AO456" s="10" t="s">
        <v>3</v>
      </c>
      <c r="AP456" s="297"/>
      <c r="AQ456" s="178">
        <v>20</v>
      </c>
      <c r="AR456" s="177"/>
      <c r="AS456" s="222"/>
      <c r="AT456" s="177" t="s">
        <v>89</v>
      </c>
      <c r="AU456" s="177" t="s">
        <v>89</v>
      </c>
      <c r="AV456" s="62"/>
      <c r="AW456" s="173"/>
      <c r="AX456" s="175"/>
      <c r="AY456" s="182"/>
      <c r="AZ456" s="182"/>
      <c r="BA456" s="171"/>
      <c r="BB456" s="180" t="s">
        <v>89</v>
      </c>
      <c r="BC456" s="172"/>
      <c r="BD456" s="172"/>
      <c r="BE456" s="142"/>
      <c r="BF456" s="171"/>
      <c r="BG456" s="56"/>
      <c r="BH456" s="57"/>
      <c r="BI456" s="170"/>
      <c r="BJ456" s="169"/>
      <c r="BK456" s="181"/>
      <c r="BL456" s="36"/>
      <c r="BM456" s="308" t="str">
        <f>IF('[1]V1 V2'!X455="","",'[1]V1 V2'!X455)</f>
        <v>1PEAD D110mm ou 2PEAD D63mm+ 1PEAD 32mm</v>
      </c>
    </row>
    <row r="457" spans="1:65" ht="16" thickBot="1" x14ac:dyDescent="0.4">
      <c r="A457">
        <v>1</v>
      </c>
      <c r="B457" s="304" t="s">
        <v>1378</v>
      </c>
      <c r="C457" s="305"/>
      <c r="D457" s="309" t="s">
        <v>722</v>
      </c>
      <c r="E457" s="36" t="str">
        <f>VLOOKUP($B457,'[1]V1 V2'!$B$5:$BW$1894,74,0)</f>
        <v>C.F.26</v>
      </c>
      <c r="F457" s="168"/>
      <c r="G457" s="169"/>
      <c r="H457" s="170"/>
      <c r="I457" s="57"/>
      <c r="J457" s="56">
        <v>-20</v>
      </c>
      <c r="K457" s="171"/>
      <c r="L457" s="171">
        <v>4.22</v>
      </c>
      <c r="M457" s="172"/>
      <c r="N457" s="173"/>
      <c r="O457" s="174" t="s">
        <v>621</v>
      </c>
      <c r="P457" s="191" t="s">
        <v>942</v>
      </c>
      <c r="Q457" s="176" t="s">
        <v>1228</v>
      </c>
      <c r="R457" s="176" t="s">
        <v>623</v>
      </c>
      <c r="S457" s="175" t="s">
        <v>1188</v>
      </c>
      <c r="T457" s="173" t="s">
        <v>30</v>
      </c>
      <c r="U457" s="62"/>
      <c r="V457" s="177" t="s">
        <v>1379</v>
      </c>
      <c r="W457" s="177" t="s">
        <v>1380</v>
      </c>
      <c r="X457" s="177">
        <v>31351.389000000014</v>
      </c>
      <c r="Y457" s="177">
        <v>3453.659999999998</v>
      </c>
      <c r="Z457" s="178"/>
      <c r="AA457" s="297" t="s">
        <v>1378</v>
      </c>
      <c r="AB457" s="21" t="s">
        <v>2</v>
      </c>
      <c r="AH457" s="63">
        <v>1</v>
      </c>
      <c r="AO457" s="10" t="s">
        <v>3</v>
      </c>
      <c r="AP457" s="297" t="s">
        <v>1381</v>
      </c>
      <c r="AQ457" s="178"/>
      <c r="AR457" s="177">
        <v>3452.9600000000005</v>
      </c>
      <c r="AS457" s="222">
        <f>AS455-AQ456</f>
        <v>31431.688999999991</v>
      </c>
      <c r="AT457" s="177" t="s">
        <v>1382</v>
      </c>
      <c r="AU457" s="177" t="s">
        <v>1383</v>
      </c>
      <c r="AV457" s="62"/>
      <c r="AW457" s="173" t="s">
        <v>30</v>
      </c>
      <c r="AX457" s="175" t="s">
        <v>1188</v>
      </c>
      <c r="AY457" s="176" t="s">
        <v>623</v>
      </c>
      <c r="AZ457" s="176" t="s">
        <v>1228</v>
      </c>
      <c r="BA457" s="240" t="s">
        <v>942</v>
      </c>
      <c r="BB457" s="180" t="s">
        <v>621</v>
      </c>
      <c r="BC457" s="172"/>
      <c r="BD457" s="172"/>
      <c r="BE457" s="171">
        <v>4.22</v>
      </c>
      <c r="BF457" s="171"/>
      <c r="BG457" s="56">
        <v>-20</v>
      </c>
      <c r="BH457" s="57"/>
      <c r="BI457" s="170"/>
      <c r="BJ457" s="169"/>
      <c r="BK457" s="181"/>
      <c r="BL457" s="36" t="str">
        <f>VLOOKUP($AP457,'[1]V1 V2'!$B$5:$BW$1894,74,0)</f>
        <v>C.F.26</v>
      </c>
      <c r="BM457" s="202" t="str">
        <f>IF('[1]V1 V2'!X456="","",'[1]V1 V2'!X456)</f>
        <v>FR</v>
      </c>
    </row>
    <row r="458" spans="1:65" ht="16" thickBot="1" x14ac:dyDescent="0.4">
      <c r="A458">
        <v>1</v>
      </c>
      <c r="B458" s="304"/>
      <c r="C458" s="305"/>
      <c r="D458" s="307" t="s">
        <v>728</v>
      </c>
      <c r="E458" s="36"/>
      <c r="F458" s="168"/>
      <c r="G458" s="169"/>
      <c r="H458" s="170"/>
      <c r="I458" s="57"/>
      <c r="J458" s="56"/>
      <c r="K458" s="171"/>
      <c r="L458" s="142"/>
      <c r="M458" s="172"/>
      <c r="N458" s="173"/>
      <c r="O458" s="174" t="s">
        <v>89</v>
      </c>
      <c r="P458" s="171"/>
      <c r="Q458" s="182"/>
      <c r="R458" s="182"/>
      <c r="S458" s="175"/>
      <c r="T458" s="173"/>
      <c r="U458" s="62"/>
      <c r="V458" s="177" t="s">
        <v>89</v>
      </c>
      <c r="W458" s="177" t="s">
        <v>89</v>
      </c>
      <c r="X458" s="230"/>
      <c r="Y458" s="177"/>
      <c r="Z458" s="178">
        <v>20</v>
      </c>
      <c r="AA458" s="297"/>
      <c r="AB458" s="21" t="s">
        <v>2</v>
      </c>
      <c r="AH458" s="63">
        <v>1</v>
      </c>
      <c r="AO458" s="10" t="s">
        <v>3</v>
      </c>
      <c r="AP458" s="297"/>
      <c r="AQ458" s="178">
        <v>20</v>
      </c>
      <c r="AR458" s="177"/>
      <c r="AS458" s="222"/>
      <c r="AT458" s="177" t="s">
        <v>89</v>
      </c>
      <c r="AU458" s="177" t="s">
        <v>89</v>
      </c>
      <c r="AV458" s="62"/>
      <c r="AW458" s="173"/>
      <c r="AX458" s="175"/>
      <c r="AY458" s="182"/>
      <c r="AZ458" s="182"/>
      <c r="BA458" s="171"/>
      <c r="BB458" s="180" t="s">
        <v>89</v>
      </c>
      <c r="BC458" s="172"/>
      <c r="BD458" s="172"/>
      <c r="BE458" s="142"/>
      <c r="BF458" s="171"/>
      <c r="BG458" s="56"/>
      <c r="BH458" s="57"/>
      <c r="BI458" s="170"/>
      <c r="BJ458" s="169"/>
      <c r="BK458" s="181"/>
      <c r="BL458" s="36"/>
      <c r="BM458" s="308" t="str">
        <f>IF('[1]V1 V2'!X457="","",'[1]V1 V2'!X457)</f>
        <v>1PEAD D110mm ou 2PEAD D63mm</v>
      </c>
    </row>
    <row r="459" spans="1:65" ht="16" thickBot="1" x14ac:dyDescent="0.4">
      <c r="A459">
        <v>1</v>
      </c>
      <c r="B459" s="304" t="s">
        <v>1384</v>
      </c>
      <c r="C459" s="305"/>
      <c r="D459" s="306"/>
      <c r="E459" s="36" t="str">
        <f>VLOOKUP($B459,'[1]V1 V2'!$B$5:$BW$1894,74,0)</f>
        <v>C.F.1</v>
      </c>
      <c r="F459" s="168"/>
      <c r="G459" s="169"/>
      <c r="H459" s="170"/>
      <c r="I459" s="57"/>
      <c r="J459" s="56" t="s">
        <v>127</v>
      </c>
      <c r="K459" s="171"/>
      <c r="L459" s="171">
        <v>4.0999999999999996</v>
      </c>
      <c r="M459" s="172"/>
      <c r="N459" s="173"/>
      <c r="O459" s="174" t="s">
        <v>621</v>
      </c>
      <c r="P459" s="191" t="s">
        <v>942</v>
      </c>
      <c r="Q459" s="176" t="s">
        <v>1228</v>
      </c>
      <c r="R459" s="176" t="s">
        <v>623</v>
      </c>
      <c r="S459" s="175" t="s">
        <v>1188</v>
      </c>
      <c r="T459" s="173" t="s">
        <v>30</v>
      </c>
      <c r="U459" s="62"/>
      <c r="V459" s="177" t="s">
        <v>1385</v>
      </c>
      <c r="W459" s="177" t="s">
        <v>1386</v>
      </c>
      <c r="X459" s="177">
        <v>31331.389000000014</v>
      </c>
      <c r="Y459" s="177">
        <v>3473.659999999998</v>
      </c>
      <c r="Z459" s="178"/>
      <c r="AA459" s="297" t="s">
        <v>1384</v>
      </c>
      <c r="AB459" s="21" t="s">
        <v>2</v>
      </c>
      <c r="AH459" s="63">
        <v>1</v>
      </c>
      <c r="AO459" s="10" t="s">
        <v>3</v>
      </c>
      <c r="AP459" s="297" t="s">
        <v>1387</v>
      </c>
      <c r="AQ459" s="178"/>
      <c r="AR459" s="177">
        <v>3472.9600000000005</v>
      </c>
      <c r="AS459" s="222">
        <f>AS457-AQ458</f>
        <v>31411.688999999991</v>
      </c>
      <c r="AT459" s="177" t="s">
        <v>1388</v>
      </c>
      <c r="AU459" s="177" t="s">
        <v>1389</v>
      </c>
      <c r="AV459" s="62"/>
      <c r="AW459" s="173" t="s">
        <v>30</v>
      </c>
      <c r="AX459" s="175" t="s">
        <v>1188</v>
      </c>
      <c r="AY459" s="176" t="s">
        <v>623</v>
      </c>
      <c r="AZ459" s="176" t="s">
        <v>1228</v>
      </c>
      <c r="BA459" s="240" t="s">
        <v>942</v>
      </c>
      <c r="BB459" s="180" t="s">
        <v>621</v>
      </c>
      <c r="BC459" s="172"/>
      <c r="BD459" s="172"/>
      <c r="BE459" s="171">
        <v>4.0999999999999996</v>
      </c>
      <c r="BF459" s="171"/>
      <c r="BG459" s="183" t="s">
        <v>127</v>
      </c>
      <c r="BH459" s="57"/>
      <c r="BI459" s="170"/>
      <c r="BJ459" s="169"/>
      <c r="BK459" s="181"/>
      <c r="BL459" s="36" t="str">
        <f>VLOOKUP($AP459,'[1]V1 V2'!$B$5:$BW$1894,74,0)</f>
        <v>C.F.1</v>
      </c>
      <c r="BM459" s="36" t="str">
        <f>IF('[1]V1 V2'!X458="","",'[1]V1 V2'!X458)</f>
        <v/>
      </c>
    </row>
    <row r="460" spans="1:65" ht="16" thickBot="1" x14ac:dyDescent="0.4">
      <c r="A460">
        <v>1</v>
      </c>
      <c r="B460" s="304"/>
      <c r="C460" s="305"/>
      <c r="D460" s="306"/>
      <c r="E460" s="36"/>
      <c r="F460" s="168"/>
      <c r="G460" s="169"/>
      <c r="H460" s="170"/>
      <c r="I460" s="57"/>
      <c r="J460" s="56"/>
      <c r="K460" s="171"/>
      <c r="L460" s="142"/>
      <c r="M460" s="172"/>
      <c r="N460" s="173"/>
      <c r="O460" s="174" t="s">
        <v>89</v>
      </c>
      <c r="P460" s="171"/>
      <c r="Q460" s="182"/>
      <c r="R460" s="182"/>
      <c r="S460" s="175"/>
      <c r="T460" s="173"/>
      <c r="U460" s="62"/>
      <c r="V460" s="177" t="s">
        <v>89</v>
      </c>
      <c r="W460" s="177" t="s">
        <v>89</v>
      </c>
      <c r="X460" s="230"/>
      <c r="Y460" s="177"/>
      <c r="Z460" s="178">
        <v>20</v>
      </c>
      <c r="AA460" s="297"/>
      <c r="AB460" s="21" t="s">
        <v>2</v>
      </c>
      <c r="AH460" s="63">
        <v>1</v>
      </c>
      <c r="AO460" s="10" t="s">
        <v>3</v>
      </c>
      <c r="AP460" s="297"/>
      <c r="AQ460" s="178">
        <v>20</v>
      </c>
      <c r="AR460" s="177"/>
      <c r="AS460" s="222"/>
      <c r="AT460" s="177" t="s">
        <v>89</v>
      </c>
      <c r="AU460" s="177" t="s">
        <v>89</v>
      </c>
      <c r="AV460" s="62"/>
      <c r="AW460" s="173"/>
      <c r="AX460" s="175"/>
      <c r="AY460" s="182"/>
      <c r="AZ460" s="182"/>
      <c r="BA460" s="171"/>
      <c r="BB460" s="180" t="s">
        <v>89</v>
      </c>
      <c r="BC460" s="172"/>
      <c r="BD460" s="172"/>
      <c r="BE460" s="142"/>
      <c r="BF460" s="171"/>
      <c r="BG460" s="56"/>
      <c r="BH460" s="57"/>
      <c r="BI460" s="170"/>
      <c r="BJ460" s="169"/>
      <c r="BK460" s="181"/>
      <c r="BL460" s="36"/>
      <c r="BM460" s="36" t="str">
        <f>IF('[1]V1 V2'!X459="","",'[1]V1 V2'!X459)</f>
        <v/>
      </c>
    </row>
    <row r="461" spans="1:65" ht="16" thickBot="1" x14ac:dyDescent="0.4">
      <c r="A461">
        <v>1</v>
      </c>
      <c r="B461" s="304" t="s">
        <v>1390</v>
      </c>
      <c r="C461" s="305"/>
      <c r="D461" s="306"/>
      <c r="E461" s="36" t="str">
        <f>VLOOKUP($B461,'[1]V1 V2'!$B$5:$BW$1894,74,0)</f>
        <v>C.F.2</v>
      </c>
      <c r="F461" s="168"/>
      <c r="G461" s="169"/>
      <c r="H461" s="170"/>
      <c r="I461" s="57"/>
      <c r="J461" s="56">
        <v>-20</v>
      </c>
      <c r="K461" s="171"/>
      <c r="L461" s="171">
        <v>3.98</v>
      </c>
      <c r="M461" s="172"/>
      <c r="N461" s="173"/>
      <c r="O461" s="174" t="s">
        <v>621</v>
      </c>
      <c r="P461" s="191" t="s">
        <v>942</v>
      </c>
      <c r="Q461" s="176" t="s">
        <v>1228</v>
      </c>
      <c r="R461" s="176" t="s">
        <v>623</v>
      </c>
      <c r="S461" s="175" t="s">
        <v>1188</v>
      </c>
      <c r="T461" s="173" t="s">
        <v>30</v>
      </c>
      <c r="U461" s="62"/>
      <c r="V461" s="177" t="s">
        <v>1391</v>
      </c>
      <c r="W461" s="177" t="s">
        <v>1392</v>
      </c>
      <c r="X461" s="177">
        <v>31311.389000000014</v>
      </c>
      <c r="Y461" s="177">
        <v>3493.659999999998</v>
      </c>
      <c r="Z461" s="178"/>
      <c r="AA461" s="297" t="s">
        <v>1390</v>
      </c>
      <c r="AB461" s="21" t="s">
        <v>2</v>
      </c>
      <c r="AH461" s="63">
        <v>1</v>
      </c>
      <c r="AO461" s="10" t="s">
        <v>3</v>
      </c>
      <c r="AP461" s="297" t="s">
        <v>1393</v>
      </c>
      <c r="AQ461" s="178"/>
      <c r="AR461" s="177">
        <v>3492.9600000000005</v>
      </c>
      <c r="AS461" s="222">
        <f>AS459-AQ460</f>
        <v>31391.688999999991</v>
      </c>
      <c r="AT461" s="177" t="s">
        <v>1394</v>
      </c>
      <c r="AU461" s="177" t="s">
        <v>1395</v>
      </c>
      <c r="AV461" s="62"/>
      <c r="AW461" s="173" t="s">
        <v>30</v>
      </c>
      <c r="AX461" s="175" t="s">
        <v>1188</v>
      </c>
      <c r="AY461" s="176" t="s">
        <v>623</v>
      </c>
      <c r="AZ461" s="176" t="s">
        <v>1228</v>
      </c>
      <c r="BA461" s="240" t="s">
        <v>942</v>
      </c>
      <c r="BB461" s="180" t="s">
        <v>621</v>
      </c>
      <c r="BC461" s="172"/>
      <c r="BD461" s="172"/>
      <c r="BE461" s="171">
        <v>3.98</v>
      </c>
      <c r="BF461" s="171"/>
      <c r="BG461" s="56">
        <v>-20</v>
      </c>
      <c r="BH461" s="57"/>
      <c r="BI461" s="170"/>
      <c r="BJ461" s="169"/>
      <c r="BK461" s="181"/>
      <c r="BL461" s="36" t="str">
        <f>VLOOKUP($AP461,'[1]V1 V2'!$B$5:$BW$1894,74,0)</f>
        <v>C.F.2</v>
      </c>
      <c r="BM461" s="36" t="str">
        <f>IF('[1]V1 V2'!X460="","",'[1]V1 V2'!X460)</f>
        <v/>
      </c>
    </row>
    <row r="462" spans="1:65" ht="16" thickBot="1" x14ac:dyDescent="0.4">
      <c r="A462">
        <v>1</v>
      </c>
      <c r="B462" s="304"/>
      <c r="C462" s="305"/>
      <c r="D462" s="306"/>
      <c r="E462" s="36"/>
      <c r="F462" s="168"/>
      <c r="G462" s="169"/>
      <c r="H462" s="170"/>
      <c r="I462" s="57"/>
      <c r="J462" s="56"/>
      <c r="K462" s="171"/>
      <c r="L462" s="142"/>
      <c r="M462" s="172"/>
      <c r="N462" s="173"/>
      <c r="O462" s="174" t="s">
        <v>89</v>
      </c>
      <c r="P462" s="171"/>
      <c r="Q462" s="182"/>
      <c r="R462" s="182"/>
      <c r="S462" s="175"/>
      <c r="T462" s="173"/>
      <c r="U462" s="62"/>
      <c r="V462" s="177" t="s">
        <v>89</v>
      </c>
      <c r="W462" s="177" t="s">
        <v>89</v>
      </c>
      <c r="X462" s="230"/>
      <c r="Y462" s="177"/>
      <c r="Z462" s="178">
        <v>20</v>
      </c>
      <c r="AA462" s="297"/>
      <c r="AB462" s="21" t="s">
        <v>2</v>
      </c>
      <c r="AH462" s="63">
        <v>1</v>
      </c>
      <c r="AO462" s="10" t="s">
        <v>3</v>
      </c>
      <c r="AP462" s="297"/>
      <c r="AQ462" s="178">
        <v>20</v>
      </c>
      <c r="AR462" s="177"/>
      <c r="AS462" s="222"/>
      <c r="AT462" s="177" t="s">
        <v>89</v>
      </c>
      <c r="AU462" s="177" t="s">
        <v>89</v>
      </c>
      <c r="AV462" s="62"/>
      <c r="AW462" s="173"/>
      <c r="AX462" s="175"/>
      <c r="AY462" s="182"/>
      <c r="AZ462" s="182"/>
      <c r="BA462" s="171"/>
      <c r="BB462" s="180" t="s">
        <v>89</v>
      </c>
      <c r="BC462" s="172"/>
      <c r="BD462" s="172"/>
      <c r="BE462" s="142"/>
      <c r="BF462" s="171"/>
      <c r="BG462" s="56"/>
      <c r="BH462" s="57"/>
      <c r="BI462" s="170"/>
      <c r="BJ462" s="169"/>
      <c r="BK462" s="181"/>
      <c r="BL462" s="36"/>
      <c r="BM462" s="36" t="str">
        <f>IF('[1]V1 V2'!X461="","",'[1]V1 V2'!X461)</f>
        <v/>
      </c>
    </row>
    <row r="463" spans="1:65" ht="16" thickBot="1" x14ac:dyDescent="0.4">
      <c r="A463">
        <v>1</v>
      </c>
      <c r="B463" s="304" t="s">
        <v>1396</v>
      </c>
      <c r="C463" s="305"/>
      <c r="D463" s="306"/>
      <c r="E463" s="36" t="str">
        <f>VLOOKUP($B463,'[1]V1 V2'!$B$5:$BW$1894,74,0)</f>
        <v>C.F.1</v>
      </c>
      <c r="F463" s="168"/>
      <c r="G463" s="169"/>
      <c r="H463" s="170"/>
      <c r="I463" s="57"/>
      <c r="J463" s="56" t="s">
        <v>127</v>
      </c>
      <c r="K463" s="171"/>
      <c r="L463" s="171">
        <v>3.86</v>
      </c>
      <c r="M463" s="172"/>
      <c r="N463" s="173"/>
      <c r="O463" s="174" t="s">
        <v>621</v>
      </c>
      <c r="P463" s="191" t="s">
        <v>942</v>
      </c>
      <c r="Q463" s="176" t="s">
        <v>1228</v>
      </c>
      <c r="R463" s="176" t="s">
        <v>623</v>
      </c>
      <c r="S463" s="175" t="s">
        <v>1188</v>
      </c>
      <c r="T463" s="173" t="s">
        <v>30</v>
      </c>
      <c r="U463" s="62"/>
      <c r="V463" s="177" t="s">
        <v>1397</v>
      </c>
      <c r="W463" s="177" t="s">
        <v>1398</v>
      </c>
      <c r="X463" s="177">
        <v>31291.389000000014</v>
      </c>
      <c r="Y463" s="177">
        <v>3513.659999999998</v>
      </c>
      <c r="Z463" s="178"/>
      <c r="AA463" s="297" t="s">
        <v>1396</v>
      </c>
      <c r="AB463" s="21" t="s">
        <v>2</v>
      </c>
      <c r="AH463" s="63">
        <v>1</v>
      </c>
      <c r="AO463" s="10" t="s">
        <v>3</v>
      </c>
      <c r="AP463" s="297" t="s">
        <v>1399</v>
      </c>
      <c r="AQ463" s="178"/>
      <c r="AR463" s="177">
        <v>3512.9600000000005</v>
      </c>
      <c r="AS463" s="222">
        <f>AS461-AQ462</f>
        <v>31371.688999999991</v>
      </c>
      <c r="AT463" s="177" t="s">
        <v>1400</v>
      </c>
      <c r="AU463" s="177" t="s">
        <v>1401</v>
      </c>
      <c r="AV463" s="62"/>
      <c r="AW463" s="173" t="s">
        <v>30</v>
      </c>
      <c r="AX463" s="175" t="s">
        <v>1188</v>
      </c>
      <c r="AY463" s="176" t="s">
        <v>623</v>
      </c>
      <c r="AZ463" s="176" t="s">
        <v>1228</v>
      </c>
      <c r="BA463" s="240" t="s">
        <v>942</v>
      </c>
      <c r="BB463" s="180" t="s">
        <v>621</v>
      </c>
      <c r="BC463" s="172"/>
      <c r="BD463" s="172"/>
      <c r="BE463" s="171">
        <v>3.86</v>
      </c>
      <c r="BF463" s="171"/>
      <c r="BG463" s="183" t="s">
        <v>127</v>
      </c>
      <c r="BH463" s="57"/>
      <c r="BI463" s="170"/>
      <c r="BJ463" s="169"/>
      <c r="BK463" s="181"/>
      <c r="BL463" s="36" t="str">
        <f>VLOOKUP($AP463,'[1]V1 V2'!$B$5:$BW$1894,74,0)</f>
        <v>C.F.1</v>
      </c>
      <c r="BM463" s="36" t="str">
        <f>IF('[1]V1 V2'!X462="","",'[1]V1 V2'!X462)</f>
        <v/>
      </c>
    </row>
    <row r="464" spans="1:65" ht="16" thickBot="1" x14ac:dyDescent="0.4">
      <c r="A464">
        <v>1</v>
      </c>
      <c r="B464" s="304"/>
      <c r="C464" s="305"/>
      <c r="D464" s="306"/>
      <c r="E464" s="36"/>
      <c r="F464" s="168"/>
      <c r="G464" s="169"/>
      <c r="H464" s="170"/>
      <c r="I464" s="57"/>
      <c r="J464" s="56"/>
      <c r="K464" s="171"/>
      <c r="L464" s="142"/>
      <c r="M464" s="172"/>
      <c r="N464" s="173"/>
      <c r="O464" s="174" t="s">
        <v>89</v>
      </c>
      <c r="P464" s="171"/>
      <c r="Q464" s="182"/>
      <c r="R464" s="182"/>
      <c r="S464" s="175"/>
      <c r="T464" s="173"/>
      <c r="U464" s="62"/>
      <c r="V464" s="177" t="s">
        <v>89</v>
      </c>
      <c r="W464" s="177" t="s">
        <v>89</v>
      </c>
      <c r="X464" s="230"/>
      <c r="Y464" s="177"/>
      <c r="Z464" s="178">
        <v>20</v>
      </c>
      <c r="AA464" s="297"/>
      <c r="AB464" s="21" t="s">
        <v>2</v>
      </c>
      <c r="AH464" s="63">
        <v>1</v>
      </c>
      <c r="AO464" s="10" t="s">
        <v>3</v>
      </c>
      <c r="AP464" s="297"/>
      <c r="AQ464" s="178">
        <v>20</v>
      </c>
      <c r="AR464" s="177"/>
      <c r="AS464" s="222"/>
      <c r="AT464" s="177" t="s">
        <v>89</v>
      </c>
      <c r="AU464" s="177" t="s">
        <v>89</v>
      </c>
      <c r="AV464" s="62"/>
      <c r="AW464" s="173"/>
      <c r="AX464" s="175"/>
      <c r="AY464" s="182"/>
      <c r="AZ464" s="182"/>
      <c r="BA464" s="171"/>
      <c r="BB464" s="180" t="s">
        <v>89</v>
      </c>
      <c r="BC464" s="172"/>
      <c r="BD464" s="172"/>
      <c r="BE464" s="142"/>
      <c r="BF464" s="171"/>
      <c r="BG464" s="56"/>
      <c r="BH464" s="57"/>
      <c r="BI464" s="170"/>
      <c r="BJ464" s="169"/>
      <c r="BK464" s="181"/>
      <c r="BL464" s="36"/>
      <c r="BM464" s="36" t="str">
        <f>IF('[1]V1 V2'!X463="","",'[1]V1 V2'!X463)</f>
        <v/>
      </c>
    </row>
    <row r="465" spans="1:65" ht="16" thickBot="1" x14ac:dyDescent="0.4">
      <c r="A465">
        <v>1</v>
      </c>
      <c r="B465" s="304" t="s">
        <v>1402</v>
      </c>
      <c r="C465" s="305"/>
      <c r="D465" s="306"/>
      <c r="E465" s="36" t="str">
        <f>VLOOKUP($B465,'[1]V1 V2'!$B$5:$BW$1894,74,0)</f>
        <v>C.F.7.A</v>
      </c>
      <c r="F465" s="168"/>
      <c r="G465" s="169"/>
      <c r="H465" s="170"/>
      <c r="I465" s="57"/>
      <c r="J465" s="56">
        <v>-20</v>
      </c>
      <c r="K465" s="171"/>
      <c r="L465" s="171">
        <v>3.8</v>
      </c>
      <c r="M465" s="172"/>
      <c r="N465" s="173"/>
      <c r="O465" s="174" t="s">
        <v>621</v>
      </c>
      <c r="P465" s="191" t="s">
        <v>1403</v>
      </c>
      <c r="Q465" s="221" t="s">
        <v>1031</v>
      </c>
      <c r="R465" s="176" t="s">
        <v>623</v>
      </c>
      <c r="S465" s="175" t="s">
        <v>1188</v>
      </c>
      <c r="T465" s="173" t="s">
        <v>585</v>
      </c>
      <c r="U465" s="62"/>
      <c r="V465" s="177" t="s">
        <v>1404</v>
      </c>
      <c r="W465" s="177" t="s">
        <v>1405</v>
      </c>
      <c r="X465" s="177">
        <v>31271.389000000014</v>
      </c>
      <c r="Y465" s="177">
        <v>3533.659999999998</v>
      </c>
      <c r="Z465" s="178"/>
      <c r="AA465" s="297" t="s">
        <v>1402</v>
      </c>
      <c r="AB465" s="21" t="s">
        <v>2</v>
      </c>
      <c r="AH465" s="63">
        <v>1</v>
      </c>
      <c r="AO465" s="10" t="s">
        <v>3</v>
      </c>
      <c r="AP465" s="297" t="s">
        <v>1406</v>
      </c>
      <c r="AQ465" s="178"/>
      <c r="AR465" s="177">
        <v>3532.9600000000005</v>
      </c>
      <c r="AS465" s="222">
        <f>AS463-AQ464</f>
        <v>31351.688999999991</v>
      </c>
      <c r="AT465" s="177" t="s">
        <v>1407</v>
      </c>
      <c r="AU465" s="177" t="s">
        <v>1408</v>
      </c>
      <c r="AV465" s="62"/>
      <c r="AW465" s="173" t="s">
        <v>30</v>
      </c>
      <c r="AX465" s="175" t="s">
        <v>1188</v>
      </c>
      <c r="AY465" s="176" t="s">
        <v>623</v>
      </c>
      <c r="AZ465" s="176" t="s">
        <v>639</v>
      </c>
      <c r="BA465" s="240" t="s">
        <v>661</v>
      </c>
      <c r="BB465" s="180" t="s">
        <v>621</v>
      </c>
      <c r="BC465" s="172"/>
      <c r="BD465" s="172"/>
      <c r="BE465" s="171">
        <v>3.8</v>
      </c>
      <c r="BF465" s="171"/>
      <c r="BG465" s="56">
        <v>-20</v>
      </c>
      <c r="BH465" s="57"/>
      <c r="BI465" s="170"/>
      <c r="BJ465" s="169"/>
      <c r="BK465" s="181"/>
      <c r="BL465" s="36" t="str">
        <f>VLOOKUP($AP465,'[1]V1 V2'!$B$5:$BW$1894,74,0)</f>
        <v>C.F.7.A</v>
      </c>
      <c r="BM465" s="36" t="str">
        <f>IF('[1]V1 V2'!X464="","",'[1]V1 V2'!X464)</f>
        <v/>
      </c>
    </row>
    <row r="466" spans="1:65" ht="16" thickBot="1" x14ac:dyDescent="0.4">
      <c r="A466">
        <v>1</v>
      </c>
      <c r="B466" s="304"/>
      <c r="C466" s="305"/>
      <c r="D466" s="306"/>
      <c r="E466" s="36"/>
      <c r="F466" s="168"/>
      <c r="G466" s="169"/>
      <c r="H466" s="170"/>
      <c r="I466" s="57"/>
      <c r="J466" s="56"/>
      <c r="K466" s="171"/>
      <c r="L466" s="142"/>
      <c r="M466" s="172"/>
      <c r="N466" s="189"/>
      <c r="O466" s="190" t="s">
        <v>89</v>
      </c>
      <c r="P466" s="171"/>
      <c r="Q466" s="182"/>
      <c r="R466" s="182"/>
      <c r="S466" s="175"/>
      <c r="T466" s="173"/>
      <c r="U466" s="62"/>
      <c r="V466" s="177" t="s">
        <v>89</v>
      </c>
      <c r="W466" s="177" t="s">
        <v>89</v>
      </c>
      <c r="X466" s="230"/>
      <c r="Y466" s="177"/>
      <c r="Z466" s="178">
        <v>20</v>
      </c>
      <c r="AA466" s="297"/>
      <c r="AB466" s="21" t="s">
        <v>2</v>
      </c>
      <c r="AH466" s="63">
        <v>1</v>
      </c>
      <c r="AO466" s="10" t="s">
        <v>3</v>
      </c>
      <c r="AP466" s="297"/>
      <c r="AQ466" s="178">
        <v>20</v>
      </c>
      <c r="AR466" s="177"/>
      <c r="AS466" s="222"/>
      <c r="AT466" s="177" t="s">
        <v>89</v>
      </c>
      <c r="AU466" s="177" t="s">
        <v>89</v>
      </c>
      <c r="AV466" s="62"/>
      <c r="AW466" s="173"/>
      <c r="AX466" s="175"/>
      <c r="AY466" s="182"/>
      <c r="AZ466" s="182"/>
      <c r="BA466" s="171"/>
      <c r="BB466" s="180" t="s">
        <v>89</v>
      </c>
      <c r="BC466" s="172"/>
      <c r="BD466" s="172"/>
      <c r="BE466" s="142"/>
      <c r="BF466" s="171"/>
      <c r="BG466" s="56"/>
      <c r="BH466" s="57"/>
      <c r="BI466" s="170"/>
      <c r="BJ466" s="169"/>
      <c r="BK466" s="181"/>
      <c r="BL466" s="36"/>
      <c r="BM466" s="36" t="str">
        <f>IF('[1]V1 V2'!X465="","",'[1]V1 V2'!X465)</f>
        <v/>
      </c>
    </row>
    <row r="467" spans="1:65" ht="16" thickBot="1" x14ac:dyDescent="0.4">
      <c r="A467">
        <v>1</v>
      </c>
      <c r="B467" s="304" t="s">
        <v>1409</v>
      </c>
      <c r="C467" s="305"/>
      <c r="D467" s="306"/>
      <c r="E467" s="36" t="str">
        <f>VLOOKUP($B467,'[1]V1 V2'!$B$5:$BW$1894,74,0)</f>
        <v>C.F.12</v>
      </c>
      <c r="F467" s="168"/>
      <c r="G467" s="169"/>
      <c r="H467" s="170"/>
      <c r="I467" s="374" t="s">
        <v>127</v>
      </c>
      <c r="J467" s="56">
        <v>0</v>
      </c>
      <c r="K467" s="171"/>
      <c r="L467" s="171">
        <v>3.8</v>
      </c>
      <c r="M467" s="172"/>
      <c r="N467" s="173" t="s">
        <v>1048</v>
      </c>
      <c r="O467" s="174" t="s">
        <v>621</v>
      </c>
      <c r="P467" s="191" t="s">
        <v>661</v>
      </c>
      <c r="Q467" s="176" t="s">
        <v>639</v>
      </c>
      <c r="R467" s="176" t="s">
        <v>623</v>
      </c>
      <c r="S467" s="175" t="s">
        <v>1188</v>
      </c>
      <c r="T467" s="173" t="s">
        <v>607</v>
      </c>
      <c r="U467" s="62"/>
      <c r="V467" s="177" t="s">
        <v>1410</v>
      </c>
      <c r="W467" s="177" t="s">
        <v>1411</v>
      </c>
      <c r="X467" s="177">
        <v>31251.389000000014</v>
      </c>
      <c r="Y467" s="177">
        <v>3553.659999999998</v>
      </c>
      <c r="Z467" s="178"/>
      <c r="AA467" s="297" t="s">
        <v>1409</v>
      </c>
      <c r="AB467" s="21" t="s">
        <v>2</v>
      </c>
      <c r="AH467" s="63">
        <v>1</v>
      </c>
      <c r="AO467" s="10" t="s">
        <v>3</v>
      </c>
      <c r="AP467" s="297" t="s">
        <v>1412</v>
      </c>
      <c r="AQ467" s="178"/>
      <c r="AR467" s="177">
        <v>3552.9600000000005</v>
      </c>
      <c r="AS467" s="222">
        <f>AS465-AQ466</f>
        <v>31331.688999999991</v>
      </c>
      <c r="AT467" s="177" t="s">
        <v>1413</v>
      </c>
      <c r="AU467" s="177" t="s">
        <v>1414</v>
      </c>
      <c r="AV467" s="62"/>
      <c r="AW467" s="173" t="s">
        <v>30</v>
      </c>
      <c r="AX467" s="175" t="s">
        <v>1188</v>
      </c>
      <c r="AY467" s="176" t="s">
        <v>623</v>
      </c>
      <c r="AZ467" s="176" t="s">
        <v>639</v>
      </c>
      <c r="BA467" s="240" t="s">
        <v>661</v>
      </c>
      <c r="BB467" s="180" t="s">
        <v>621</v>
      </c>
      <c r="BC467" s="172"/>
      <c r="BD467" s="172"/>
      <c r="BE467" s="171">
        <v>3.8</v>
      </c>
      <c r="BF467" s="171"/>
      <c r="BG467" s="183" t="s">
        <v>127</v>
      </c>
      <c r="BH467" s="57"/>
      <c r="BI467" s="170"/>
      <c r="BJ467" s="169"/>
      <c r="BK467" s="181"/>
      <c r="BL467" s="36" t="str">
        <f>VLOOKUP($AP467,'[1]V1 V2'!$B$5:$BW$1894,74,0)</f>
        <v>C.F.12</v>
      </c>
      <c r="BM467" s="36" t="str">
        <f>IF('[1]V1 V2'!X466="","",'[1]V1 V2'!X466)</f>
        <v/>
      </c>
    </row>
    <row r="468" spans="1:65" ht="16" thickBot="1" x14ac:dyDescent="0.4">
      <c r="A468">
        <v>1</v>
      </c>
      <c r="B468" s="304"/>
      <c r="C468" s="305"/>
      <c r="D468" s="306"/>
      <c r="E468" s="36"/>
      <c r="F468" s="168"/>
      <c r="G468" s="169"/>
      <c r="H468" s="170"/>
      <c r="I468" s="57"/>
      <c r="J468" s="56"/>
      <c r="K468" s="171"/>
      <c r="L468" s="142"/>
      <c r="M468" s="172"/>
      <c r="N468" s="173"/>
      <c r="O468" s="174" t="s">
        <v>89</v>
      </c>
      <c r="P468" s="171"/>
      <c r="Q468" s="182"/>
      <c r="R468" s="182"/>
      <c r="S468" s="175"/>
      <c r="T468" s="173"/>
      <c r="U468" s="62"/>
      <c r="V468" s="177" t="s">
        <v>89</v>
      </c>
      <c r="W468" s="177" t="s">
        <v>89</v>
      </c>
      <c r="X468" s="230"/>
      <c r="Y468" s="177"/>
      <c r="Z468" s="178">
        <v>20</v>
      </c>
      <c r="AA468" s="297"/>
      <c r="AB468" s="21" t="s">
        <v>2</v>
      </c>
      <c r="AH468" s="63">
        <v>1</v>
      </c>
      <c r="AO468" s="10" t="s">
        <v>3</v>
      </c>
      <c r="AP468" s="297"/>
      <c r="AQ468" s="178">
        <v>20</v>
      </c>
      <c r="AR468" s="177"/>
      <c r="AS468" s="222"/>
      <c r="AT468" s="177" t="s">
        <v>89</v>
      </c>
      <c r="AU468" s="177" t="s">
        <v>89</v>
      </c>
      <c r="AV468" s="62"/>
      <c r="AW468" s="173"/>
      <c r="AX468" s="175"/>
      <c r="AY468" s="182"/>
      <c r="AZ468" s="182"/>
      <c r="BA468" s="171"/>
      <c r="BB468" s="180" t="s">
        <v>89</v>
      </c>
      <c r="BC468" s="172"/>
      <c r="BD468" s="172"/>
      <c r="BE468" s="142"/>
      <c r="BF468" s="171"/>
      <c r="BG468" s="56"/>
      <c r="BH468" s="57"/>
      <c r="BI468" s="170"/>
      <c r="BJ468" s="169"/>
      <c r="BK468" s="181"/>
      <c r="BL468" s="36"/>
      <c r="BM468" s="36" t="str">
        <f>IF('[1]V1 V2'!X467="","",'[1]V1 V2'!X467)</f>
        <v/>
      </c>
    </row>
    <row r="469" spans="1:65" ht="16" thickBot="1" x14ac:dyDescent="0.4">
      <c r="A469">
        <v>1</v>
      </c>
      <c r="B469" s="304" t="s">
        <v>1415</v>
      </c>
      <c r="C469" s="305"/>
      <c r="D469" s="306"/>
      <c r="E469" s="36" t="str">
        <f>VLOOKUP($B469,'[1]V1 V2'!$B$5:$BW$1894,74,0)</f>
        <v>C.F.8.A</v>
      </c>
      <c r="F469" s="168"/>
      <c r="G469" s="169"/>
      <c r="H469" s="170"/>
      <c r="I469" s="57">
        <v>0</v>
      </c>
      <c r="J469" s="56">
        <v>-20</v>
      </c>
      <c r="K469" s="171"/>
      <c r="L469" s="171">
        <v>3.8</v>
      </c>
      <c r="M469" s="172"/>
      <c r="N469" s="189" t="s">
        <v>1048</v>
      </c>
      <c r="O469" s="190" t="s">
        <v>621</v>
      </c>
      <c r="P469" s="191" t="s">
        <v>661</v>
      </c>
      <c r="Q469" s="176" t="s">
        <v>639</v>
      </c>
      <c r="R469" s="176" t="s">
        <v>623</v>
      </c>
      <c r="S469" s="175" t="s">
        <v>1188</v>
      </c>
      <c r="T469" s="173" t="s">
        <v>607</v>
      </c>
      <c r="U469" s="62"/>
      <c r="V469" s="177" t="s">
        <v>1416</v>
      </c>
      <c r="W469" s="177" t="s">
        <v>1417</v>
      </c>
      <c r="X469" s="177">
        <v>31231.389000000014</v>
      </c>
      <c r="Y469" s="177">
        <v>3573.659999999998</v>
      </c>
      <c r="Z469" s="178"/>
      <c r="AA469" s="297" t="s">
        <v>1415</v>
      </c>
      <c r="AB469" s="21" t="s">
        <v>2</v>
      </c>
      <c r="AH469" s="63">
        <v>1</v>
      </c>
      <c r="AO469" s="10" t="s">
        <v>3</v>
      </c>
      <c r="AP469" s="297" t="s">
        <v>1418</v>
      </c>
      <c r="AQ469" s="178"/>
      <c r="AR469" s="177">
        <v>3572.9600000000005</v>
      </c>
      <c r="AS469" s="222">
        <f>AS467-AQ468</f>
        <v>31311.688999999991</v>
      </c>
      <c r="AT469" s="177" t="s">
        <v>1419</v>
      </c>
      <c r="AU469" s="177" t="s">
        <v>1420</v>
      </c>
      <c r="AV469" s="62"/>
      <c r="AW469" s="173" t="s">
        <v>30</v>
      </c>
      <c r="AX469" s="175" t="s">
        <v>1188</v>
      </c>
      <c r="AY469" s="176" t="s">
        <v>623</v>
      </c>
      <c r="AZ469" s="176" t="s">
        <v>639</v>
      </c>
      <c r="BA469" s="240" t="s">
        <v>661</v>
      </c>
      <c r="BB469" s="180" t="s">
        <v>621</v>
      </c>
      <c r="BC469" s="172"/>
      <c r="BD469" s="172"/>
      <c r="BE469" s="171">
        <v>3.8</v>
      </c>
      <c r="BF469" s="171"/>
      <c r="BG469" s="56">
        <v>-20</v>
      </c>
      <c r="BH469" s="57"/>
      <c r="BI469" s="170"/>
      <c r="BJ469" s="169"/>
      <c r="BK469" s="181"/>
      <c r="BL469" s="36" t="str">
        <f>VLOOKUP($AP469,'[1]V1 V2'!$B$5:$BW$1894,74,0)</f>
        <v>C.F.8.A</v>
      </c>
      <c r="BM469" s="36" t="str">
        <f>IF('[1]V1 V2'!X468="","",'[1]V1 V2'!X468)</f>
        <v/>
      </c>
    </row>
    <row r="470" spans="1:65" ht="16" thickBot="1" x14ac:dyDescent="0.4">
      <c r="A470">
        <v>1</v>
      </c>
      <c r="B470" s="304"/>
      <c r="C470" s="305"/>
      <c r="D470" s="306"/>
      <c r="E470" s="36"/>
      <c r="F470" s="168"/>
      <c r="G470" s="169"/>
      <c r="H470" s="170"/>
      <c r="I470" s="57"/>
      <c r="J470" s="56"/>
      <c r="K470" s="171"/>
      <c r="L470" s="142"/>
      <c r="M470" s="172"/>
      <c r="N470" s="173"/>
      <c r="O470" s="174" t="s">
        <v>89</v>
      </c>
      <c r="P470" s="171"/>
      <c r="Q470" s="182"/>
      <c r="R470" s="182"/>
      <c r="S470" s="175"/>
      <c r="T470" s="173"/>
      <c r="U470" s="62"/>
      <c r="V470" s="177" t="s">
        <v>89</v>
      </c>
      <c r="W470" s="177" t="s">
        <v>89</v>
      </c>
      <c r="X470" s="230"/>
      <c r="Y470" s="177"/>
      <c r="Z470" s="178">
        <v>24</v>
      </c>
      <c r="AA470" s="297"/>
      <c r="AB470" s="21" t="s">
        <v>2</v>
      </c>
      <c r="AH470" s="63">
        <v>1</v>
      </c>
      <c r="AO470" s="10" t="s">
        <v>3</v>
      </c>
      <c r="AP470" s="297"/>
      <c r="AQ470" s="178">
        <v>24</v>
      </c>
      <c r="AR470" s="177"/>
      <c r="AS470" s="222"/>
      <c r="AT470" s="177" t="s">
        <v>89</v>
      </c>
      <c r="AU470" s="177" t="s">
        <v>89</v>
      </c>
      <c r="AV470" s="62"/>
      <c r="AW470" s="173"/>
      <c r="AX470" s="175"/>
      <c r="AY470" s="182"/>
      <c r="AZ470" s="182"/>
      <c r="BA470" s="171"/>
      <c r="BB470" s="180" t="s">
        <v>89</v>
      </c>
      <c r="BC470" s="172"/>
      <c r="BD470" s="172"/>
      <c r="BE470" s="142"/>
      <c r="BF470" s="171"/>
      <c r="BG470" s="56"/>
      <c r="BH470" s="57"/>
      <c r="BI470" s="170"/>
      <c r="BJ470" s="169"/>
      <c r="BK470" s="181"/>
      <c r="BL470" s="36"/>
      <c r="BM470" s="36" t="str">
        <f>IF('[1]V1 V2'!X469="","",'[1]V1 V2'!X469)</f>
        <v/>
      </c>
    </row>
    <row r="471" spans="1:65" ht="16" thickBot="1" x14ac:dyDescent="0.4">
      <c r="A471">
        <v>1</v>
      </c>
      <c r="B471" s="304" t="s">
        <v>1421</v>
      </c>
      <c r="C471" s="305"/>
      <c r="D471" s="306"/>
      <c r="E471" s="36" t="str">
        <f>VLOOKUP($B471,'[1]V1 V2'!$B$5:$BW$1894,74,0)</f>
        <v>C.F.9</v>
      </c>
      <c r="F471" s="168"/>
      <c r="G471" s="169"/>
      <c r="H471" s="170"/>
      <c r="I471" s="374" t="s">
        <v>1422</v>
      </c>
      <c r="J471" s="183" t="s">
        <v>127</v>
      </c>
      <c r="K471" s="171"/>
      <c r="L471" s="171">
        <v>3.8</v>
      </c>
      <c r="M471" s="172"/>
      <c r="N471" s="173" t="s">
        <v>1048</v>
      </c>
      <c r="O471" s="174" t="s">
        <v>621</v>
      </c>
      <c r="P471" s="191" t="s">
        <v>661</v>
      </c>
      <c r="Q471" s="176" t="s">
        <v>639</v>
      </c>
      <c r="R471" s="176" t="s">
        <v>623</v>
      </c>
      <c r="S471" s="175" t="s">
        <v>1203</v>
      </c>
      <c r="T471" s="173" t="s">
        <v>75</v>
      </c>
      <c r="U471" s="62"/>
      <c r="V471" s="177" t="s">
        <v>1423</v>
      </c>
      <c r="W471" s="177" t="s">
        <v>1424</v>
      </c>
      <c r="X471" s="177">
        <v>31207.389000000014</v>
      </c>
      <c r="Y471" s="177">
        <v>3597.659999999998</v>
      </c>
      <c r="Z471" s="178"/>
      <c r="AA471" s="297" t="s">
        <v>1421</v>
      </c>
      <c r="AB471" s="21" t="s">
        <v>2</v>
      </c>
      <c r="AH471" s="63">
        <v>1</v>
      </c>
      <c r="AO471" s="10" t="s">
        <v>3</v>
      </c>
      <c r="AP471" s="297" t="s">
        <v>1425</v>
      </c>
      <c r="AQ471" s="178"/>
      <c r="AR471" s="177">
        <v>3596.9600000000005</v>
      </c>
      <c r="AS471" s="222">
        <f>AS469-AQ470</f>
        <v>31287.688999999991</v>
      </c>
      <c r="AT471" s="177" t="s">
        <v>1426</v>
      </c>
      <c r="AU471" s="177" t="s">
        <v>1427</v>
      </c>
      <c r="AV471" s="62"/>
      <c r="AW471" s="173" t="s">
        <v>30</v>
      </c>
      <c r="AX471" s="175" t="s">
        <v>1203</v>
      </c>
      <c r="AY471" s="176" t="s">
        <v>623</v>
      </c>
      <c r="AZ471" s="176" t="s">
        <v>639</v>
      </c>
      <c r="BA471" s="240" t="s">
        <v>661</v>
      </c>
      <c r="BB471" s="180" t="s">
        <v>621</v>
      </c>
      <c r="BC471" s="172"/>
      <c r="BD471" s="172"/>
      <c r="BE471" s="171">
        <v>3.8</v>
      </c>
      <c r="BF471" s="171"/>
      <c r="BG471" s="56">
        <v>-5</v>
      </c>
      <c r="BH471" s="57"/>
      <c r="BI471" s="170"/>
      <c r="BJ471" s="169"/>
      <c r="BK471" s="181"/>
      <c r="BL471" s="36">
        <f>VLOOKUP($AP471,'[1]V1 V2'!$B$5:$BW$1894,74,0)</f>
        <v>0</v>
      </c>
      <c r="BM471" s="36" t="str">
        <f>IF('[1]V1 V2'!X470="","",'[1]V1 V2'!X470)</f>
        <v/>
      </c>
    </row>
    <row r="472" spans="1:65" ht="16" thickBot="1" x14ac:dyDescent="0.4">
      <c r="A472">
        <v>1</v>
      </c>
      <c r="B472" s="304"/>
      <c r="C472" s="305"/>
      <c r="D472" s="306"/>
      <c r="E472" s="36"/>
      <c r="F472" s="168"/>
      <c r="G472" s="169"/>
      <c r="H472" s="170"/>
      <c r="I472" s="57"/>
      <c r="J472" s="56"/>
      <c r="K472" s="171"/>
      <c r="L472" s="181"/>
      <c r="M472" s="172"/>
      <c r="N472" s="189"/>
      <c r="O472" s="190" t="s">
        <v>89</v>
      </c>
      <c r="P472" s="171"/>
      <c r="Q472" s="182"/>
      <c r="R472" s="176"/>
      <c r="S472" s="175"/>
      <c r="T472" s="173"/>
      <c r="U472" s="62"/>
      <c r="V472" s="177" t="s">
        <v>89</v>
      </c>
      <c r="W472" s="177" t="s">
        <v>89</v>
      </c>
      <c r="X472" s="230"/>
      <c r="Y472" s="177"/>
      <c r="Z472" s="178">
        <v>8.0500000000000007</v>
      </c>
      <c r="AA472" s="297"/>
      <c r="AB472" s="21" t="s">
        <v>2</v>
      </c>
      <c r="AH472" s="63">
        <v>1</v>
      </c>
      <c r="AO472" s="10" t="s">
        <v>3</v>
      </c>
      <c r="AP472" s="297"/>
      <c r="AQ472" s="178">
        <v>8.0500000000000007</v>
      </c>
      <c r="AR472" s="177"/>
      <c r="AS472" s="222"/>
      <c r="AT472" s="177" t="s">
        <v>89</v>
      </c>
      <c r="AU472" s="177" t="s">
        <v>89</v>
      </c>
      <c r="AV472" s="62"/>
      <c r="AW472" s="173"/>
      <c r="AX472" s="175"/>
      <c r="AY472" s="176"/>
      <c r="AZ472" s="182"/>
      <c r="BA472" s="171"/>
      <c r="BB472" s="180" t="s">
        <v>89</v>
      </c>
      <c r="BC472" s="172"/>
      <c r="BD472" s="172"/>
      <c r="BE472" s="181"/>
      <c r="BF472" s="171"/>
      <c r="BG472" s="56"/>
      <c r="BH472" s="57"/>
      <c r="BI472" s="170"/>
      <c r="BJ472" s="169"/>
      <c r="BK472" s="181"/>
      <c r="BL472" s="36"/>
      <c r="BM472" s="36" t="str">
        <f>IF('[1]V1 V2'!X471="","",'[1]V1 V2'!X471)</f>
        <v/>
      </c>
    </row>
    <row r="473" spans="1:65" ht="16" thickBot="1" x14ac:dyDescent="0.4">
      <c r="A473">
        <v>1</v>
      </c>
      <c r="B473" s="304" t="s">
        <v>1428</v>
      </c>
      <c r="C473" s="305"/>
      <c r="D473" s="306"/>
      <c r="E473" s="36" t="str">
        <f>VLOOKUP($B473,'[1]V1 V2'!$B$5:$BW$1894,74,0)</f>
        <v>C.F.23</v>
      </c>
      <c r="F473" s="168"/>
      <c r="G473" s="169" t="s">
        <v>1091</v>
      </c>
      <c r="H473" s="170"/>
      <c r="I473" s="57"/>
      <c r="J473" s="56"/>
      <c r="K473" s="171"/>
      <c r="L473" s="181"/>
      <c r="M473" s="172"/>
      <c r="N473" s="173"/>
      <c r="O473" s="174"/>
      <c r="P473" s="191" t="s">
        <v>942</v>
      </c>
      <c r="Q473" s="176" t="s">
        <v>1228</v>
      </c>
      <c r="R473" s="176" t="s">
        <v>623</v>
      </c>
      <c r="S473" s="175" t="s">
        <v>1203</v>
      </c>
      <c r="T473" s="173" t="s">
        <v>625</v>
      </c>
      <c r="U473" s="62"/>
      <c r="V473" s="177" t="s">
        <v>1429</v>
      </c>
      <c r="W473" s="177" t="s">
        <v>1430</v>
      </c>
      <c r="X473" s="177">
        <v>31199.339000000014</v>
      </c>
      <c r="Y473" s="177">
        <v>3605.7099999999982</v>
      </c>
      <c r="Z473" s="178"/>
      <c r="AA473" s="297" t="s">
        <v>1428</v>
      </c>
      <c r="AB473" s="21" t="s">
        <v>2</v>
      </c>
      <c r="AH473" s="63">
        <v>1</v>
      </c>
      <c r="AO473" s="10" t="s">
        <v>3</v>
      </c>
      <c r="AP473" s="297" t="s">
        <v>1431</v>
      </c>
      <c r="AQ473" s="178"/>
      <c r="AR473" s="177">
        <v>3605.0100000000007</v>
      </c>
      <c r="AS473" s="222">
        <f>AS471-AQ472</f>
        <v>31279.638999999992</v>
      </c>
      <c r="AT473" s="177" t="s">
        <v>1432</v>
      </c>
      <c r="AU473" s="177" t="s">
        <v>1433</v>
      </c>
      <c r="AV473" s="62"/>
      <c r="AW473" s="173" t="s">
        <v>625</v>
      </c>
      <c r="AX473" s="175" t="s">
        <v>1203</v>
      </c>
      <c r="AY473" s="176" t="s">
        <v>623</v>
      </c>
      <c r="AZ473" s="176" t="s">
        <v>639</v>
      </c>
      <c r="BA473" s="240" t="s">
        <v>661</v>
      </c>
      <c r="BB473" s="180"/>
      <c r="BC473" s="172"/>
      <c r="BD473" s="172"/>
      <c r="BE473" s="181"/>
      <c r="BF473" s="171"/>
      <c r="BG473" s="56"/>
      <c r="BH473" s="57"/>
      <c r="BI473" s="170"/>
      <c r="BJ473" s="169" t="s">
        <v>1091</v>
      </c>
      <c r="BK473" s="181"/>
      <c r="BL473" s="36" t="str">
        <f>VLOOKUP($AP473,'[1]V1 V2'!$B$5:$BW$1894,74,0)</f>
        <v>C.F.23</v>
      </c>
      <c r="BM473" s="36" t="str">
        <f>IF('[1]V1 V2'!X472="","",'[1]V1 V2'!X472)</f>
        <v/>
      </c>
    </row>
    <row r="474" spans="1:65" ht="16" thickBot="1" x14ac:dyDescent="0.4">
      <c r="A474">
        <v>1</v>
      </c>
      <c r="B474" s="304"/>
      <c r="C474" s="305"/>
      <c r="D474" s="306"/>
      <c r="E474" s="36"/>
      <c r="F474" s="168"/>
      <c r="G474" s="169"/>
      <c r="H474" s="170"/>
      <c r="I474" s="57"/>
      <c r="J474" s="56"/>
      <c r="K474" s="171"/>
      <c r="L474" s="142"/>
      <c r="M474" s="172"/>
      <c r="N474" s="173"/>
      <c r="O474" s="174" t="s">
        <v>89</v>
      </c>
      <c r="P474" s="171"/>
      <c r="Q474" s="182"/>
      <c r="R474" s="182"/>
      <c r="S474" s="175"/>
      <c r="T474" s="173"/>
      <c r="U474" s="62"/>
      <c r="V474" s="177" t="s">
        <v>89</v>
      </c>
      <c r="W474" s="177" t="s">
        <v>89</v>
      </c>
      <c r="X474" s="230"/>
      <c r="Y474" s="177"/>
      <c r="Z474" s="178">
        <v>8.0500000000000007</v>
      </c>
      <c r="AA474" s="297"/>
      <c r="AB474" s="21" t="s">
        <v>2</v>
      </c>
      <c r="AH474" s="63">
        <v>1</v>
      </c>
      <c r="AO474" s="10" t="s">
        <v>3</v>
      </c>
      <c r="AP474" s="297"/>
      <c r="AQ474" s="178">
        <v>8.0500000000000007</v>
      </c>
      <c r="AR474" s="177"/>
      <c r="AS474" s="222"/>
      <c r="AT474" s="177" t="s">
        <v>89</v>
      </c>
      <c r="AU474" s="177" t="s">
        <v>89</v>
      </c>
      <c r="AV474" s="62"/>
      <c r="AW474" s="173"/>
      <c r="AX474" s="175"/>
      <c r="AY474" s="182"/>
      <c r="AZ474" s="182"/>
      <c r="BA474" s="171"/>
      <c r="BB474" s="180" t="s">
        <v>89</v>
      </c>
      <c r="BC474" s="172"/>
      <c r="BD474" s="172"/>
      <c r="BE474" s="142"/>
      <c r="BF474" s="171"/>
      <c r="BG474" s="56"/>
      <c r="BH474" s="57"/>
      <c r="BI474" s="170"/>
      <c r="BJ474" s="169"/>
      <c r="BK474" s="181"/>
      <c r="BL474" s="36"/>
      <c r="BM474" s="36" t="str">
        <f>IF('[1]V1 V2'!X473="","",'[1]V1 V2'!X473)</f>
        <v/>
      </c>
    </row>
    <row r="475" spans="1:65" ht="16" thickBot="1" x14ac:dyDescent="0.4">
      <c r="A475">
        <v>1</v>
      </c>
      <c r="B475" s="304" t="s">
        <v>1434</v>
      </c>
      <c r="C475" s="305"/>
      <c r="D475" s="306"/>
      <c r="E475" s="36" t="str">
        <f>VLOOKUP($B475,'[1]V1 V2'!$B$5:$BW$1894,74,0)</f>
        <v>C.F.10</v>
      </c>
      <c r="F475" s="168"/>
      <c r="G475" s="169"/>
      <c r="H475" s="170"/>
      <c r="I475" s="57"/>
      <c r="J475" s="56">
        <v>0</v>
      </c>
      <c r="K475" s="171"/>
      <c r="L475" s="171">
        <v>3.8</v>
      </c>
      <c r="M475" s="172"/>
      <c r="N475" s="173"/>
      <c r="O475" s="174" t="s">
        <v>621</v>
      </c>
      <c r="P475" s="191" t="s">
        <v>942</v>
      </c>
      <c r="Q475" s="176" t="s">
        <v>1228</v>
      </c>
      <c r="R475" s="176" t="s">
        <v>623</v>
      </c>
      <c r="S475" s="175" t="s">
        <v>1188</v>
      </c>
      <c r="T475" s="173" t="s">
        <v>30</v>
      </c>
      <c r="U475" s="62"/>
      <c r="V475" s="177" t="s">
        <v>1435</v>
      </c>
      <c r="W475" s="177" t="s">
        <v>1436</v>
      </c>
      <c r="X475" s="177">
        <v>31191.289000000015</v>
      </c>
      <c r="Y475" s="177">
        <v>3613.7599999999984</v>
      </c>
      <c r="Z475" s="178"/>
      <c r="AA475" s="297" t="s">
        <v>1434</v>
      </c>
      <c r="AB475" s="21" t="s">
        <v>2</v>
      </c>
      <c r="AH475" s="63">
        <v>1</v>
      </c>
      <c r="AO475" s="10" t="s">
        <v>3</v>
      </c>
      <c r="AP475" s="297" t="s">
        <v>1437</v>
      </c>
      <c r="AQ475" s="178"/>
      <c r="AR475" s="177">
        <v>3613.0600000000009</v>
      </c>
      <c r="AS475" s="222">
        <f>AS473-AQ474</f>
        <v>31271.588999999993</v>
      </c>
      <c r="AT475" s="177" t="s">
        <v>1438</v>
      </c>
      <c r="AU475" s="177" t="s">
        <v>1439</v>
      </c>
      <c r="AV475" s="62"/>
      <c r="AW475" s="173" t="s">
        <v>75</v>
      </c>
      <c r="AX475" s="175" t="s">
        <v>1188</v>
      </c>
      <c r="AY475" s="176" t="s">
        <v>623</v>
      </c>
      <c r="AZ475" s="176" t="s">
        <v>639</v>
      </c>
      <c r="BA475" s="240" t="s">
        <v>661</v>
      </c>
      <c r="BB475" s="180" t="s">
        <v>621</v>
      </c>
      <c r="BC475" s="172" t="s">
        <v>596</v>
      </c>
      <c r="BD475" s="172"/>
      <c r="BE475" s="171">
        <v>3.8</v>
      </c>
      <c r="BF475" s="171"/>
      <c r="BG475" s="56">
        <v>-20</v>
      </c>
      <c r="BH475" s="57">
        <v>-10</v>
      </c>
      <c r="BI475" s="170"/>
      <c r="BJ475" s="169"/>
      <c r="BK475" s="181"/>
      <c r="BL475" s="36" t="str">
        <f>VLOOKUP($AP475,'[1]V1 V2'!$B$5:$BW$1894,74,0)</f>
        <v>C.F.10</v>
      </c>
      <c r="BM475" s="36" t="str">
        <f>IF('[1]V1 V2'!X474="","",'[1]V1 V2'!X474)</f>
        <v/>
      </c>
    </row>
    <row r="476" spans="1:65" ht="16" thickBot="1" x14ac:dyDescent="0.4">
      <c r="A476">
        <v>1</v>
      </c>
      <c r="B476" s="227" t="s">
        <v>1440</v>
      </c>
      <c r="C476" s="228"/>
      <c r="D476" s="229"/>
      <c r="E476" s="36">
        <f>VLOOKUP($B476,'[1]V1 V2'!$B$5:$BW$1894,74,0)</f>
        <v>0</v>
      </c>
      <c r="F476" s="184"/>
      <c r="G476" s="185"/>
      <c r="H476" s="186"/>
      <c r="I476" s="136"/>
      <c r="J476" s="135"/>
      <c r="K476" s="187"/>
      <c r="L476" s="224"/>
      <c r="M476" s="172"/>
      <c r="N476" s="189"/>
      <c r="O476" s="190" t="s">
        <v>89</v>
      </c>
      <c r="P476" s="187"/>
      <c r="Q476" s="223"/>
      <c r="R476" s="223"/>
      <c r="S476" s="191"/>
      <c r="T476" s="189"/>
      <c r="U476" s="132"/>
      <c r="V476" s="177"/>
      <c r="W476" s="177"/>
      <c r="X476" s="230"/>
      <c r="Y476" s="222"/>
      <c r="Z476" s="198">
        <v>19.899999999999999</v>
      </c>
      <c r="AA476" s="231" t="s">
        <v>1440</v>
      </c>
      <c r="AB476" s="21" t="s">
        <v>2</v>
      </c>
      <c r="AH476" s="63">
        <v>1</v>
      </c>
      <c r="AO476" s="10" t="s">
        <v>3</v>
      </c>
      <c r="AP476" s="231" t="s">
        <v>1440</v>
      </c>
      <c r="AQ476" s="198">
        <v>19.899999999999999</v>
      </c>
      <c r="AR476" s="222"/>
      <c r="AS476" s="222"/>
      <c r="AT476" s="222"/>
      <c r="AU476" s="222"/>
      <c r="AV476" s="132"/>
      <c r="AW476" s="189"/>
      <c r="AX476" s="191"/>
      <c r="AY476" s="223"/>
      <c r="AZ476" s="223"/>
      <c r="BA476" s="171"/>
      <c r="BB476" s="180" t="s">
        <v>89</v>
      </c>
      <c r="BC476" s="172"/>
      <c r="BD476" s="172"/>
      <c r="BE476" s="224"/>
      <c r="BF476" s="187"/>
      <c r="BG476" s="135"/>
      <c r="BH476" s="136"/>
      <c r="BI476" s="186"/>
      <c r="BJ476" s="185"/>
      <c r="BK476" s="193"/>
      <c r="BL476" s="36">
        <f>VLOOKUP($AP476,'[1]V1 V2'!$B$5:$BW$1894,74,0)</f>
        <v>0</v>
      </c>
      <c r="BM476" s="36" t="str">
        <f>IF('[1]V1 V2'!X475="","",'[1]V1 V2'!X475)</f>
        <v/>
      </c>
    </row>
    <row r="477" spans="1:65" ht="16" thickBot="1" x14ac:dyDescent="0.4">
      <c r="A477">
        <v>1</v>
      </c>
      <c r="B477" s="304" t="s">
        <v>1441</v>
      </c>
      <c r="C477" s="305"/>
      <c r="D477" s="306"/>
      <c r="E477" s="36" t="str">
        <f>VLOOKUP($B477,'[1]V1 V2'!$B$5:$BW$1894,74,0)</f>
        <v>C.F.8.B</v>
      </c>
      <c r="F477" s="168"/>
      <c r="G477" s="169"/>
      <c r="H477" s="170"/>
      <c r="I477" s="57"/>
      <c r="J477" s="183" t="s">
        <v>127</v>
      </c>
      <c r="K477" s="171"/>
      <c r="L477" s="142">
        <v>3.8</v>
      </c>
      <c r="M477" s="172"/>
      <c r="N477" s="173"/>
      <c r="O477" s="174" t="s">
        <v>621</v>
      </c>
      <c r="P477" s="191" t="s">
        <v>942</v>
      </c>
      <c r="Q477" s="221" t="s">
        <v>1228</v>
      </c>
      <c r="R477" s="176" t="s">
        <v>623</v>
      </c>
      <c r="S477" s="175" t="s">
        <v>1188</v>
      </c>
      <c r="T477" s="173" t="s">
        <v>30</v>
      </c>
      <c r="U477" s="62"/>
      <c r="V477" s="177" t="s">
        <v>1442</v>
      </c>
      <c r="W477" s="177" t="s">
        <v>1443</v>
      </c>
      <c r="X477" s="177">
        <v>31171.389000000014</v>
      </c>
      <c r="Y477" s="177">
        <v>3633.6599999999985</v>
      </c>
      <c r="Z477" s="178"/>
      <c r="AA477" s="297" t="s">
        <v>1441</v>
      </c>
      <c r="AB477" s="21" t="s">
        <v>2</v>
      </c>
      <c r="AH477" s="63">
        <v>1</v>
      </c>
      <c r="AO477" s="10" t="s">
        <v>3</v>
      </c>
      <c r="AP477" s="297" t="s">
        <v>1444</v>
      </c>
      <c r="AQ477" s="178"/>
      <c r="AR477" s="177">
        <v>3632.9600000000009</v>
      </c>
      <c r="AS477" s="222">
        <f>AS475-AQ476</f>
        <v>31251.688999999991</v>
      </c>
      <c r="AT477" s="177" t="s">
        <v>1445</v>
      </c>
      <c r="AU477" s="177" t="s">
        <v>1446</v>
      </c>
      <c r="AV477" s="62"/>
      <c r="AW477" s="173" t="s">
        <v>607</v>
      </c>
      <c r="AX477" s="175" t="s">
        <v>1188</v>
      </c>
      <c r="AY477" s="176" t="s">
        <v>623</v>
      </c>
      <c r="AZ477" s="221" t="s">
        <v>639</v>
      </c>
      <c r="BA477" s="240" t="s">
        <v>661</v>
      </c>
      <c r="BB477" s="180" t="s">
        <v>621</v>
      </c>
      <c r="BC477" s="172" t="s">
        <v>596</v>
      </c>
      <c r="BD477" s="172"/>
      <c r="BE477" s="142">
        <v>3.8</v>
      </c>
      <c r="BF477" s="171"/>
      <c r="BG477" s="56">
        <v>0</v>
      </c>
      <c r="BH477" s="374" t="s">
        <v>127</v>
      </c>
      <c r="BI477" s="170"/>
      <c r="BJ477" s="169"/>
      <c r="BK477" s="181"/>
      <c r="BL477" s="36" t="str">
        <f>VLOOKUP($AP477,'[1]V1 V2'!$B$5:$BW$1894,74,0)</f>
        <v>C.F.8.B</v>
      </c>
      <c r="BM477" s="36" t="str">
        <f>IF('[1]V1 V2'!X476="","",'[1]V1 V2'!X476)</f>
        <v/>
      </c>
    </row>
    <row r="478" spans="1:65" ht="16" thickBot="1" x14ac:dyDescent="0.4">
      <c r="A478">
        <v>1</v>
      </c>
      <c r="B478" s="304"/>
      <c r="C478" s="305"/>
      <c r="D478" s="306"/>
      <c r="E478" s="36"/>
      <c r="F478" s="168"/>
      <c r="G478" s="169"/>
      <c r="H478" s="170"/>
      <c r="I478" s="57"/>
      <c r="J478" s="56"/>
      <c r="K478" s="171"/>
      <c r="L478" s="142"/>
      <c r="M478" s="172"/>
      <c r="N478" s="173"/>
      <c r="O478" s="174" t="s">
        <v>89</v>
      </c>
      <c r="P478" s="171"/>
      <c r="Q478" s="182"/>
      <c r="R478" s="182"/>
      <c r="S478" s="175"/>
      <c r="T478" s="189"/>
      <c r="U478" s="62"/>
      <c r="V478" s="177" t="s">
        <v>89</v>
      </c>
      <c r="W478" s="177" t="s">
        <v>89</v>
      </c>
      <c r="X478" s="230"/>
      <c r="Y478" s="177"/>
      <c r="Z478" s="178">
        <v>20</v>
      </c>
      <c r="AA478" s="297"/>
      <c r="AB478" s="21" t="s">
        <v>2</v>
      </c>
      <c r="AH478" s="63">
        <v>1</v>
      </c>
      <c r="AO478" s="10" t="s">
        <v>3</v>
      </c>
      <c r="AP478" s="297"/>
      <c r="AQ478" s="178">
        <v>20</v>
      </c>
      <c r="AR478" s="177"/>
      <c r="AS478" s="222"/>
      <c r="AT478" s="177" t="s">
        <v>89</v>
      </c>
      <c r="AU478" s="177" t="s">
        <v>89</v>
      </c>
      <c r="AV478" s="62"/>
      <c r="AW478" s="173"/>
      <c r="AX478" s="175"/>
      <c r="AY478" s="182"/>
      <c r="AZ478" s="182"/>
      <c r="BA478" s="171"/>
      <c r="BB478" s="180" t="s">
        <v>89</v>
      </c>
      <c r="BC478" s="172"/>
      <c r="BD478" s="172"/>
      <c r="BE478" s="142"/>
      <c r="BF478" s="171"/>
      <c r="BG478" s="56"/>
      <c r="BH478" s="57"/>
      <c r="BI478" s="170"/>
      <c r="BJ478" s="169"/>
      <c r="BK478" s="181"/>
      <c r="BL478" s="36"/>
      <c r="BM478" s="36" t="str">
        <f>IF('[1]V1 V2'!X477="","",'[1]V1 V2'!X477)</f>
        <v/>
      </c>
    </row>
    <row r="479" spans="1:65" ht="16" thickBot="1" x14ac:dyDescent="0.4">
      <c r="A479">
        <v>1</v>
      </c>
      <c r="B479" s="304" t="s">
        <v>1447</v>
      </c>
      <c r="C479" s="305"/>
      <c r="D479" s="306"/>
      <c r="E479" s="36" t="str">
        <f>VLOOKUP($B479,'[1]V1 V2'!$B$5:$BW$1894,74,0)</f>
        <v>C.F.13</v>
      </c>
      <c r="F479" s="168"/>
      <c r="G479" s="169"/>
      <c r="H479" s="170"/>
      <c r="I479" s="57"/>
      <c r="J479" s="56">
        <v>-20</v>
      </c>
      <c r="K479" s="171"/>
      <c r="L479" s="142">
        <v>3.8</v>
      </c>
      <c r="M479" s="172"/>
      <c r="N479" s="173"/>
      <c r="O479" s="174" t="s">
        <v>621</v>
      </c>
      <c r="P479" s="171" t="s">
        <v>597</v>
      </c>
      <c r="Q479" s="176" t="s">
        <v>1448</v>
      </c>
      <c r="R479" s="176" t="s">
        <v>623</v>
      </c>
      <c r="S479" s="175" t="s">
        <v>1188</v>
      </c>
      <c r="T479" s="173" t="s">
        <v>30</v>
      </c>
      <c r="U479" s="62"/>
      <c r="V479" s="177" t="s">
        <v>1449</v>
      </c>
      <c r="W479" s="177" t="s">
        <v>1450</v>
      </c>
      <c r="X479" s="177">
        <v>31151.389000000014</v>
      </c>
      <c r="Y479" s="177">
        <v>3653.6599999999985</v>
      </c>
      <c r="Z479" s="178"/>
      <c r="AA479" s="297" t="s">
        <v>1447</v>
      </c>
      <c r="AB479" s="21" t="s">
        <v>2</v>
      </c>
      <c r="AH479" s="63">
        <v>1</v>
      </c>
      <c r="AO479" s="10" t="s">
        <v>3</v>
      </c>
      <c r="AP479" s="297" t="s">
        <v>1451</v>
      </c>
      <c r="AQ479" s="178"/>
      <c r="AR479" s="177">
        <v>3652.9600000000009</v>
      </c>
      <c r="AS479" s="222">
        <f>AS477-AQ478</f>
        <v>31231.688999999991</v>
      </c>
      <c r="AT479" s="177" t="s">
        <v>1452</v>
      </c>
      <c r="AU479" s="177" t="s">
        <v>1453</v>
      </c>
      <c r="AV479" s="62"/>
      <c r="AW479" s="173" t="s">
        <v>607</v>
      </c>
      <c r="AX479" s="175" t="s">
        <v>1188</v>
      </c>
      <c r="AY479" s="176" t="s">
        <v>623</v>
      </c>
      <c r="AZ479" s="176" t="s">
        <v>1448</v>
      </c>
      <c r="BA479" s="171" t="s">
        <v>597</v>
      </c>
      <c r="BB479" s="180" t="s">
        <v>621</v>
      </c>
      <c r="BC479" s="172" t="s">
        <v>596</v>
      </c>
      <c r="BD479" s="172"/>
      <c r="BE479" s="142">
        <v>3.8</v>
      </c>
      <c r="BF479" s="171"/>
      <c r="BG479" s="56">
        <v>-20</v>
      </c>
      <c r="BH479" s="57">
        <v>0</v>
      </c>
      <c r="BI479" s="170"/>
      <c r="BJ479" s="169"/>
      <c r="BK479" s="181"/>
      <c r="BL479" s="36" t="str">
        <f>VLOOKUP($AP479,'[1]V1 V2'!$B$5:$BW$1894,74,0)</f>
        <v>C.F.13</v>
      </c>
      <c r="BM479" s="36" t="str">
        <f>IF('[1]V1 V2'!X478="","",'[1]V1 V2'!X478)</f>
        <v/>
      </c>
    </row>
    <row r="480" spans="1:65" ht="44" thickBot="1" x14ac:dyDescent="0.4">
      <c r="A480">
        <v>1</v>
      </c>
      <c r="B480" s="227" t="s">
        <v>1454</v>
      </c>
      <c r="C480" s="228"/>
      <c r="D480" s="229"/>
      <c r="E480" s="36">
        <f>VLOOKUP($B480,'[1]V1 V2'!$B$5:$BW$1894,74,0)</f>
        <v>0</v>
      </c>
      <c r="F480" s="184"/>
      <c r="G480" s="185"/>
      <c r="H480" s="186"/>
      <c r="I480" s="136"/>
      <c r="J480" s="135"/>
      <c r="K480" s="187"/>
      <c r="L480" s="224"/>
      <c r="M480" s="172"/>
      <c r="N480" s="189"/>
      <c r="O480" s="190" t="s">
        <v>89</v>
      </c>
      <c r="P480" s="187"/>
      <c r="Q480" s="223"/>
      <c r="R480" s="223"/>
      <c r="S480" s="191"/>
      <c r="T480" s="189"/>
      <c r="U480" s="132"/>
      <c r="V480" s="222"/>
      <c r="W480" s="222"/>
      <c r="X480" s="230"/>
      <c r="Y480" s="222"/>
      <c r="Z480" s="198">
        <v>25</v>
      </c>
      <c r="AA480" s="231" t="s">
        <v>1454</v>
      </c>
      <c r="AB480" s="21" t="s">
        <v>2</v>
      </c>
      <c r="AH480" s="63">
        <v>1</v>
      </c>
      <c r="AO480" s="10" t="s">
        <v>3</v>
      </c>
      <c r="AP480" s="231" t="s">
        <v>1454</v>
      </c>
      <c r="AQ480" s="198">
        <v>25</v>
      </c>
      <c r="AR480" s="222"/>
      <c r="AS480" s="222"/>
      <c r="AT480" s="222"/>
      <c r="AU480" s="222"/>
      <c r="AV480" s="132"/>
      <c r="AW480" s="189"/>
      <c r="AX480" s="191"/>
      <c r="AY480" s="223"/>
      <c r="AZ480" s="223"/>
      <c r="BA480" s="187"/>
      <c r="BB480" s="180" t="s">
        <v>89</v>
      </c>
      <c r="BC480" s="172"/>
      <c r="BD480" s="172"/>
      <c r="BE480" s="224"/>
      <c r="BF480" s="187"/>
      <c r="BG480" s="135"/>
      <c r="BH480" s="136"/>
      <c r="BI480" s="186"/>
      <c r="BJ480" s="185"/>
      <c r="BK480" s="193"/>
      <c r="BL480" s="36">
        <f>VLOOKUP($AP480,'[1]V1 V2'!$B$5:$BW$1894,74,0)</f>
        <v>0</v>
      </c>
      <c r="BM480" s="36" t="str">
        <f>IF('[1]V1 V2'!X479="","",'[1]V1 V2'!X479)</f>
        <v/>
      </c>
    </row>
    <row r="481" spans="1:66" ht="16" thickBot="1" x14ac:dyDescent="0.4">
      <c r="A481">
        <v>1</v>
      </c>
      <c r="B481" s="304" t="s">
        <v>1455</v>
      </c>
      <c r="C481" s="305"/>
      <c r="D481" s="306"/>
      <c r="E481" s="36" t="str">
        <f>VLOOKUP($B481,'[1]V1 V2'!$B$5:$BW$1894,74,0)</f>
        <v>C.F.6</v>
      </c>
      <c r="F481" s="168"/>
      <c r="G481" s="169"/>
      <c r="H481" s="170"/>
      <c r="I481" s="57"/>
      <c r="J481" s="56" t="s">
        <v>127</v>
      </c>
      <c r="K481" s="171"/>
      <c r="L481" s="142">
        <v>3.8</v>
      </c>
      <c r="M481" s="172"/>
      <c r="N481" s="173"/>
      <c r="O481" s="174" t="s">
        <v>621</v>
      </c>
      <c r="P481" s="171" t="s">
        <v>184</v>
      </c>
      <c r="Q481" s="176" t="s">
        <v>957</v>
      </c>
      <c r="R481" s="176" t="s">
        <v>623</v>
      </c>
      <c r="S481" s="175" t="s">
        <v>1267</v>
      </c>
      <c r="T481" s="173" t="s">
        <v>30</v>
      </c>
      <c r="U481" s="62"/>
      <c r="V481" s="177" t="s">
        <v>1456</v>
      </c>
      <c r="W481" s="177" t="s">
        <v>1457</v>
      </c>
      <c r="X481" s="177">
        <v>31126.389000000014</v>
      </c>
      <c r="Y481" s="177">
        <v>3678.6599999999985</v>
      </c>
      <c r="Z481" s="178"/>
      <c r="AA481" s="297" t="s">
        <v>1455</v>
      </c>
      <c r="AB481" s="21" t="s">
        <v>2</v>
      </c>
      <c r="AH481" s="63">
        <v>1</v>
      </c>
      <c r="AO481" s="10" t="s">
        <v>3</v>
      </c>
      <c r="AP481" s="297" t="s">
        <v>1458</v>
      </c>
      <c r="AQ481" s="178"/>
      <c r="AR481" s="177">
        <v>3677.9600000000009</v>
      </c>
      <c r="AS481" s="222">
        <f>AS479-AQ480</f>
        <v>31206.688999999991</v>
      </c>
      <c r="AT481" s="177" t="s">
        <v>1459</v>
      </c>
      <c r="AU481" s="177" t="s">
        <v>1460</v>
      </c>
      <c r="AV481" s="62"/>
      <c r="AW481" s="173" t="s">
        <v>585</v>
      </c>
      <c r="AX481" s="175" t="s">
        <v>1267</v>
      </c>
      <c r="AY481" s="176" t="s">
        <v>623</v>
      </c>
      <c r="AZ481" s="176" t="s">
        <v>957</v>
      </c>
      <c r="BA481" s="171" t="s">
        <v>184</v>
      </c>
      <c r="BB481" s="180" t="s">
        <v>621</v>
      </c>
      <c r="BC481" s="172"/>
      <c r="BD481" s="172"/>
      <c r="BE481" s="142">
        <v>3.8</v>
      </c>
      <c r="BF481" s="171"/>
      <c r="BG481" s="56" t="s">
        <v>127</v>
      </c>
      <c r="BH481" s="57"/>
      <c r="BI481" s="170"/>
      <c r="BJ481" s="169" t="s">
        <v>736</v>
      </c>
      <c r="BK481" s="181"/>
      <c r="BL481" s="36" t="str">
        <f>VLOOKUP($AP481,'[1]V1 V2'!$B$5:$BW$1894,74,0)</f>
        <v>C.F.6</v>
      </c>
      <c r="BM481" s="36" t="str">
        <f>IF('[1]V1 V2'!X480="","",'[1]V1 V2'!X480)</f>
        <v/>
      </c>
      <c r="BN481">
        <v>1</v>
      </c>
    </row>
    <row r="482" spans="1:66" ht="16" thickBot="1" x14ac:dyDescent="0.4">
      <c r="A482">
        <v>1</v>
      </c>
      <c r="B482" s="304"/>
      <c r="C482" s="305"/>
      <c r="D482" s="306"/>
      <c r="E482" s="36"/>
      <c r="F482" s="168"/>
      <c r="G482" s="169"/>
      <c r="H482" s="170"/>
      <c r="I482" s="57"/>
      <c r="J482" s="56"/>
      <c r="K482" s="171"/>
      <c r="L482" s="142"/>
      <c r="M482" s="172"/>
      <c r="N482" s="173"/>
      <c r="O482" s="174" t="s">
        <v>89</v>
      </c>
      <c r="P482" s="171"/>
      <c r="Q482" s="182"/>
      <c r="R482" s="182"/>
      <c r="S482" s="175"/>
      <c r="T482" s="189"/>
      <c r="U482" s="62"/>
      <c r="V482" s="177" t="s">
        <v>89</v>
      </c>
      <c r="W482" s="177" t="s">
        <v>89</v>
      </c>
      <c r="X482" s="230"/>
      <c r="Y482" s="177"/>
      <c r="Z482" s="178">
        <v>17.25</v>
      </c>
      <c r="AA482" s="297"/>
      <c r="AB482" s="21" t="s">
        <v>2</v>
      </c>
      <c r="AC482" s="163"/>
      <c r="AD482" s="163"/>
      <c r="AE482" s="163"/>
      <c r="AF482" s="163"/>
      <c r="AG482" s="163"/>
      <c r="AH482" s="164">
        <v>1</v>
      </c>
      <c r="AI482" s="163"/>
      <c r="AJ482" s="163"/>
      <c r="AK482" s="163"/>
      <c r="AL482" s="163"/>
      <c r="AM482" s="163"/>
      <c r="AN482" s="163"/>
      <c r="AO482" s="10" t="s">
        <v>3</v>
      </c>
      <c r="AP482" s="297"/>
      <c r="AQ482" s="178">
        <v>17.25</v>
      </c>
      <c r="AR482" s="177"/>
      <c r="AS482" s="222"/>
      <c r="AT482" s="177" t="s">
        <v>89</v>
      </c>
      <c r="AU482" s="177" t="s">
        <v>89</v>
      </c>
      <c r="AV482" s="62"/>
      <c r="AW482" s="173"/>
      <c r="AX482" s="175"/>
      <c r="AY482" s="182"/>
      <c r="AZ482" s="182"/>
      <c r="BA482" s="171"/>
      <c r="BB482" s="180" t="s">
        <v>89</v>
      </c>
      <c r="BC482" s="172"/>
      <c r="BD482" s="172"/>
      <c r="BE482" s="142"/>
      <c r="BF482" s="171"/>
      <c r="BG482" s="56"/>
      <c r="BH482" s="57"/>
      <c r="BI482" s="170"/>
      <c r="BJ482" s="169"/>
      <c r="BK482" s="181"/>
      <c r="BL482" s="36"/>
      <c r="BM482" s="36" t="str">
        <f>IF('[1]V1 V2'!X481="","",'[1]V1 V2'!X481)</f>
        <v/>
      </c>
    </row>
    <row r="483" spans="1:66" ht="16" thickBot="1" x14ac:dyDescent="0.4">
      <c r="A483">
        <v>1</v>
      </c>
      <c r="B483" s="304" t="s">
        <v>1461</v>
      </c>
      <c r="C483" s="305"/>
      <c r="D483" s="306"/>
      <c r="E483" s="36" t="str">
        <f>VLOOKUP($B483,'[1]V1 V2'!$B$5:$BW$1894,74,0)</f>
        <v>C.F.2</v>
      </c>
      <c r="F483" s="168"/>
      <c r="G483" s="169"/>
      <c r="H483" s="170"/>
      <c r="I483" s="57"/>
      <c r="J483" s="56">
        <v>-20</v>
      </c>
      <c r="K483" s="171"/>
      <c r="L483" s="142">
        <v>3.8</v>
      </c>
      <c r="M483" s="172"/>
      <c r="N483" s="173"/>
      <c r="O483" s="174" t="s">
        <v>621</v>
      </c>
      <c r="P483" s="171" t="s">
        <v>184</v>
      </c>
      <c r="Q483" s="176" t="s">
        <v>957</v>
      </c>
      <c r="R483" s="176" t="s">
        <v>623</v>
      </c>
      <c r="S483" s="175" t="s">
        <v>1267</v>
      </c>
      <c r="T483" s="173" t="s">
        <v>30</v>
      </c>
      <c r="U483" s="62"/>
      <c r="V483" s="177" t="s">
        <v>1462</v>
      </c>
      <c r="W483" s="177" t="s">
        <v>1463</v>
      </c>
      <c r="X483" s="177">
        <v>31109.139000000014</v>
      </c>
      <c r="Y483" s="177">
        <v>3695.9099999999985</v>
      </c>
      <c r="Z483" s="178"/>
      <c r="AA483" s="297" t="s">
        <v>1461</v>
      </c>
      <c r="AB483" s="21" t="s">
        <v>2</v>
      </c>
      <c r="AC483" s="113"/>
      <c r="AD483" s="113"/>
      <c r="AE483" s="113"/>
      <c r="AF483" s="113"/>
      <c r="AG483" s="113"/>
      <c r="AH483" s="166">
        <f>Y482</f>
        <v>0</v>
      </c>
      <c r="AI483" s="113"/>
      <c r="AJ483" s="113"/>
      <c r="AK483" s="113"/>
      <c r="AL483" s="113"/>
      <c r="AM483" s="113"/>
      <c r="AN483" s="113"/>
      <c r="AO483" s="10" t="s">
        <v>3</v>
      </c>
      <c r="AP483" s="297" t="s">
        <v>1464</v>
      </c>
      <c r="AQ483" s="178"/>
      <c r="AR483" s="177">
        <v>3695.2100000000009</v>
      </c>
      <c r="AS483" s="222">
        <f>AS481-AQ482</f>
        <v>31189.438999999991</v>
      </c>
      <c r="AT483" s="177" t="s">
        <v>1465</v>
      </c>
      <c r="AU483" s="177" t="s">
        <v>1466</v>
      </c>
      <c r="AV483" s="62"/>
      <c r="AW483" s="173" t="s">
        <v>30</v>
      </c>
      <c r="AX483" s="175" t="s">
        <v>1267</v>
      </c>
      <c r="AY483" s="176" t="s">
        <v>623</v>
      </c>
      <c r="AZ483" s="176" t="s">
        <v>957</v>
      </c>
      <c r="BA483" s="171" t="s">
        <v>184</v>
      </c>
      <c r="BB483" s="180" t="s">
        <v>621</v>
      </c>
      <c r="BC483" s="172"/>
      <c r="BD483" s="172"/>
      <c r="BE483" s="142">
        <v>3.8</v>
      </c>
      <c r="BF483" s="171"/>
      <c r="BG483" s="56">
        <v>-20</v>
      </c>
      <c r="BH483" s="57"/>
      <c r="BI483" s="170"/>
      <c r="BJ483" s="169"/>
      <c r="BK483" s="181"/>
      <c r="BL483" s="36" t="str">
        <f>VLOOKUP($AP483,'[1]V1 V2'!$B$5:$BW$1894,74,0)</f>
        <v>C.F.2</v>
      </c>
      <c r="BM483" s="36" t="str">
        <f>IF('[1]V1 V2'!X482="","",'[1]V1 V2'!X482)</f>
        <v/>
      </c>
    </row>
    <row r="484" spans="1:66" ht="16" thickBot="1" x14ac:dyDescent="0.4">
      <c r="A484">
        <v>1</v>
      </c>
      <c r="B484" s="304"/>
      <c r="C484" s="305"/>
      <c r="D484" s="306"/>
      <c r="E484" s="36"/>
      <c r="F484" s="168"/>
      <c r="G484" s="169"/>
      <c r="H484" s="170"/>
      <c r="I484" s="57"/>
      <c r="J484" s="56"/>
      <c r="K484" s="171"/>
      <c r="L484" s="142"/>
      <c r="M484" s="172"/>
      <c r="N484" s="173"/>
      <c r="O484" s="174" t="s">
        <v>89</v>
      </c>
      <c r="P484" s="171"/>
      <c r="Q484" s="182"/>
      <c r="R484" s="182"/>
      <c r="S484" s="175"/>
      <c r="T484" s="189"/>
      <c r="U484" s="62"/>
      <c r="V484" s="177" t="s">
        <v>89</v>
      </c>
      <c r="W484" s="177" t="s">
        <v>89</v>
      </c>
      <c r="X484" s="230"/>
      <c r="Y484" s="177"/>
      <c r="Z484" s="178">
        <v>17.25</v>
      </c>
      <c r="AA484" s="297"/>
      <c r="AB484" s="21" t="s">
        <v>2</v>
      </c>
      <c r="AF484" t="s">
        <v>940</v>
      </c>
      <c r="AH484" s="63">
        <v>1</v>
      </c>
      <c r="AK484" t="s">
        <v>940</v>
      </c>
      <c r="AO484" s="10" t="s">
        <v>3</v>
      </c>
      <c r="AP484" s="297"/>
      <c r="AQ484" s="178">
        <v>17.25</v>
      </c>
      <c r="AR484" s="177"/>
      <c r="AS484" s="222"/>
      <c r="AT484" s="177" t="s">
        <v>89</v>
      </c>
      <c r="AU484" s="177" t="s">
        <v>89</v>
      </c>
      <c r="AV484" s="62"/>
      <c r="AW484" s="173"/>
      <c r="AX484" s="175"/>
      <c r="AY484" s="182"/>
      <c r="AZ484" s="182"/>
      <c r="BA484" s="171"/>
      <c r="BB484" s="180" t="s">
        <v>89</v>
      </c>
      <c r="BC484" s="172"/>
      <c r="BD484" s="172"/>
      <c r="BE484" s="142"/>
      <c r="BF484" s="171"/>
      <c r="BG484" s="56"/>
      <c r="BH484" s="57"/>
      <c r="BI484" s="170"/>
      <c r="BJ484" s="169"/>
      <c r="BK484" s="181"/>
      <c r="BL484" s="36"/>
      <c r="BM484" s="36" t="str">
        <f>IF('[1]V1 V2'!X483="","",'[1]V1 V2'!X483)</f>
        <v/>
      </c>
    </row>
    <row r="485" spans="1:66" ht="16" thickBot="1" x14ac:dyDescent="0.4">
      <c r="A485">
        <v>1</v>
      </c>
      <c r="B485" s="232" t="s">
        <v>1467</v>
      </c>
      <c r="C485" s="233"/>
      <c r="D485" s="382"/>
      <c r="E485" s="36" t="str">
        <f>VLOOKUP($B485,'[1]V1 V2'!$B$5:$BW$1894,74,0)</f>
        <v>C.F.1</v>
      </c>
      <c r="F485" s="184" t="s">
        <v>399</v>
      </c>
      <c r="G485" s="185" t="s">
        <v>400</v>
      </c>
      <c r="H485" s="186"/>
      <c r="I485" s="136"/>
      <c r="J485" s="135" t="s">
        <v>127</v>
      </c>
      <c r="K485" s="187"/>
      <c r="L485" s="224">
        <v>3.8</v>
      </c>
      <c r="M485" s="188"/>
      <c r="N485" s="189"/>
      <c r="O485" s="190" t="s">
        <v>621</v>
      </c>
      <c r="P485" s="187" t="s">
        <v>184</v>
      </c>
      <c r="Q485" s="221" t="s">
        <v>957</v>
      </c>
      <c r="R485" s="221" t="s">
        <v>623</v>
      </c>
      <c r="S485" s="175" t="s">
        <v>1267</v>
      </c>
      <c r="T485" s="189" t="s">
        <v>30</v>
      </c>
      <c r="U485" s="132"/>
      <c r="V485" s="222" t="s">
        <v>1468</v>
      </c>
      <c r="W485" s="222" t="s">
        <v>1469</v>
      </c>
      <c r="X485" s="222">
        <v>31091.889000000014</v>
      </c>
      <c r="Y485" s="222">
        <v>3713.1599999999985</v>
      </c>
      <c r="Z485" s="198"/>
      <c r="AA485" s="238" t="s">
        <v>1467</v>
      </c>
      <c r="AB485" s="21" t="s">
        <v>2</v>
      </c>
      <c r="AH485" s="63">
        <v>1</v>
      </c>
      <c r="AO485" s="10" t="s">
        <v>3</v>
      </c>
      <c r="AP485" s="238" t="s">
        <v>1470</v>
      </c>
      <c r="AQ485" s="198"/>
      <c r="AR485" s="222">
        <v>3712.4600000000009</v>
      </c>
      <c r="AS485" s="222">
        <f>AS483-AQ484</f>
        <v>31172.188999999991</v>
      </c>
      <c r="AT485" s="222" t="s">
        <v>1471</v>
      </c>
      <c r="AU485" s="222" t="s">
        <v>1472</v>
      </c>
      <c r="AV485" s="132"/>
      <c r="AW485" s="189"/>
      <c r="AX485" s="175" t="s">
        <v>1267</v>
      </c>
      <c r="AY485" s="221" t="s">
        <v>623</v>
      </c>
      <c r="AZ485" s="221" t="s">
        <v>957</v>
      </c>
      <c r="BA485" s="187" t="s">
        <v>184</v>
      </c>
      <c r="BB485" s="192" t="s">
        <v>621</v>
      </c>
      <c r="BC485" s="188"/>
      <c r="BD485" s="188"/>
      <c r="BE485" s="224">
        <v>3.8</v>
      </c>
      <c r="BF485" s="187"/>
      <c r="BG485" s="135" t="s">
        <v>127</v>
      </c>
      <c r="BH485" s="136"/>
      <c r="BI485" s="186"/>
      <c r="BJ485" s="185"/>
      <c r="BK485" s="193"/>
      <c r="BL485" s="36" t="str">
        <f>VLOOKUP($AP485,'[1]V1 V2'!$B$5:$BW$1894,74,0)</f>
        <v>C.F.1</v>
      </c>
      <c r="BM485" s="36" t="str">
        <f>IF('[1]V1 V2'!X484="","",'[1]V1 V2'!X484)</f>
        <v/>
      </c>
    </row>
    <row r="486" spans="1:66" ht="16" thickBot="1" x14ac:dyDescent="0.4">
      <c r="A486">
        <v>1</v>
      </c>
      <c r="B486" s="232"/>
      <c r="C486" s="233"/>
      <c r="D486" s="234"/>
      <c r="E486" s="36"/>
      <c r="F486" s="184"/>
      <c r="G486" s="185" t="s">
        <v>948</v>
      </c>
      <c r="H486" s="186"/>
      <c r="I486" s="136"/>
      <c r="J486" s="135"/>
      <c r="K486" s="187"/>
      <c r="L486" s="224"/>
      <c r="M486" s="188"/>
      <c r="N486" s="189"/>
      <c r="O486" s="190" t="s">
        <v>89</v>
      </c>
      <c r="P486" s="187"/>
      <c r="Q486" s="221"/>
      <c r="R486" s="221"/>
      <c r="S486" s="191"/>
      <c r="T486" s="189"/>
      <c r="U486" s="132"/>
      <c r="V486" s="222"/>
      <c r="W486" s="222"/>
      <c r="X486" s="226"/>
      <c r="Y486" s="222"/>
      <c r="Z486" s="198">
        <v>17.25</v>
      </c>
      <c r="AA486" s="238"/>
      <c r="AB486" s="21" t="s">
        <v>2</v>
      </c>
      <c r="AH486" s="63">
        <v>1</v>
      </c>
      <c r="AO486" s="10" t="s">
        <v>3</v>
      </c>
      <c r="AP486" s="238"/>
      <c r="AQ486" s="198">
        <v>17.25</v>
      </c>
      <c r="AR486" s="222"/>
      <c r="AS486" s="222"/>
      <c r="AT486" s="222" t="s">
        <v>89</v>
      </c>
      <c r="AU486" s="222" t="s">
        <v>89</v>
      </c>
      <c r="AV486" s="132"/>
      <c r="AW486" s="189"/>
      <c r="AX486" s="191"/>
      <c r="AY486" s="221"/>
      <c r="AZ486" s="221"/>
      <c r="BA486" s="187"/>
      <c r="BB486" s="192" t="s">
        <v>89</v>
      </c>
      <c r="BC486" s="188"/>
      <c r="BD486" s="188"/>
      <c r="BE486" s="224"/>
      <c r="BF486" s="187"/>
      <c r="BG486" s="135"/>
      <c r="BH486" s="136"/>
      <c r="BI486" s="186"/>
      <c r="BJ486" s="185"/>
      <c r="BK486" s="193"/>
      <c r="BL486" s="36"/>
      <c r="BM486" s="36" t="str">
        <f>IF('[1]V1 V2'!X485="","",'[1]V1 V2'!X485)</f>
        <v/>
      </c>
    </row>
    <row r="487" spans="1:66" ht="16" thickBot="1" x14ac:dyDescent="0.4">
      <c r="A487">
        <v>1</v>
      </c>
      <c r="B487" s="304" t="s">
        <v>1473</v>
      </c>
      <c r="C487" s="305"/>
      <c r="D487" s="306"/>
      <c r="E487" s="36" t="str">
        <f>VLOOKUP($B487,'[1]V1 V2'!$B$5:$BW$1894,74,0)</f>
        <v>C.F.2</v>
      </c>
      <c r="F487" s="184"/>
      <c r="G487" s="185"/>
      <c r="H487" s="186"/>
      <c r="I487" s="57"/>
      <c r="J487" s="56">
        <v>-20</v>
      </c>
      <c r="K487" s="171"/>
      <c r="L487" s="142">
        <v>3.8</v>
      </c>
      <c r="M487" s="172"/>
      <c r="N487" s="173"/>
      <c r="O487" s="174" t="s">
        <v>621</v>
      </c>
      <c r="P487" s="171" t="s">
        <v>184</v>
      </c>
      <c r="Q487" s="176" t="s">
        <v>957</v>
      </c>
      <c r="R487" s="176" t="s">
        <v>623</v>
      </c>
      <c r="S487" s="175" t="s">
        <v>1267</v>
      </c>
      <c r="T487" s="173" t="s">
        <v>30</v>
      </c>
      <c r="U487" s="62"/>
      <c r="V487" s="177" t="s">
        <v>1474</v>
      </c>
      <c r="W487" s="177" t="s">
        <v>1475</v>
      </c>
      <c r="X487" s="177">
        <v>31074.639000000014</v>
      </c>
      <c r="Y487" s="177">
        <v>3730.4099999999985</v>
      </c>
      <c r="Z487" s="178"/>
      <c r="AA487" s="297" t="s">
        <v>1473</v>
      </c>
      <c r="AB487" s="21" t="s">
        <v>2</v>
      </c>
      <c r="AH487" s="63">
        <v>1</v>
      </c>
      <c r="AO487" s="10" t="s">
        <v>3</v>
      </c>
      <c r="AP487" s="297" t="s">
        <v>1476</v>
      </c>
      <c r="AQ487" s="178"/>
      <c r="AR487" s="177">
        <v>3729.7100000000009</v>
      </c>
      <c r="AS487" s="222">
        <f>AS485-AQ486</f>
        <v>31154.938999999991</v>
      </c>
      <c r="AT487" s="177" t="s">
        <v>1477</v>
      </c>
      <c r="AU487" s="177" t="s">
        <v>1478</v>
      </c>
      <c r="AV487" s="62"/>
      <c r="AW487" s="173" t="s">
        <v>30</v>
      </c>
      <c r="AX487" s="175" t="s">
        <v>1267</v>
      </c>
      <c r="AY487" s="176" t="s">
        <v>623</v>
      </c>
      <c r="AZ487" s="176" t="s">
        <v>957</v>
      </c>
      <c r="BA487" s="171" t="s">
        <v>184</v>
      </c>
      <c r="BB487" s="180" t="s">
        <v>621</v>
      </c>
      <c r="BC487" s="172"/>
      <c r="BD487" s="172"/>
      <c r="BE487" s="142">
        <v>3.8</v>
      </c>
      <c r="BF487" s="171"/>
      <c r="BG487" s="56">
        <v>-20</v>
      </c>
      <c r="BH487" s="57"/>
      <c r="BI487" s="170"/>
      <c r="BJ487" s="169"/>
      <c r="BK487" s="181"/>
      <c r="BL487" s="36" t="str">
        <f>VLOOKUP($AP487,'[1]V1 V2'!$B$5:$BW$1894,74,0)</f>
        <v>C.F.2</v>
      </c>
      <c r="BM487" s="36" t="str">
        <f>IF('[1]V1 V2'!X486="","",'[1]V1 V2'!X486)</f>
        <v/>
      </c>
    </row>
    <row r="488" spans="1:66" ht="44" thickBot="1" x14ac:dyDescent="0.4">
      <c r="A488">
        <v>1</v>
      </c>
      <c r="B488" s="383" t="s">
        <v>1479</v>
      </c>
      <c r="C488" s="384"/>
      <c r="D488" s="331" t="s">
        <v>1480</v>
      </c>
      <c r="E488" s="36">
        <f>VLOOKUP($B488,'[1]V1 V2'!$B$5:$BW$1894,74,0)</f>
        <v>0</v>
      </c>
      <c r="F488" s="168"/>
      <c r="G488" s="169"/>
      <c r="H488" s="170"/>
      <c r="I488" s="57"/>
      <c r="J488" s="56"/>
      <c r="K488" s="171"/>
      <c r="L488" s="142"/>
      <c r="M488" s="172"/>
      <c r="N488" s="173"/>
      <c r="O488" s="174" t="s">
        <v>89</v>
      </c>
      <c r="P488" s="171"/>
      <c r="Q488" s="182"/>
      <c r="R488" s="182"/>
      <c r="S488" s="175"/>
      <c r="T488" s="173"/>
      <c r="U488" s="62"/>
      <c r="V488" s="177"/>
      <c r="W488" s="177"/>
      <c r="X488" s="230"/>
      <c r="Y488" s="177"/>
      <c r="Z488" s="178">
        <v>24.6</v>
      </c>
      <c r="AA488" s="385" t="s">
        <v>1479</v>
      </c>
      <c r="AB488" s="21" t="s">
        <v>2</v>
      </c>
      <c r="AH488" s="63">
        <v>1</v>
      </c>
      <c r="AO488" s="10" t="s">
        <v>3</v>
      </c>
      <c r="AP488" s="231" t="s">
        <v>1479</v>
      </c>
      <c r="AQ488" s="178">
        <v>24.6</v>
      </c>
      <c r="AR488" s="177"/>
      <c r="AS488" s="222"/>
      <c r="AT488" s="177"/>
      <c r="AU488" s="177"/>
      <c r="AV488" s="62"/>
      <c r="AW488" s="173"/>
      <c r="AX488" s="175"/>
      <c r="AY488" s="182"/>
      <c r="AZ488" s="182"/>
      <c r="BA488" s="171"/>
      <c r="BB488" s="180" t="s">
        <v>89</v>
      </c>
      <c r="BC488" s="172"/>
      <c r="BD488" s="172"/>
      <c r="BE488" s="142"/>
      <c r="BF488" s="171"/>
      <c r="BG488" s="56"/>
      <c r="BH488" s="57"/>
      <c r="BI488" s="170"/>
      <c r="BJ488" s="169"/>
      <c r="BK488" s="181"/>
      <c r="BL488" s="36">
        <f>VLOOKUP($AP488,'[1]V1 V2'!$B$5:$BW$1894,74,0)</f>
        <v>0</v>
      </c>
      <c r="BM488" s="308" t="str">
        <f>IF('[1]V1 V2'!X487="","",'[1]V1 V2'!X487)</f>
        <v>3PEAD D63mm ou 1PEAD D125mm + D40mm</v>
      </c>
    </row>
    <row r="489" spans="1:66" ht="16" thickBot="1" x14ac:dyDescent="0.4">
      <c r="A489">
        <v>1</v>
      </c>
      <c r="B489" s="203" t="s">
        <v>1481</v>
      </c>
      <c r="C489" s="204"/>
      <c r="D489" s="309" t="s">
        <v>392</v>
      </c>
      <c r="E489" s="36" t="str">
        <f>VLOOKUP($B489,'[1]V1 V2'!$B$5:$BW$1894,74,0)</f>
        <v>C.F.22</v>
      </c>
      <c r="F489" s="206" t="s">
        <v>399</v>
      </c>
      <c r="G489" s="207" t="s">
        <v>400</v>
      </c>
      <c r="H489" s="386"/>
      <c r="I489" s="118"/>
      <c r="J489" s="117">
        <v>-20</v>
      </c>
      <c r="K489" s="208"/>
      <c r="L489" s="209">
        <v>3.8</v>
      </c>
      <c r="M489" s="210"/>
      <c r="N489" s="211"/>
      <c r="O489" s="212" t="s">
        <v>621</v>
      </c>
      <c r="P489" s="213" t="s">
        <v>661</v>
      </c>
      <c r="Q489" s="387" t="s">
        <v>639</v>
      </c>
      <c r="R489" s="387" t="s">
        <v>623</v>
      </c>
      <c r="S489" s="213" t="s">
        <v>1203</v>
      </c>
      <c r="T489" s="211" t="s">
        <v>30</v>
      </c>
      <c r="U489" s="108"/>
      <c r="V489" s="108" t="s">
        <v>1482</v>
      </c>
      <c r="W489" s="215" t="s">
        <v>1483</v>
      </c>
      <c r="X489" s="215">
        <v>31050.039000000015</v>
      </c>
      <c r="Y489" s="215">
        <v>3755.0099999999984</v>
      </c>
      <c r="Z489" s="216"/>
      <c r="AA489" s="217" t="s">
        <v>1481</v>
      </c>
      <c r="AB489" s="21" t="s">
        <v>2</v>
      </c>
      <c r="AH489" s="63">
        <v>1</v>
      </c>
      <c r="AO489" s="10" t="s">
        <v>3</v>
      </c>
      <c r="AP489" s="217" t="s">
        <v>1484</v>
      </c>
      <c r="AQ489" s="216"/>
      <c r="AR489" s="215">
        <v>3754.3100000000009</v>
      </c>
      <c r="AS489" s="215">
        <f>AS487-AQ488</f>
        <v>31130.338999999993</v>
      </c>
      <c r="AT489" s="215" t="s">
        <v>1485</v>
      </c>
      <c r="AU489" s="215" t="s">
        <v>1486</v>
      </c>
      <c r="AV489" s="108"/>
      <c r="AW489" s="211" t="s">
        <v>30</v>
      </c>
      <c r="AX489" s="213" t="s">
        <v>1203</v>
      </c>
      <c r="AY489" s="387" t="s">
        <v>623</v>
      </c>
      <c r="AZ489" s="387" t="s">
        <v>639</v>
      </c>
      <c r="BA489" s="388" t="s">
        <v>661</v>
      </c>
      <c r="BB489" s="218" t="s">
        <v>621</v>
      </c>
      <c r="BC489" s="210"/>
      <c r="BD489" s="210"/>
      <c r="BE489" s="209">
        <v>3.8</v>
      </c>
      <c r="BF489" s="208"/>
      <c r="BG489" s="117">
        <v>-20</v>
      </c>
      <c r="BH489" s="118"/>
      <c r="BI489" s="386"/>
      <c r="BJ489" s="207" t="s">
        <v>400</v>
      </c>
      <c r="BK489" s="220" t="s">
        <v>399</v>
      </c>
      <c r="BL489" s="36" t="str">
        <f>VLOOKUP($AP489,'[1]V1 V2'!$B$5:$BW$1894,74,0)</f>
        <v>C.F.22</v>
      </c>
      <c r="BM489" s="202" t="str">
        <f>IF('[1]V1 V2'!X488="","",'[1]V1 V2'!X488)</f>
        <v>FA</v>
      </c>
    </row>
    <row r="490" spans="1:66" ht="16" thickBot="1" x14ac:dyDescent="0.4">
      <c r="A490">
        <v>1</v>
      </c>
      <c r="B490" s="304"/>
      <c r="C490" s="305"/>
      <c r="D490" s="307" t="s">
        <v>991</v>
      </c>
      <c r="E490" s="36"/>
      <c r="F490" s="206"/>
      <c r="G490" s="207" t="s">
        <v>948</v>
      </c>
      <c r="H490" s="170"/>
      <c r="I490" s="57"/>
      <c r="J490" s="56"/>
      <c r="K490" s="171"/>
      <c r="L490" s="142"/>
      <c r="M490" s="172"/>
      <c r="N490" s="173"/>
      <c r="O490" s="174" t="s">
        <v>89</v>
      </c>
      <c r="P490" s="171"/>
      <c r="Q490" s="182"/>
      <c r="R490" s="182"/>
      <c r="S490" s="175"/>
      <c r="T490" s="173"/>
      <c r="U490" s="62"/>
      <c r="V490" s="177" t="s">
        <v>89</v>
      </c>
      <c r="W490" s="177" t="s">
        <v>89</v>
      </c>
      <c r="X490" s="230"/>
      <c r="Y490" s="177"/>
      <c r="Z490" s="178">
        <v>18.2</v>
      </c>
      <c r="AA490" s="297"/>
      <c r="AB490" s="21" t="s">
        <v>2</v>
      </c>
      <c r="AC490" s="163"/>
      <c r="AD490" s="163"/>
      <c r="AE490" s="163"/>
      <c r="AF490" s="163"/>
      <c r="AG490" s="163"/>
      <c r="AH490" s="164">
        <v>1</v>
      </c>
      <c r="AI490" s="163"/>
      <c r="AJ490" s="163"/>
      <c r="AK490" s="163"/>
      <c r="AL490" s="163"/>
      <c r="AM490" s="163"/>
      <c r="AN490" s="163"/>
      <c r="AO490" s="10" t="s">
        <v>3</v>
      </c>
      <c r="AP490" s="297"/>
      <c r="AQ490" s="178">
        <v>18.2</v>
      </c>
      <c r="AR490" s="177"/>
      <c r="AS490" s="222"/>
      <c r="AT490" s="177" t="s">
        <v>89</v>
      </c>
      <c r="AU490" s="177" t="s">
        <v>89</v>
      </c>
      <c r="AV490" s="62"/>
      <c r="AW490" s="173"/>
      <c r="AX490" s="175"/>
      <c r="AY490" s="182"/>
      <c r="AZ490" s="182"/>
      <c r="BA490" s="171"/>
      <c r="BB490" s="180" t="s">
        <v>89</v>
      </c>
      <c r="BC490" s="172"/>
      <c r="BD490" s="172"/>
      <c r="BE490" s="142"/>
      <c r="BF490" s="171"/>
      <c r="BG490" s="56"/>
      <c r="BH490" s="57"/>
      <c r="BI490" s="170"/>
      <c r="BJ490" s="207" t="s">
        <v>948</v>
      </c>
      <c r="BK490" s="220"/>
      <c r="BL490" s="36"/>
      <c r="BM490" s="308" t="str">
        <f>IF('[1]V1 V2'!X489="","",'[1]V1 V2'!X489)</f>
        <v xml:space="preserve">3PEAD D63mm ou 1PEAD D125mm </v>
      </c>
    </row>
    <row r="491" spans="1:66" ht="16" thickBot="1" x14ac:dyDescent="0.4">
      <c r="A491">
        <v>1</v>
      </c>
      <c r="B491" s="304" t="s">
        <v>1487</v>
      </c>
      <c r="C491" s="305"/>
      <c r="D491" s="306"/>
      <c r="E491" s="36" t="str">
        <f>VLOOKUP($B491,'[1]V1 V2'!$B$5:$BW$1894,74,0)</f>
        <v>C.F.5.A</v>
      </c>
      <c r="F491" s="168"/>
      <c r="G491" s="169"/>
      <c r="H491" s="170"/>
      <c r="I491" s="57"/>
      <c r="J491" s="56">
        <v>-20</v>
      </c>
      <c r="K491" s="171"/>
      <c r="L491" s="142">
        <v>3.8</v>
      </c>
      <c r="M491" s="172"/>
      <c r="N491" s="173"/>
      <c r="O491" s="174" t="s">
        <v>596</v>
      </c>
      <c r="P491" s="191" t="s">
        <v>661</v>
      </c>
      <c r="Q491" s="176" t="s">
        <v>639</v>
      </c>
      <c r="R491" s="176" t="s">
        <v>623</v>
      </c>
      <c r="S491" s="175" t="s">
        <v>1188</v>
      </c>
      <c r="T491" s="173" t="s">
        <v>30</v>
      </c>
      <c r="U491" s="62" t="s">
        <v>48</v>
      </c>
      <c r="V491" s="177" t="s">
        <v>1488</v>
      </c>
      <c r="W491" s="177" t="s">
        <v>1489</v>
      </c>
      <c r="X491" s="177">
        <v>31031.839000000014</v>
      </c>
      <c r="Y491" s="177">
        <v>3773.2099999999982</v>
      </c>
      <c r="Z491" s="178"/>
      <c r="AA491" s="297" t="s">
        <v>1487</v>
      </c>
      <c r="AB491" s="21" t="s">
        <v>2</v>
      </c>
      <c r="AC491" s="113"/>
      <c r="AD491" s="113"/>
      <c r="AE491" s="113"/>
      <c r="AF491" s="113"/>
      <c r="AG491" s="113"/>
      <c r="AH491" s="166">
        <f>Y490</f>
        <v>0</v>
      </c>
      <c r="AI491" s="113"/>
      <c r="AJ491" s="113"/>
      <c r="AK491" s="113"/>
      <c r="AL491" s="113"/>
      <c r="AM491" s="113"/>
      <c r="AN491" s="113"/>
      <c r="AO491" s="10" t="s">
        <v>3</v>
      </c>
      <c r="AP491" s="297" t="s">
        <v>1490</v>
      </c>
      <c r="AQ491" s="178"/>
      <c r="AR491" s="177">
        <v>3772.5100000000007</v>
      </c>
      <c r="AS491" s="222">
        <f>AS489-AQ490</f>
        <v>31112.138999999992</v>
      </c>
      <c r="AT491" s="177" t="s">
        <v>1491</v>
      </c>
      <c r="AU491" s="177" t="s">
        <v>1492</v>
      </c>
      <c r="AV491" s="62" t="s">
        <v>48</v>
      </c>
      <c r="AW491" s="173" t="s">
        <v>30</v>
      </c>
      <c r="AX491" s="175" t="s">
        <v>1188</v>
      </c>
      <c r="AY491" s="176" t="s">
        <v>623</v>
      </c>
      <c r="AZ491" s="176" t="s">
        <v>639</v>
      </c>
      <c r="BA491" s="240" t="s">
        <v>661</v>
      </c>
      <c r="BB491" s="180" t="s">
        <v>596</v>
      </c>
      <c r="BC491" s="172"/>
      <c r="BD491" s="172"/>
      <c r="BE491" s="142">
        <v>3.8</v>
      </c>
      <c r="BF491" s="171"/>
      <c r="BG491" s="56">
        <v>-20</v>
      </c>
      <c r="BH491" s="57"/>
      <c r="BI491" s="170"/>
      <c r="BJ491" s="169"/>
      <c r="BK491" s="181"/>
      <c r="BL491" s="36" t="str">
        <f>VLOOKUP($AP491,'[1]V1 V2'!$B$5:$BW$1894,74,0)</f>
        <v>C.F.5.A</v>
      </c>
      <c r="BM491" s="36" t="str">
        <f>IF('[1]V1 V2'!X490="","",'[1]V1 V2'!X490)</f>
        <v/>
      </c>
    </row>
    <row r="492" spans="1:66" ht="29.5" thickBot="1" x14ac:dyDescent="0.4">
      <c r="A492">
        <v>1</v>
      </c>
      <c r="B492" s="227" t="s">
        <v>1493</v>
      </c>
      <c r="C492" s="228"/>
      <c r="D492" s="229"/>
      <c r="E492" s="36">
        <f>VLOOKUP($B492,'[1]V1 V2'!$B$5:$BW$1894,74,0)</f>
        <v>0</v>
      </c>
      <c r="F492" s="184"/>
      <c r="G492" s="185"/>
      <c r="H492" s="186"/>
      <c r="I492" s="57"/>
      <c r="J492" s="56"/>
      <c r="K492" s="187"/>
      <c r="L492" s="224"/>
      <c r="M492" s="188"/>
      <c r="N492" s="189"/>
      <c r="O492" s="190" t="s">
        <v>89</v>
      </c>
      <c r="P492" s="187"/>
      <c r="Q492" s="223"/>
      <c r="R492" s="223"/>
      <c r="S492" s="191"/>
      <c r="T492" s="173"/>
      <c r="U492" s="132"/>
      <c r="V492" s="222"/>
      <c r="W492" s="222"/>
      <c r="X492" s="230"/>
      <c r="Y492" s="222"/>
      <c r="Z492" s="198">
        <v>20</v>
      </c>
      <c r="AA492" s="231" t="s">
        <v>1493</v>
      </c>
      <c r="AB492" s="21" t="s">
        <v>2</v>
      </c>
      <c r="AH492" s="63">
        <v>1</v>
      </c>
      <c r="AO492" s="10" t="s">
        <v>3</v>
      </c>
      <c r="AP492" s="231" t="s">
        <v>1493</v>
      </c>
      <c r="AQ492" s="198">
        <v>19.600000000000001</v>
      </c>
      <c r="AR492" s="222"/>
      <c r="AS492" s="222"/>
      <c r="AT492" s="222"/>
      <c r="AU492" s="222"/>
      <c r="AV492" s="132"/>
      <c r="AW492" s="189"/>
      <c r="AX492" s="191"/>
      <c r="AY492" s="223"/>
      <c r="AZ492" s="223"/>
      <c r="BA492" s="171"/>
      <c r="BB492" s="192" t="s">
        <v>89</v>
      </c>
      <c r="BC492" s="188"/>
      <c r="BD492" s="188"/>
      <c r="BE492" s="224"/>
      <c r="BF492" s="171"/>
      <c r="BG492" s="56"/>
      <c r="BH492" s="57"/>
      <c r="BI492" s="170"/>
      <c r="BJ492" s="169"/>
      <c r="BK492" s="193"/>
      <c r="BL492" s="36">
        <f>VLOOKUP($AP492,'[1]V1 V2'!$B$5:$BW$1894,74,0)</f>
        <v>0</v>
      </c>
      <c r="BM492" s="36" t="str">
        <f>IF('[1]V1 V2'!X491="","",'[1]V1 V2'!X491)</f>
        <v/>
      </c>
    </row>
    <row r="493" spans="1:66" ht="16" thickBot="1" x14ac:dyDescent="0.4">
      <c r="A493">
        <v>1</v>
      </c>
      <c r="B493" s="304" t="s">
        <v>1494</v>
      </c>
      <c r="C493" s="305"/>
      <c r="D493" s="306"/>
      <c r="E493" s="36" t="str">
        <f>VLOOKUP($B493,'[1]V1 V2'!$B$5:$BW$1894,74,0)</f>
        <v>C.F.5.A</v>
      </c>
      <c r="F493" s="168"/>
      <c r="G493" s="169"/>
      <c r="H493" s="170"/>
      <c r="I493" s="57"/>
      <c r="J493" s="56">
        <v>-20</v>
      </c>
      <c r="K493" s="171"/>
      <c r="L493" s="142">
        <v>3.8</v>
      </c>
      <c r="M493" s="172"/>
      <c r="N493" s="173"/>
      <c r="O493" s="174" t="s">
        <v>596</v>
      </c>
      <c r="P493" s="171" t="s">
        <v>597</v>
      </c>
      <c r="Q493" s="176" t="s">
        <v>1448</v>
      </c>
      <c r="R493" s="176" t="s">
        <v>623</v>
      </c>
      <c r="S493" s="175" t="s">
        <v>1495</v>
      </c>
      <c r="T493" s="173" t="s">
        <v>30</v>
      </c>
      <c r="U493" s="62">
        <v>135</v>
      </c>
      <c r="V493" s="177" t="s">
        <v>1496</v>
      </c>
      <c r="W493" s="177" t="s">
        <v>1497</v>
      </c>
      <c r="X493" s="177">
        <v>31011.839000000014</v>
      </c>
      <c r="Y493" s="177">
        <v>3793.2099999999982</v>
      </c>
      <c r="Z493" s="178"/>
      <c r="AA493" s="297" t="s">
        <v>1494</v>
      </c>
      <c r="AB493" s="21" t="s">
        <v>2</v>
      </c>
      <c r="AF493" t="s">
        <v>940</v>
      </c>
      <c r="AH493" s="63">
        <v>1</v>
      </c>
      <c r="AJ493" t="s">
        <v>940</v>
      </c>
      <c r="AO493" s="10" t="s">
        <v>3</v>
      </c>
      <c r="AP493" s="297" t="s">
        <v>1498</v>
      </c>
      <c r="AQ493" s="178"/>
      <c r="AR493" s="177">
        <v>3792.1100000000006</v>
      </c>
      <c r="AS493" s="222">
        <f>AS491-AQ492</f>
        <v>31092.538999999993</v>
      </c>
      <c r="AT493" s="177" t="s">
        <v>1499</v>
      </c>
      <c r="AU493" s="177" t="s">
        <v>1500</v>
      </c>
      <c r="AV493" s="62">
        <v>135</v>
      </c>
      <c r="AW493" s="173" t="s">
        <v>30</v>
      </c>
      <c r="AX493" s="175" t="s">
        <v>1495</v>
      </c>
      <c r="AY493" s="176" t="s">
        <v>623</v>
      </c>
      <c r="AZ493" s="176" t="s">
        <v>1448</v>
      </c>
      <c r="BA493" s="171" t="s">
        <v>597</v>
      </c>
      <c r="BB493" s="180" t="s">
        <v>596</v>
      </c>
      <c r="BC493" s="172"/>
      <c r="BD493" s="172"/>
      <c r="BE493" s="142">
        <v>3.8</v>
      </c>
      <c r="BF493" s="171"/>
      <c r="BG493" s="56">
        <v>-20</v>
      </c>
      <c r="BH493" s="57"/>
      <c r="BI493" s="170"/>
      <c r="BJ493" s="169"/>
      <c r="BK493" s="181"/>
      <c r="BL493" s="36" t="str">
        <f>VLOOKUP($AP493,'[1]V1 V2'!$B$5:$BW$1894,74,0)</f>
        <v>C.F.5.A</v>
      </c>
      <c r="BM493" s="36" t="str">
        <f>IF('[1]V1 V2'!X492="","",'[1]V1 V2'!X492)</f>
        <v/>
      </c>
    </row>
    <row r="494" spans="1:66" ht="16" thickBot="1" x14ac:dyDescent="0.4">
      <c r="A494">
        <v>1</v>
      </c>
      <c r="B494" s="304"/>
      <c r="C494" s="305"/>
      <c r="D494" s="306"/>
      <c r="E494" s="36"/>
      <c r="F494" s="168"/>
      <c r="G494" s="169"/>
      <c r="H494" s="170"/>
      <c r="I494" s="57"/>
      <c r="J494" s="56"/>
      <c r="K494" s="171"/>
      <c r="L494" s="142"/>
      <c r="M494" s="172"/>
      <c r="N494" s="173"/>
      <c r="O494" s="174" t="s">
        <v>89</v>
      </c>
      <c r="P494" s="171"/>
      <c r="Q494" s="182"/>
      <c r="R494" s="223"/>
      <c r="S494" s="175"/>
      <c r="T494" s="173"/>
      <c r="U494" s="62"/>
      <c r="V494" s="177" t="s">
        <v>89</v>
      </c>
      <c r="W494" s="177" t="s">
        <v>89</v>
      </c>
      <c r="X494" s="230"/>
      <c r="Y494" s="177"/>
      <c r="Z494" s="178">
        <v>20</v>
      </c>
      <c r="AA494" s="297"/>
      <c r="AB494" s="21" t="s">
        <v>2</v>
      </c>
      <c r="AH494" s="63">
        <v>1</v>
      </c>
      <c r="AO494" s="10" t="s">
        <v>3</v>
      </c>
      <c r="AP494" s="297"/>
      <c r="AQ494" s="198">
        <v>19.600000000000001</v>
      </c>
      <c r="AR494" s="177"/>
      <c r="AS494" s="222"/>
      <c r="AT494" s="177" t="s">
        <v>89</v>
      </c>
      <c r="AU494" s="177" t="s">
        <v>89</v>
      </c>
      <c r="AV494" s="62"/>
      <c r="AW494" s="173"/>
      <c r="AX494" s="175"/>
      <c r="AY494" s="223"/>
      <c r="AZ494" s="182"/>
      <c r="BA494" s="171"/>
      <c r="BB494" s="180" t="s">
        <v>89</v>
      </c>
      <c r="BC494" s="172"/>
      <c r="BD494" s="172"/>
      <c r="BE494" s="142"/>
      <c r="BF494" s="171"/>
      <c r="BG494" s="56"/>
      <c r="BH494" s="57"/>
      <c r="BI494" s="170"/>
      <c r="BJ494" s="169"/>
      <c r="BK494" s="181"/>
      <c r="BL494" s="36"/>
      <c r="BM494" s="36" t="str">
        <f>IF('[1]V1 V2'!X493="","",'[1]V1 V2'!X493)</f>
        <v/>
      </c>
    </row>
    <row r="495" spans="1:66" ht="16" thickBot="1" x14ac:dyDescent="0.4">
      <c r="A495">
        <v>1</v>
      </c>
      <c r="B495" s="304" t="s">
        <v>1501</v>
      </c>
      <c r="C495" s="305"/>
      <c r="D495" s="306"/>
      <c r="E495" s="36" t="str">
        <f>VLOOKUP($B495,'[1]V1 V2'!$B$5:$BW$1894,74,0)</f>
        <v>C.F.5.A</v>
      </c>
      <c r="F495" s="168"/>
      <c r="G495" s="169"/>
      <c r="H495" s="170"/>
      <c r="I495" s="57"/>
      <c r="J495" s="56">
        <v>-20</v>
      </c>
      <c r="K495" s="171"/>
      <c r="L495" s="224">
        <v>4</v>
      </c>
      <c r="M495" s="172"/>
      <c r="N495" s="173"/>
      <c r="O495" s="174" t="s">
        <v>596</v>
      </c>
      <c r="P495" s="171" t="s">
        <v>597</v>
      </c>
      <c r="Q495" s="176" t="s">
        <v>1448</v>
      </c>
      <c r="R495" s="176" t="s">
        <v>623</v>
      </c>
      <c r="S495" s="175" t="s">
        <v>1495</v>
      </c>
      <c r="T495" s="173" t="s">
        <v>30</v>
      </c>
      <c r="U495" s="62">
        <v>135</v>
      </c>
      <c r="V495" s="177" t="s">
        <v>1502</v>
      </c>
      <c r="W495" s="177" t="s">
        <v>1503</v>
      </c>
      <c r="X495" s="177">
        <v>30991.839000000014</v>
      </c>
      <c r="Y495" s="177">
        <v>3813.2099999999982</v>
      </c>
      <c r="Z495" s="178"/>
      <c r="AA495" s="297" t="s">
        <v>1501</v>
      </c>
      <c r="AB495" s="21" t="s">
        <v>2</v>
      </c>
      <c r="AH495" s="63">
        <v>1</v>
      </c>
      <c r="AO495" s="10" t="s">
        <v>3</v>
      </c>
      <c r="AP495" s="297" t="s">
        <v>1504</v>
      </c>
      <c r="AQ495" s="178"/>
      <c r="AR495" s="177">
        <v>3811.7100000000005</v>
      </c>
      <c r="AS495" s="222">
        <f>AS493-AQ494</f>
        <v>31072.938999999995</v>
      </c>
      <c r="AT495" s="177" t="s">
        <v>1505</v>
      </c>
      <c r="AU495" s="177" t="s">
        <v>1506</v>
      </c>
      <c r="AV495" s="62">
        <v>135</v>
      </c>
      <c r="AW495" s="173" t="s">
        <v>30</v>
      </c>
      <c r="AX495" s="175" t="s">
        <v>1495</v>
      </c>
      <c r="AY495" s="176" t="s">
        <v>623</v>
      </c>
      <c r="AZ495" s="176" t="s">
        <v>1448</v>
      </c>
      <c r="BA495" s="171" t="s">
        <v>597</v>
      </c>
      <c r="BB495" s="180" t="s">
        <v>596</v>
      </c>
      <c r="BC495" s="172"/>
      <c r="BD495" s="172"/>
      <c r="BE495" s="224">
        <v>4</v>
      </c>
      <c r="BF495" s="171"/>
      <c r="BG495" s="56">
        <v>-20</v>
      </c>
      <c r="BH495" s="57"/>
      <c r="BI495" s="170"/>
      <c r="BJ495" s="169"/>
      <c r="BK495" s="181"/>
      <c r="BL495" s="36" t="str">
        <f>VLOOKUP($AP495,'[1]V1 V2'!$B$5:$BW$1894,74,0)</f>
        <v>C.F.5.A</v>
      </c>
      <c r="BM495" s="36" t="str">
        <f>IF('[1]V1 V2'!X494="","",'[1]V1 V2'!X494)</f>
        <v/>
      </c>
    </row>
    <row r="496" spans="1:66" ht="16" thickBot="1" x14ac:dyDescent="0.4">
      <c r="A496">
        <v>1</v>
      </c>
      <c r="B496" s="304"/>
      <c r="C496" s="305"/>
      <c r="D496" s="306"/>
      <c r="E496" s="36"/>
      <c r="F496" s="168"/>
      <c r="G496" s="169"/>
      <c r="H496" s="170"/>
      <c r="I496" s="57"/>
      <c r="J496" s="56"/>
      <c r="K496" s="171"/>
      <c r="L496" s="142"/>
      <c r="M496" s="172"/>
      <c r="N496" s="173"/>
      <c r="O496" s="174" t="s">
        <v>89</v>
      </c>
      <c r="P496" s="171"/>
      <c r="Q496" s="182"/>
      <c r="R496" s="223"/>
      <c r="S496" s="191"/>
      <c r="T496" s="173"/>
      <c r="U496" s="62"/>
      <c r="V496" s="177" t="s">
        <v>89</v>
      </c>
      <c r="W496" s="177" t="s">
        <v>89</v>
      </c>
      <c r="X496" s="230"/>
      <c r="Y496" s="177"/>
      <c r="Z496" s="178">
        <v>20</v>
      </c>
      <c r="AA496" s="297"/>
      <c r="AB496" s="21" t="s">
        <v>2</v>
      </c>
      <c r="AH496" s="63">
        <v>1</v>
      </c>
      <c r="AO496" s="10" t="s">
        <v>3</v>
      </c>
      <c r="AP496" s="297"/>
      <c r="AQ496" s="198">
        <v>19.600000000000001</v>
      </c>
      <c r="AR496" s="177"/>
      <c r="AS496" s="222"/>
      <c r="AT496" s="177" t="s">
        <v>89</v>
      </c>
      <c r="AU496" s="177" t="s">
        <v>89</v>
      </c>
      <c r="AV496" s="62"/>
      <c r="AW496" s="173"/>
      <c r="AX496" s="191"/>
      <c r="AY496" s="223"/>
      <c r="AZ496" s="182"/>
      <c r="BA496" s="171"/>
      <c r="BB496" s="180" t="s">
        <v>89</v>
      </c>
      <c r="BC496" s="172"/>
      <c r="BD496" s="172"/>
      <c r="BE496" s="142"/>
      <c r="BF496" s="171"/>
      <c r="BG496" s="56"/>
      <c r="BH496" s="57"/>
      <c r="BI496" s="170"/>
      <c r="BJ496" s="169"/>
      <c r="BK496" s="181"/>
      <c r="BL496" s="36"/>
      <c r="BM496" s="36" t="str">
        <f>IF('[1]V1 V2'!X495="","",'[1]V1 V2'!X495)</f>
        <v/>
      </c>
    </row>
    <row r="497" spans="1:65" ht="16" thickBot="1" x14ac:dyDescent="0.4">
      <c r="A497">
        <v>1</v>
      </c>
      <c r="B497" s="304" t="s">
        <v>1507</v>
      </c>
      <c r="C497" s="305"/>
      <c r="D497" s="306"/>
      <c r="E497" s="36" t="str">
        <f>VLOOKUP($B497,'[1]V1 V2'!$B$5:$BW$1894,74,0)</f>
        <v>C.F.5.A</v>
      </c>
      <c r="F497" s="168"/>
      <c r="G497" s="169"/>
      <c r="H497" s="170"/>
      <c r="I497" s="57"/>
      <c r="J497" s="56">
        <v>-20</v>
      </c>
      <c r="K497" s="171"/>
      <c r="L497" s="224">
        <v>4.4000000000000004</v>
      </c>
      <c r="M497" s="172"/>
      <c r="N497" s="173"/>
      <c r="O497" s="174" t="s">
        <v>596</v>
      </c>
      <c r="P497" s="171" t="s">
        <v>597</v>
      </c>
      <c r="Q497" s="176" t="s">
        <v>1448</v>
      </c>
      <c r="R497" s="176" t="s">
        <v>623</v>
      </c>
      <c r="S497" s="175" t="s">
        <v>1495</v>
      </c>
      <c r="T497" s="173" t="s">
        <v>30</v>
      </c>
      <c r="U497" s="62">
        <v>135</v>
      </c>
      <c r="V497" s="177" t="s">
        <v>1508</v>
      </c>
      <c r="W497" s="177" t="s">
        <v>1509</v>
      </c>
      <c r="X497" s="177">
        <v>30971.839000000014</v>
      </c>
      <c r="Y497" s="177">
        <v>3833.2099999999982</v>
      </c>
      <c r="Z497" s="178"/>
      <c r="AA497" s="297" t="s">
        <v>1507</v>
      </c>
      <c r="AB497" s="21" t="s">
        <v>2</v>
      </c>
      <c r="AH497" s="63">
        <v>1</v>
      </c>
      <c r="AO497" s="10" t="s">
        <v>3</v>
      </c>
      <c r="AP497" s="297" t="s">
        <v>1510</v>
      </c>
      <c r="AQ497" s="178"/>
      <c r="AR497" s="177">
        <v>3831.3100000000004</v>
      </c>
      <c r="AS497" s="222">
        <f>AS495-AQ496</f>
        <v>31053.338999999996</v>
      </c>
      <c r="AT497" s="177" t="s">
        <v>1511</v>
      </c>
      <c r="AU497" s="177" t="s">
        <v>1512</v>
      </c>
      <c r="AV497" s="62">
        <v>135</v>
      </c>
      <c r="AW497" s="173" t="s">
        <v>30</v>
      </c>
      <c r="AX497" s="175" t="s">
        <v>1495</v>
      </c>
      <c r="AY497" s="176" t="s">
        <v>623</v>
      </c>
      <c r="AZ497" s="176" t="s">
        <v>1448</v>
      </c>
      <c r="BA497" s="171" t="s">
        <v>597</v>
      </c>
      <c r="BB497" s="180" t="s">
        <v>596</v>
      </c>
      <c r="BC497" s="172"/>
      <c r="BD497" s="172"/>
      <c r="BE497" s="224">
        <v>4.4000000000000004</v>
      </c>
      <c r="BF497" s="171"/>
      <c r="BG497" s="56">
        <v>-20</v>
      </c>
      <c r="BH497" s="57"/>
      <c r="BI497" s="170"/>
      <c r="BJ497" s="169"/>
      <c r="BK497" s="181"/>
      <c r="BL497" s="36" t="str">
        <f>VLOOKUP($AP497,'[1]V1 V2'!$B$5:$BW$1894,74,0)</f>
        <v>C.F.5.A</v>
      </c>
      <c r="BM497" s="36" t="str">
        <f>IF('[1]V1 V2'!X496="","",'[1]V1 V2'!X496)</f>
        <v/>
      </c>
    </row>
    <row r="498" spans="1:65" ht="16" thickBot="1" x14ac:dyDescent="0.4">
      <c r="A498">
        <v>1</v>
      </c>
      <c r="B498" s="304"/>
      <c r="C498" s="305"/>
      <c r="D498" s="306"/>
      <c r="E498" s="36"/>
      <c r="F498" s="168"/>
      <c r="G498" s="169"/>
      <c r="H498" s="170"/>
      <c r="I498" s="57"/>
      <c r="J498" s="56"/>
      <c r="K498" s="171"/>
      <c r="L498" s="142"/>
      <c r="M498" s="172"/>
      <c r="N498" s="173"/>
      <c r="O498" s="174" t="s">
        <v>89</v>
      </c>
      <c r="P498" s="171"/>
      <c r="Q498" s="182"/>
      <c r="R498" s="223"/>
      <c r="S498" s="175"/>
      <c r="T498" s="173"/>
      <c r="U498" s="62"/>
      <c r="V498" s="177" t="s">
        <v>89</v>
      </c>
      <c r="W498" s="177" t="s">
        <v>89</v>
      </c>
      <c r="X498" s="230"/>
      <c r="Y498" s="177"/>
      <c r="Z498" s="178">
        <v>20</v>
      </c>
      <c r="AA498" s="297"/>
      <c r="AB498" s="21" t="s">
        <v>2</v>
      </c>
      <c r="AH498" s="63">
        <v>1</v>
      </c>
      <c r="AO498" s="10" t="s">
        <v>3</v>
      </c>
      <c r="AP498" s="297"/>
      <c r="AQ498" s="198">
        <v>19.600000000000001</v>
      </c>
      <c r="AR498" s="177"/>
      <c r="AS498" s="222"/>
      <c r="AT498" s="177" t="s">
        <v>89</v>
      </c>
      <c r="AU498" s="177" t="s">
        <v>89</v>
      </c>
      <c r="AV498" s="62"/>
      <c r="AW498" s="173"/>
      <c r="AX498" s="175"/>
      <c r="AY498" s="223"/>
      <c r="AZ498" s="182"/>
      <c r="BA498" s="171"/>
      <c r="BB498" s="180" t="s">
        <v>89</v>
      </c>
      <c r="BC498" s="172"/>
      <c r="BD498" s="172"/>
      <c r="BE498" s="142"/>
      <c r="BF498" s="171"/>
      <c r="BG498" s="56"/>
      <c r="BH498" s="57"/>
      <c r="BI498" s="170"/>
      <c r="BJ498" s="169"/>
      <c r="BK498" s="181"/>
      <c r="BL498" s="36"/>
      <c r="BM498" s="36" t="str">
        <f>IF('[1]V1 V2'!X497="","",'[1]V1 V2'!X497)</f>
        <v/>
      </c>
    </row>
    <row r="499" spans="1:65" ht="16" thickBot="1" x14ac:dyDescent="0.4">
      <c r="A499">
        <v>1</v>
      </c>
      <c r="B499" s="232" t="s">
        <v>1513</v>
      </c>
      <c r="C499" s="233"/>
      <c r="D499" s="234"/>
      <c r="E499" s="36" t="str">
        <f>VLOOKUP($B499,'[1]V1 V2'!$B$5:$BW$1894,74,0)</f>
        <v>C.F.5.A</v>
      </c>
      <c r="F499" s="168"/>
      <c r="G499" s="169"/>
      <c r="H499" s="170"/>
      <c r="I499" s="57"/>
      <c r="J499" s="56">
        <v>-20</v>
      </c>
      <c r="K499" s="171"/>
      <c r="L499" s="224">
        <v>4.8600000000000003</v>
      </c>
      <c r="M499" s="172"/>
      <c r="N499" s="173"/>
      <c r="O499" s="174" t="s">
        <v>596</v>
      </c>
      <c r="P499" s="191" t="s">
        <v>661</v>
      </c>
      <c r="Q499" s="221" t="s">
        <v>639</v>
      </c>
      <c r="R499" s="176" t="s">
        <v>623</v>
      </c>
      <c r="S499" s="175" t="s">
        <v>1514</v>
      </c>
      <c r="T499" s="173" t="s">
        <v>30</v>
      </c>
      <c r="U499" s="62">
        <v>135</v>
      </c>
      <c r="V499" s="177" t="s">
        <v>1515</v>
      </c>
      <c r="W499" s="177" t="s">
        <v>1516</v>
      </c>
      <c r="X499" s="177">
        <v>30951.839000000014</v>
      </c>
      <c r="Y499" s="177">
        <v>3853.2099999999982</v>
      </c>
      <c r="Z499" s="178"/>
      <c r="AA499" s="238" t="s">
        <v>1513</v>
      </c>
      <c r="AB499" s="21" t="s">
        <v>2</v>
      </c>
      <c r="AH499" s="63">
        <v>1</v>
      </c>
      <c r="AO499" s="10" t="s">
        <v>3</v>
      </c>
      <c r="AP499" s="297" t="s">
        <v>1517</v>
      </c>
      <c r="AQ499" s="178"/>
      <c r="AR499" s="177">
        <v>3850.9100000000003</v>
      </c>
      <c r="AS499" s="222">
        <f>AS497-AQ498</f>
        <v>31033.738999999998</v>
      </c>
      <c r="AT499" s="177" t="s">
        <v>1518</v>
      </c>
      <c r="AU499" s="177" t="s">
        <v>1519</v>
      </c>
      <c r="AV499" s="62">
        <v>135</v>
      </c>
      <c r="AW499" s="173" t="s">
        <v>30</v>
      </c>
      <c r="AX499" s="175" t="s">
        <v>1514</v>
      </c>
      <c r="AY499" s="176" t="s">
        <v>623</v>
      </c>
      <c r="AZ499" s="221" t="s">
        <v>639</v>
      </c>
      <c r="BA499" s="240" t="s">
        <v>661</v>
      </c>
      <c r="BB499" s="180" t="s">
        <v>596</v>
      </c>
      <c r="BC499" s="172"/>
      <c r="BD499" s="172"/>
      <c r="BE499" s="224">
        <v>4.8600000000000003</v>
      </c>
      <c r="BF499" s="171"/>
      <c r="BG499" s="56">
        <v>-20</v>
      </c>
      <c r="BH499" s="57"/>
      <c r="BI499" s="170"/>
      <c r="BJ499" s="169"/>
      <c r="BK499" s="181"/>
      <c r="BL499" s="36" t="str">
        <f>VLOOKUP($AP499,'[1]V1 V2'!$B$5:$BW$1894,74,0)</f>
        <v>C.F.5.A</v>
      </c>
      <c r="BM499" s="36" t="str">
        <f>IF('[1]V1 V2'!X498="","",'[1]V1 V2'!X498)</f>
        <v/>
      </c>
    </row>
    <row r="500" spans="1:65" ht="29.5" thickBot="1" x14ac:dyDescent="0.4">
      <c r="A500">
        <v>1</v>
      </c>
      <c r="B500" s="227" t="s">
        <v>1520</v>
      </c>
      <c r="C500" s="228"/>
      <c r="D500" s="229"/>
      <c r="E500" s="36">
        <f>VLOOKUP($B500,'[1]V1 V2'!$B$5:$BW$1894,74,0)</f>
        <v>0</v>
      </c>
      <c r="F500" s="184"/>
      <c r="G500" s="185"/>
      <c r="H500" s="186"/>
      <c r="I500" s="136"/>
      <c r="J500" s="135"/>
      <c r="K500" s="187"/>
      <c r="L500" s="224"/>
      <c r="M500" s="188"/>
      <c r="N500" s="189"/>
      <c r="O500" s="190" t="s">
        <v>89</v>
      </c>
      <c r="P500" s="187"/>
      <c r="Q500" s="223"/>
      <c r="R500" s="223"/>
      <c r="S500" s="191"/>
      <c r="T500" s="189"/>
      <c r="U500" s="132"/>
      <c r="V500" s="177"/>
      <c r="W500" s="177"/>
      <c r="X500" s="230"/>
      <c r="Y500" s="177"/>
      <c r="Z500" s="178">
        <v>17.399999999999999</v>
      </c>
      <c r="AA500" s="231" t="s">
        <v>1520</v>
      </c>
      <c r="AB500" s="21" t="s">
        <v>2</v>
      </c>
      <c r="AH500" s="63">
        <v>1</v>
      </c>
      <c r="AO500" s="10" t="s">
        <v>3</v>
      </c>
      <c r="AP500" s="231" t="s">
        <v>1520</v>
      </c>
      <c r="AQ500" s="198">
        <v>17.100000000000001</v>
      </c>
      <c r="AR500" s="222"/>
      <c r="AS500" s="222"/>
      <c r="AT500" s="222"/>
      <c r="AU500" s="222"/>
      <c r="AV500" s="132"/>
      <c r="AW500" s="189"/>
      <c r="AX500" s="191"/>
      <c r="AY500" s="223"/>
      <c r="AZ500" s="223"/>
      <c r="BA500" s="187"/>
      <c r="BB500" s="192" t="s">
        <v>89</v>
      </c>
      <c r="BC500" s="188"/>
      <c r="BD500" s="188"/>
      <c r="BE500" s="224"/>
      <c r="BF500" s="187"/>
      <c r="BG500" s="135"/>
      <c r="BH500" s="136"/>
      <c r="BI500" s="186"/>
      <c r="BJ500" s="185"/>
      <c r="BK500" s="193"/>
      <c r="BL500" s="36">
        <f>VLOOKUP($AP500,'[1]V1 V2'!$B$5:$BW$1894,74,0)</f>
        <v>0</v>
      </c>
      <c r="BM500" s="36" t="str">
        <f>IF('[1]V1 V2'!X499="","",'[1]V1 V2'!X499)</f>
        <v/>
      </c>
    </row>
    <row r="501" spans="1:65" ht="16" thickBot="1" x14ac:dyDescent="0.4">
      <c r="A501">
        <v>1</v>
      </c>
      <c r="B501" s="232" t="s">
        <v>1521</v>
      </c>
      <c r="C501" s="233"/>
      <c r="D501" s="234"/>
      <c r="E501" s="36" t="str">
        <f>VLOOKUP($B501,'[1]V1 V2'!$B$5:$BW$1894,74,0)</f>
        <v>C.F.5.A</v>
      </c>
      <c r="F501" s="168"/>
      <c r="G501" s="169"/>
      <c r="H501" s="170"/>
      <c r="I501" s="57"/>
      <c r="J501" s="56">
        <v>-20</v>
      </c>
      <c r="K501" s="171"/>
      <c r="L501" s="224">
        <v>5.24</v>
      </c>
      <c r="M501" s="172"/>
      <c r="N501" s="173"/>
      <c r="O501" s="174" t="s">
        <v>596</v>
      </c>
      <c r="P501" s="191" t="s">
        <v>661</v>
      </c>
      <c r="Q501" s="176" t="s">
        <v>639</v>
      </c>
      <c r="R501" s="176" t="s">
        <v>623</v>
      </c>
      <c r="S501" s="175" t="s">
        <v>1032</v>
      </c>
      <c r="T501" s="173" t="s">
        <v>30</v>
      </c>
      <c r="U501" s="62">
        <v>135</v>
      </c>
      <c r="V501" s="230" t="s">
        <v>1522</v>
      </c>
      <c r="W501" s="230" t="s">
        <v>1523</v>
      </c>
      <c r="X501" s="177">
        <v>30934.439000000013</v>
      </c>
      <c r="Y501" s="177">
        <v>3870.6099999999983</v>
      </c>
      <c r="Z501" s="178"/>
      <c r="AA501" s="238" t="s">
        <v>1521</v>
      </c>
      <c r="AB501" s="21" t="s">
        <v>2</v>
      </c>
      <c r="AH501" s="63">
        <v>1</v>
      </c>
      <c r="AO501" s="10" t="s">
        <v>3</v>
      </c>
      <c r="AP501" s="297" t="s">
        <v>1524</v>
      </c>
      <c r="AQ501" s="178"/>
      <c r="AR501" s="177">
        <v>3868.01</v>
      </c>
      <c r="AS501" s="222">
        <f>AS499-AQ500</f>
        <v>31016.638999999999</v>
      </c>
      <c r="AT501" s="230" t="s">
        <v>1525</v>
      </c>
      <c r="AU501" s="230" t="s">
        <v>1526</v>
      </c>
      <c r="AV501" s="62">
        <v>135</v>
      </c>
      <c r="AW501" s="173" t="s">
        <v>30</v>
      </c>
      <c r="AX501" s="175" t="s">
        <v>1032</v>
      </c>
      <c r="AY501" s="176" t="s">
        <v>623</v>
      </c>
      <c r="AZ501" s="176" t="s">
        <v>639</v>
      </c>
      <c r="BA501" s="240" t="s">
        <v>661</v>
      </c>
      <c r="BB501" s="180" t="s">
        <v>596</v>
      </c>
      <c r="BC501" s="172"/>
      <c r="BD501" s="172"/>
      <c r="BE501" s="224">
        <v>5.25</v>
      </c>
      <c r="BF501" s="171"/>
      <c r="BG501" s="56">
        <v>-20</v>
      </c>
      <c r="BH501" s="57"/>
      <c r="BI501" s="170"/>
      <c r="BJ501" s="169"/>
      <c r="BK501" s="181"/>
      <c r="BL501" s="36" t="str">
        <f>VLOOKUP($AP501,'[1]V1 V2'!$B$5:$BW$1894,74,0)</f>
        <v>C.F.5.A</v>
      </c>
      <c r="BM501" s="36" t="str">
        <f>IF('[1]V1 V2'!X500="","",'[1]V1 V2'!X500)</f>
        <v/>
      </c>
    </row>
    <row r="502" spans="1:65" ht="16" thickBot="1" x14ac:dyDescent="0.4">
      <c r="A502">
        <v>1</v>
      </c>
      <c r="B502" s="304"/>
      <c r="C502" s="305"/>
      <c r="D502" s="306"/>
      <c r="E502" s="36"/>
      <c r="F502" s="168"/>
      <c r="G502" s="169"/>
      <c r="H502" s="170"/>
      <c r="I502" s="57"/>
      <c r="J502" s="56"/>
      <c r="K502" s="171"/>
      <c r="L502" s="142"/>
      <c r="M502" s="172"/>
      <c r="N502" s="173"/>
      <c r="O502" s="174" t="s">
        <v>89</v>
      </c>
      <c r="P502" s="171"/>
      <c r="Q502" s="182"/>
      <c r="R502" s="223"/>
      <c r="S502" s="175"/>
      <c r="T502" s="173"/>
      <c r="U502" s="62"/>
      <c r="V502" s="230" t="s">
        <v>89</v>
      </c>
      <c r="W502" s="230" t="s">
        <v>89</v>
      </c>
      <c r="X502" s="230"/>
      <c r="Y502" s="177"/>
      <c r="Z502" s="178">
        <v>15.2</v>
      </c>
      <c r="AA502" s="297"/>
      <c r="AB502" s="21" t="s">
        <v>2</v>
      </c>
      <c r="AH502" s="63">
        <v>1</v>
      </c>
      <c r="AO502" s="10" t="s">
        <v>3</v>
      </c>
      <c r="AP502" s="297"/>
      <c r="AQ502" s="178">
        <v>13.8</v>
      </c>
      <c r="AR502" s="177"/>
      <c r="AS502" s="222"/>
      <c r="AT502" s="230" t="s">
        <v>89</v>
      </c>
      <c r="AU502" s="230" t="s">
        <v>89</v>
      </c>
      <c r="AV502" s="62"/>
      <c r="AW502" s="173"/>
      <c r="AX502" s="175"/>
      <c r="AY502" s="223"/>
      <c r="AZ502" s="182"/>
      <c r="BA502" s="171"/>
      <c r="BB502" s="180" t="s">
        <v>89</v>
      </c>
      <c r="BC502" s="172"/>
      <c r="BD502" s="172"/>
      <c r="BE502" s="142"/>
      <c r="BF502" s="171"/>
      <c r="BG502" s="56"/>
      <c r="BH502" s="57"/>
      <c r="BI502" s="170"/>
      <c r="BJ502" s="169"/>
      <c r="BK502" s="181"/>
      <c r="BL502" s="36"/>
      <c r="BM502" s="36" t="str">
        <f>IF('[1]V1 V2'!X501="","",'[1]V1 V2'!X501)</f>
        <v/>
      </c>
    </row>
    <row r="503" spans="1:65" ht="16" thickBot="1" x14ac:dyDescent="0.4">
      <c r="A503">
        <v>1</v>
      </c>
      <c r="B503" s="304" t="s">
        <v>1527</v>
      </c>
      <c r="C503" s="305"/>
      <c r="D503" s="306"/>
      <c r="E503" s="36" t="str">
        <f>VLOOKUP($B503,'[1]V1 V2'!$B$5:$BW$1894,74,0)</f>
        <v>C.F.5.A</v>
      </c>
      <c r="F503" s="168"/>
      <c r="G503" s="169"/>
      <c r="H503" s="170"/>
      <c r="I503" s="57"/>
      <c r="J503" s="56">
        <v>-20</v>
      </c>
      <c r="K503" s="171"/>
      <c r="L503" s="224">
        <v>5.4</v>
      </c>
      <c r="M503" s="172"/>
      <c r="N503" s="173"/>
      <c r="O503" s="174" t="s">
        <v>596</v>
      </c>
      <c r="P503" s="191" t="s">
        <v>661</v>
      </c>
      <c r="Q503" s="176" t="s">
        <v>639</v>
      </c>
      <c r="R503" s="176" t="s">
        <v>623</v>
      </c>
      <c r="S503" s="175" t="s">
        <v>1528</v>
      </c>
      <c r="T503" s="173" t="s">
        <v>30</v>
      </c>
      <c r="U503" s="62">
        <v>135</v>
      </c>
      <c r="V503" s="230" t="s">
        <v>1529</v>
      </c>
      <c r="W503" s="230" t="s">
        <v>1530</v>
      </c>
      <c r="X503" s="177">
        <v>30919.239000000012</v>
      </c>
      <c r="Y503" s="177">
        <v>3885.8099999999981</v>
      </c>
      <c r="Z503" s="178"/>
      <c r="AA503" s="297" t="s">
        <v>1527</v>
      </c>
      <c r="AB503" s="21" t="s">
        <v>2</v>
      </c>
      <c r="AH503" s="63">
        <v>1</v>
      </c>
      <c r="AO503" s="10" t="s">
        <v>3</v>
      </c>
      <c r="AP503" s="297" t="s">
        <v>1531</v>
      </c>
      <c r="AQ503" s="178"/>
      <c r="AR503" s="177">
        <v>3881.8100000000004</v>
      </c>
      <c r="AS503" s="222">
        <f>AS501-AQ502</f>
        <v>31002.839</v>
      </c>
      <c r="AT503" s="230" t="s">
        <v>1532</v>
      </c>
      <c r="AU503" s="230" t="s">
        <v>1533</v>
      </c>
      <c r="AV503" s="62">
        <v>135</v>
      </c>
      <c r="AW503" s="173" t="s">
        <v>30</v>
      </c>
      <c r="AX503" s="175" t="s">
        <v>985</v>
      </c>
      <c r="AY503" s="176" t="s">
        <v>623</v>
      </c>
      <c r="AZ503" s="176" t="s">
        <v>639</v>
      </c>
      <c r="BA503" s="240" t="s">
        <v>661</v>
      </c>
      <c r="BB503" s="180" t="s">
        <v>596</v>
      </c>
      <c r="BC503" s="172"/>
      <c r="BD503" s="172"/>
      <c r="BE503" s="224">
        <v>5.4</v>
      </c>
      <c r="BF503" s="171"/>
      <c r="BG503" s="56">
        <v>-20</v>
      </c>
      <c r="BH503" s="57"/>
      <c r="BI503" s="170"/>
      <c r="BJ503" s="169"/>
      <c r="BK503" s="181"/>
      <c r="BL503" s="36" t="str">
        <f>VLOOKUP($AP503,'[1]V1 V2'!$B$5:$BW$1894,74,0)</f>
        <v>C.F.5.A</v>
      </c>
      <c r="BM503" s="36" t="str">
        <f>IF('[1]V1 V2'!X502="","",'[1]V1 V2'!X502)</f>
        <v/>
      </c>
    </row>
    <row r="504" spans="1:65" ht="58.5" thickBot="1" x14ac:dyDescent="0.4">
      <c r="A504">
        <v>1</v>
      </c>
      <c r="B504" s="227" t="s">
        <v>1534</v>
      </c>
      <c r="C504" s="228"/>
      <c r="D504" s="331" t="s">
        <v>720</v>
      </c>
      <c r="E504" s="36">
        <f>VLOOKUP($B504,'[1]V1 V2'!$B$5:$BW$1894,74,0)</f>
        <v>0</v>
      </c>
      <c r="F504" s="168"/>
      <c r="G504" s="169"/>
      <c r="H504" s="170"/>
      <c r="I504" s="57"/>
      <c r="J504" s="56"/>
      <c r="K504" s="171"/>
      <c r="L504" s="142"/>
      <c r="M504" s="172"/>
      <c r="N504" s="173"/>
      <c r="O504" s="174" t="s">
        <v>89</v>
      </c>
      <c r="P504" s="171"/>
      <c r="Q504" s="176"/>
      <c r="R504" s="223"/>
      <c r="S504" s="191"/>
      <c r="T504" s="173"/>
      <c r="U504" s="62"/>
      <c r="V504" s="230"/>
      <c r="W504" s="230"/>
      <c r="X504" s="226"/>
      <c r="Y504" s="222"/>
      <c r="Z504" s="198">
        <v>19.8</v>
      </c>
      <c r="AA504" s="231" t="s">
        <v>1534</v>
      </c>
      <c r="AB504" s="21" t="s">
        <v>2</v>
      </c>
      <c r="AH504" s="63">
        <v>1</v>
      </c>
      <c r="AO504" s="10" t="s">
        <v>3</v>
      </c>
      <c r="AP504" s="231" t="s">
        <v>1534</v>
      </c>
      <c r="AQ504" s="178">
        <v>20.2</v>
      </c>
      <c r="AR504" s="177"/>
      <c r="AS504" s="222"/>
      <c r="AT504" s="230"/>
      <c r="AU504" s="230"/>
      <c r="AV504" s="62"/>
      <c r="AW504" s="173"/>
      <c r="AX504" s="191"/>
      <c r="AY504" s="223"/>
      <c r="AZ504" s="176"/>
      <c r="BA504" s="171"/>
      <c r="BB504" s="180" t="s">
        <v>89</v>
      </c>
      <c r="BC504" s="172"/>
      <c r="BD504" s="172"/>
      <c r="BE504" s="142"/>
      <c r="BF504" s="171"/>
      <c r="BG504" s="56"/>
      <c r="BH504" s="57"/>
      <c r="BI504" s="170"/>
      <c r="BJ504" s="169"/>
      <c r="BK504" s="181"/>
      <c r="BL504" s="36">
        <f>VLOOKUP($AP504,'[1]V1 V2'!$B$5:$BW$1894,74,0)</f>
        <v>0</v>
      </c>
      <c r="BM504" s="308" t="str">
        <f>IF('[1]V1 V2'!X503="","",'[1]V1 V2'!X503)</f>
        <v>1PEAD D110mm ou 2PEAD D63mm+ 1PEAD 32mm</v>
      </c>
    </row>
    <row r="505" spans="1:65" ht="16" thickBot="1" x14ac:dyDescent="0.4">
      <c r="A505">
        <v>1</v>
      </c>
      <c r="B505" s="304" t="s">
        <v>1535</v>
      </c>
      <c r="C505" s="305"/>
      <c r="D505" s="309" t="s">
        <v>722</v>
      </c>
      <c r="E505" s="36" t="str">
        <f>VLOOKUP($B505,'[1]V1 V2'!$B$5:$BW$1894,74,0)</f>
        <v>C.F.27</v>
      </c>
      <c r="F505" s="168"/>
      <c r="G505" s="169"/>
      <c r="H505" s="170"/>
      <c r="I505" s="57"/>
      <c r="J505" s="56">
        <v>-20</v>
      </c>
      <c r="K505" s="171"/>
      <c r="L505" s="224">
        <v>5.4</v>
      </c>
      <c r="M505" s="172"/>
      <c r="N505" s="173"/>
      <c r="O505" s="174" t="s">
        <v>596</v>
      </c>
      <c r="P505" s="191" t="s">
        <v>661</v>
      </c>
      <c r="Q505" s="176" t="s">
        <v>639</v>
      </c>
      <c r="R505" s="176" t="s">
        <v>623</v>
      </c>
      <c r="S505" s="175" t="s">
        <v>1032</v>
      </c>
      <c r="T505" s="173" t="s">
        <v>30</v>
      </c>
      <c r="U505" s="62">
        <v>135</v>
      </c>
      <c r="V505" s="230" t="s">
        <v>1536</v>
      </c>
      <c r="W505" s="230" t="s">
        <v>1537</v>
      </c>
      <c r="X505" s="222">
        <v>30899.439000000013</v>
      </c>
      <c r="Y505" s="222">
        <v>3905.6099999999983</v>
      </c>
      <c r="Z505" s="198"/>
      <c r="AA505" s="297" t="s">
        <v>1535</v>
      </c>
      <c r="AB505" s="21" t="s">
        <v>2</v>
      </c>
      <c r="AH505" s="63">
        <v>1</v>
      </c>
      <c r="AO505" s="10" t="s">
        <v>3</v>
      </c>
      <c r="AP505" s="297" t="s">
        <v>1538</v>
      </c>
      <c r="AQ505" s="178"/>
      <c r="AR505" s="177">
        <v>3902.01</v>
      </c>
      <c r="AS505" s="222">
        <f>AS503-AQ504</f>
        <v>30982.638999999999</v>
      </c>
      <c r="AT505" s="230" t="s">
        <v>1539</v>
      </c>
      <c r="AU505" s="230" t="s">
        <v>1540</v>
      </c>
      <c r="AV505" s="62">
        <v>135</v>
      </c>
      <c r="AW505" s="173" t="s">
        <v>30</v>
      </c>
      <c r="AX505" s="175" t="s">
        <v>1032</v>
      </c>
      <c r="AY505" s="176" t="s">
        <v>623</v>
      </c>
      <c r="AZ505" s="176" t="s">
        <v>639</v>
      </c>
      <c r="BA505" s="240" t="s">
        <v>661</v>
      </c>
      <c r="BB505" s="180" t="s">
        <v>596</v>
      </c>
      <c r="BC505" s="172"/>
      <c r="BD505" s="172"/>
      <c r="BE505" s="224">
        <v>5.4</v>
      </c>
      <c r="BF505" s="171"/>
      <c r="BG505" s="56">
        <v>-20</v>
      </c>
      <c r="BH505" s="57"/>
      <c r="BI505" s="170"/>
      <c r="BJ505" s="169"/>
      <c r="BK505" s="181"/>
      <c r="BL505" s="36" t="str">
        <f>VLOOKUP($AP505,'[1]V1 V2'!$B$5:$BW$1894,74,0)</f>
        <v>C.F.27</v>
      </c>
      <c r="BM505" s="202" t="str">
        <f>IF('[1]V1 V2'!X504="","",'[1]V1 V2'!X504)</f>
        <v>FR</v>
      </c>
    </row>
    <row r="506" spans="1:65" ht="16" thickBot="1" x14ac:dyDescent="0.4">
      <c r="A506">
        <v>1</v>
      </c>
      <c r="B506" s="304"/>
      <c r="C506" s="305"/>
      <c r="D506" s="307" t="s">
        <v>728</v>
      </c>
      <c r="E506" s="36"/>
      <c r="F506" s="168"/>
      <c r="G506" s="169"/>
      <c r="H506" s="170"/>
      <c r="I506" s="57"/>
      <c r="J506" s="56"/>
      <c r="K506" s="171"/>
      <c r="L506" s="142"/>
      <c r="M506" s="172"/>
      <c r="N506" s="173"/>
      <c r="O506" s="174" t="s">
        <v>89</v>
      </c>
      <c r="P506" s="171"/>
      <c r="Q506" s="176"/>
      <c r="R506" s="223"/>
      <c r="S506" s="175"/>
      <c r="T506" s="173"/>
      <c r="U506" s="62"/>
      <c r="V506" s="230" t="s">
        <v>89</v>
      </c>
      <c r="W506" s="230" t="s">
        <v>89</v>
      </c>
      <c r="X506" s="226"/>
      <c r="Y506" s="222"/>
      <c r="Z506" s="198">
        <v>20.399999999999999</v>
      </c>
      <c r="AA506" s="297"/>
      <c r="AB506" s="21" t="s">
        <v>2</v>
      </c>
      <c r="AH506" s="63">
        <v>1</v>
      </c>
      <c r="AO506" s="10" t="s">
        <v>3</v>
      </c>
      <c r="AP506" s="297"/>
      <c r="AQ506" s="178">
        <v>19.8</v>
      </c>
      <c r="AR506" s="177"/>
      <c r="AS506" s="222"/>
      <c r="AT506" s="177" t="s">
        <v>89</v>
      </c>
      <c r="AU506" s="177" t="s">
        <v>89</v>
      </c>
      <c r="AV506" s="62"/>
      <c r="AW506" s="173"/>
      <c r="AX506" s="175"/>
      <c r="AY506" s="223"/>
      <c r="AZ506" s="176"/>
      <c r="BA506" s="171"/>
      <c r="BB506" s="180" t="s">
        <v>89</v>
      </c>
      <c r="BC506" s="172"/>
      <c r="BD506" s="172"/>
      <c r="BE506" s="142"/>
      <c r="BF506" s="171"/>
      <c r="BG506" s="56"/>
      <c r="BH506" s="57"/>
      <c r="BI506" s="170"/>
      <c r="BJ506" s="169"/>
      <c r="BK506" s="181"/>
      <c r="BL506" s="36"/>
      <c r="BM506" s="308" t="str">
        <f>IF('[1]V1 V2'!X505="","",'[1]V1 V2'!X505)</f>
        <v>1PEAD D110mm ou 2PEAD D63mm</v>
      </c>
    </row>
    <row r="507" spans="1:65" ht="16" thickBot="1" x14ac:dyDescent="0.4">
      <c r="A507">
        <v>1</v>
      </c>
      <c r="B507" s="304" t="s">
        <v>1541</v>
      </c>
      <c r="C507" s="305"/>
      <c r="D507" s="306"/>
      <c r="E507" s="36" t="str">
        <f>VLOOKUP($B507,'[1]V1 V2'!$B$5:$BW$1894,74,0)</f>
        <v>C.F.5.A</v>
      </c>
      <c r="F507" s="168"/>
      <c r="G507" s="169"/>
      <c r="H507" s="170"/>
      <c r="I507" s="57"/>
      <c r="J507" s="56">
        <v>-20</v>
      </c>
      <c r="K507" s="171"/>
      <c r="L507" s="224">
        <v>5.2</v>
      </c>
      <c r="M507" s="172"/>
      <c r="N507" s="173"/>
      <c r="O507" s="174" t="s">
        <v>596</v>
      </c>
      <c r="P507" s="191" t="s">
        <v>661</v>
      </c>
      <c r="Q507" s="176" t="s">
        <v>639</v>
      </c>
      <c r="R507" s="176" t="s">
        <v>623</v>
      </c>
      <c r="S507" s="191" t="s">
        <v>993</v>
      </c>
      <c r="T507" s="173" t="s">
        <v>30</v>
      </c>
      <c r="U507" s="62" t="s">
        <v>48</v>
      </c>
      <c r="V507" s="230" t="s">
        <v>1542</v>
      </c>
      <c r="W507" s="230" t="s">
        <v>1543</v>
      </c>
      <c r="X507" s="222">
        <v>30879.039000000012</v>
      </c>
      <c r="Y507" s="222">
        <v>3926</v>
      </c>
      <c r="Z507" s="198"/>
      <c r="AA507" s="297" t="s">
        <v>1541</v>
      </c>
      <c r="AB507" s="21" t="s">
        <v>2</v>
      </c>
      <c r="AH507" s="63">
        <v>1</v>
      </c>
      <c r="AO507" s="10" t="s">
        <v>3</v>
      </c>
      <c r="AP507" s="297" t="s">
        <v>1544</v>
      </c>
      <c r="AQ507" s="178"/>
      <c r="AR507" s="177">
        <v>3921.8100000000004</v>
      </c>
      <c r="AS507" s="222">
        <f>AS505-AQ506</f>
        <v>30962.839</v>
      </c>
      <c r="AT507" s="230" t="s">
        <v>1545</v>
      </c>
      <c r="AU507" s="230" t="s">
        <v>1546</v>
      </c>
      <c r="AV507" s="62" t="s">
        <v>48</v>
      </c>
      <c r="AW507" s="173" t="s">
        <v>30</v>
      </c>
      <c r="AX507" s="191" t="s">
        <v>993</v>
      </c>
      <c r="AY507" s="176" t="s">
        <v>623</v>
      </c>
      <c r="AZ507" s="176" t="s">
        <v>639</v>
      </c>
      <c r="BA507" s="240" t="s">
        <v>661</v>
      </c>
      <c r="BB507" s="180" t="s">
        <v>596</v>
      </c>
      <c r="BC507" s="172"/>
      <c r="BD507" s="172"/>
      <c r="BE507" s="224">
        <v>5.2</v>
      </c>
      <c r="BF507" s="171"/>
      <c r="BG507" s="56">
        <v>-20</v>
      </c>
      <c r="BH507" s="57"/>
      <c r="BI507" s="170"/>
      <c r="BJ507" s="169"/>
      <c r="BK507" s="181"/>
      <c r="BL507" s="36" t="str">
        <f>VLOOKUP($AP507,'[1]V1 V2'!$B$5:$BW$1894,74,0)</f>
        <v>C.F.5.A</v>
      </c>
      <c r="BM507" s="36" t="str">
        <f>IF('[1]V1 V2'!X506="","",'[1]V1 V2'!X506)</f>
        <v/>
      </c>
    </row>
    <row r="508" spans="1:65" ht="16" thickBot="1" x14ac:dyDescent="0.4">
      <c r="A508">
        <v>1</v>
      </c>
      <c r="B508" s="304"/>
      <c r="C508" s="305"/>
      <c r="D508" s="306"/>
      <c r="E508" s="36"/>
      <c r="F508" s="168"/>
      <c r="G508" s="169"/>
      <c r="H508" s="170"/>
      <c r="I508" s="57"/>
      <c r="J508" s="56"/>
      <c r="K508" s="171"/>
      <c r="L508" s="142"/>
      <c r="M508" s="172"/>
      <c r="N508" s="173"/>
      <c r="O508" s="174" t="s">
        <v>89</v>
      </c>
      <c r="P508" s="171"/>
      <c r="Q508" s="176"/>
      <c r="R508" s="223"/>
      <c r="S508" s="191"/>
      <c r="T508" s="173"/>
      <c r="U508" s="62"/>
      <c r="V508" s="230" t="s">
        <v>89</v>
      </c>
      <c r="W508" s="230" t="s">
        <v>89</v>
      </c>
      <c r="X508" s="226"/>
      <c r="Y508" s="222"/>
      <c r="Z508" s="198">
        <v>25.1</v>
      </c>
      <c r="AA508" s="297"/>
      <c r="AB508" s="21" t="s">
        <v>2</v>
      </c>
      <c r="AH508" s="63">
        <v>1</v>
      </c>
      <c r="AO508" s="10" t="s">
        <v>3</v>
      </c>
      <c r="AP508" s="238"/>
      <c r="AQ508" s="198">
        <v>24.9</v>
      </c>
      <c r="AR508" s="222"/>
      <c r="AS508" s="222"/>
      <c r="AT508" s="226" t="s">
        <v>89</v>
      </c>
      <c r="AU508" s="226" t="s">
        <v>89</v>
      </c>
      <c r="AV508" s="132"/>
      <c r="AW508" s="189"/>
      <c r="AX508" s="191"/>
      <c r="AY508" s="223"/>
      <c r="AZ508" s="221"/>
      <c r="BA508" s="187"/>
      <c r="BB508" s="192" t="s">
        <v>89</v>
      </c>
      <c r="BC508" s="188"/>
      <c r="BD508" s="188"/>
      <c r="BE508" s="224"/>
      <c r="BF508" s="187"/>
      <c r="BG508" s="135"/>
      <c r="BH508" s="136"/>
      <c r="BI508" s="186"/>
      <c r="BJ508" s="185"/>
      <c r="BK508" s="181"/>
      <c r="BL508" s="36"/>
      <c r="BM508" s="36" t="str">
        <f>IF('[1]V1 V2'!X507="","",'[1]V1 V2'!X507)</f>
        <v/>
      </c>
    </row>
    <row r="509" spans="1:65" ht="16" thickBot="1" x14ac:dyDescent="0.4">
      <c r="A509">
        <v>1</v>
      </c>
      <c r="B509" s="304" t="s">
        <v>1547</v>
      </c>
      <c r="C509" s="305"/>
      <c r="D509" s="306"/>
      <c r="E509" s="36" t="str">
        <f>VLOOKUP($B509,'[1]V1 V2'!$B$5:$BW$1894,74,0)</f>
        <v>C.F.5.A</v>
      </c>
      <c r="F509" s="168"/>
      <c r="G509" s="169"/>
      <c r="H509" s="170"/>
      <c r="I509" s="57"/>
      <c r="J509" s="56">
        <v>-20</v>
      </c>
      <c r="K509" s="171"/>
      <c r="L509" s="224">
        <v>4.71</v>
      </c>
      <c r="M509" s="172"/>
      <c r="N509" s="173"/>
      <c r="O509" s="174" t="s">
        <v>596</v>
      </c>
      <c r="P509" s="191" t="s">
        <v>661</v>
      </c>
      <c r="Q509" s="176" t="s">
        <v>639</v>
      </c>
      <c r="R509" s="176" t="s">
        <v>623</v>
      </c>
      <c r="S509" s="191" t="s">
        <v>993</v>
      </c>
      <c r="T509" s="173" t="s">
        <v>30</v>
      </c>
      <c r="U509" s="62" t="s">
        <v>48</v>
      </c>
      <c r="V509" s="230" t="s">
        <v>1548</v>
      </c>
      <c r="W509" s="230" t="s">
        <v>1549</v>
      </c>
      <c r="X509" s="222">
        <v>30853.939000000013</v>
      </c>
      <c r="Y509" s="222">
        <v>3951.1099999999979</v>
      </c>
      <c r="Z509" s="198"/>
      <c r="AA509" s="297" t="s">
        <v>1547</v>
      </c>
      <c r="AB509" s="21" t="s">
        <v>2</v>
      </c>
      <c r="AH509" s="63">
        <v>1</v>
      </c>
      <c r="AO509" s="10" t="s">
        <v>3</v>
      </c>
      <c r="AP509" s="238" t="s">
        <v>1550</v>
      </c>
      <c r="AQ509" s="198"/>
      <c r="AR509" s="222">
        <v>3946.7100000000005</v>
      </c>
      <c r="AS509" s="222">
        <f>AS507-AQ508</f>
        <v>30937.938999999998</v>
      </c>
      <c r="AT509" s="226" t="s">
        <v>1551</v>
      </c>
      <c r="AU509" s="226" t="s">
        <v>1552</v>
      </c>
      <c r="AV509" s="132" t="s">
        <v>48</v>
      </c>
      <c r="AW509" s="189" t="s">
        <v>30</v>
      </c>
      <c r="AX509" s="191" t="s">
        <v>993</v>
      </c>
      <c r="AY509" s="221" t="s">
        <v>623</v>
      </c>
      <c r="AZ509" s="221" t="s">
        <v>639</v>
      </c>
      <c r="BA509" s="240" t="s">
        <v>661</v>
      </c>
      <c r="BB509" s="192" t="s">
        <v>596</v>
      </c>
      <c r="BC509" s="188"/>
      <c r="BD509" s="188"/>
      <c r="BE509" s="224">
        <v>4.71</v>
      </c>
      <c r="BF509" s="187"/>
      <c r="BG509" s="135">
        <v>-20</v>
      </c>
      <c r="BH509" s="136"/>
      <c r="BI509" s="186"/>
      <c r="BJ509" s="185"/>
      <c r="BK509" s="181"/>
      <c r="BL509" s="36" t="str">
        <f>VLOOKUP($AP509,'[1]V1 V2'!$B$5:$BW$1894,74,0)</f>
        <v>C.F.5.A</v>
      </c>
      <c r="BM509" s="36" t="str">
        <f>IF('[1]V1 V2'!X508="","",'[1]V1 V2'!X508)</f>
        <v/>
      </c>
    </row>
    <row r="510" spans="1:65" ht="29.5" thickBot="1" x14ac:dyDescent="0.4">
      <c r="A510">
        <v>1</v>
      </c>
      <c r="B510" s="227" t="s">
        <v>1553</v>
      </c>
      <c r="C510" s="228"/>
      <c r="D510" s="229"/>
      <c r="E510" s="36">
        <f>VLOOKUP($B510,'[1]V1 V2'!$B$5:$BW$1894,74,0)</f>
        <v>0</v>
      </c>
      <c r="F510" s="168"/>
      <c r="G510" s="169"/>
      <c r="H510" s="170"/>
      <c r="I510" s="136"/>
      <c r="J510" s="135"/>
      <c r="K510" s="171"/>
      <c r="L510" s="142"/>
      <c r="M510" s="188"/>
      <c r="N510" s="173"/>
      <c r="O510" s="174" t="s">
        <v>89</v>
      </c>
      <c r="P510" s="171"/>
      <c r="Q510" s="223"/>
      <c r="R510" s="223"/>
      <c r="S510" s="175"/>
      <c r="T510" s="173"/>
      <c r="U510" s="62"/>
      <c r="V510" s="230"/>
      <c r="W510" s="230"/>
      <c r="X510" s="226"/>
      <c r="Y510" s="222"/>
      <c r="Z510" s="198">
        <v>25</v>
      </c>
      <c r="AA510" s="231" t="s">
        <v>1553</v>
      </c>
      <c r="AB510" s="21" t="s">
        <v>2</v>
      </c>
      <c r="AH510" s="63">
        <v>1</v>
      </c>
      <c r="AO510" s="10" t="s">
        <v>3</v>
      </c>
      <c r="AP510" s="231" t="s">
        <v>1553</v>
      </c>
      <c r="AQ510" s="198">
        <v>25</v>
      </c>
      <c r="AR510" s="222"/>
      <c r="AS510" s="222"/>
      <c r="AT510" s="226"/>
      <c r="AU510" s="226"/>
      <c r="AV510" s="132"/>
      <c r="AW510" s="189"/>
      <c r="AX510" s="191"/>
      <c r="AY510" s="223"/>
      <c r="AZ510" s="223"/>
      <c r="BA510" s="187"/>
      <c r="BB510" s="192" t="s">
        <v>89</v>
      </c>
      <c r="BC510" s="188"/>
      <c r="BD510" s="188"/>
      <c r="BE510" s="224"/>
      <c r="BF510" s="187"/>
      <c r="BG510" s="135"/>
      <c r="BH510" s="136"/>
      <c r="BI510" s="186"/>
      <c r="BJ510" s="185"/>
      <c r="BK510" s="193"/>
      <c r="BL510" s="36">
        <f>VLOOKUP($AP510,'[1]V1 V2'!$B$5:$BW$1894,74,0)</f>
        <v>0</v>
      </c>
      <c r="BM510" s="36" t="str">
        <f>IF('[1]V1 V2'!X509="","",'[1]V1 V2'!X509)</f>
        <v/>
      </c>
    </row>
    <row r="511" spans="1:65" ht="16" thickBot="1" x14ac:dyDescent="0.4">
      <c r="A511">
        <v>1</v>
      </c>
      <c r="B511" s="304" t="s">
        <v>1554</v>
      </c>
      <c r="C511" s="305"/>
      <c r="D511" s="306"/>
      <c r="E511" s="36" t="str">
        <f>VLOOKUP($B511,'[1]V1 V2'!$B$5:$BW$1894,74,0)</f>
        <v>C.F.1</v>
      </c>
      <c r="F511" s="168"/>
      <c r="G511" s="169"/>
      <c r="H511" s="170"/>
      <c r="I511" s="57"/>
      <c r="J511" s="56" t="s">
        <v>127</v>
      </c>
      <c r="K511" s="171"/>
      <c r="L511" s="224">
        <v>4.1100000000000003</v>
      </c>
      <c r="M511" s="172"/>
      <c r="N511" s="173"/>
      <c r="O511" s="174" t="s">
        <v>621</v>
      </c>
      <c r="P511" s="171" t="s">
        <v>1008</v>
      </c>
      <c r="Q511" s="176" t="s">
        <v>1009</v>
      </c>
      <c r="R511" s="176" t="s">
        <v>623</v>
      </c>
      <c r="S511" s="175" t="s">
        <v>624</v>
      </c>
      <c r="T511" s="173" t="s">
        <v>30</v>
      </c>
      <c r="U511" s="62"/>
      <c r="V511" s="230" t="s">
        <v>1555</v>
      </c>
      <c r="W511" s="230" t="s">
        <v>1556</v>
      </c>
      <c r="X511" s="177">
        <v>30828.939000000013</v>
      </c>
      <c r="Y511" s="177">
        <v>3976.1099999999979</v>
      </c>
      <c r="Z511" s="178"/>
      <c r="AA511" s="297" t="s">
        <v>1554</v>
      </c>
      <c r="AB511" s="21" t="s">
        <v>2</v>
      </c>
      <c r="AH511" s="63">
        <v>1</v>
      </c>
      <c r="AO511" s="10" t="s">
        <v>3</v>
      </c>
      <c r="AP511" s="238" t="s">
        <v>1557</v>
      </c>
      <c r="AQ511" s="198"/>
      <c r="AR511" s="222">
        <v>3971.7</v>
      </c>
      <c r="AS511" s="222">
        <f>AS509-AQ510</f>
        <v>30912.938999999998</v>
      </c>
      <c r="AT511" s="226" t="s">
        <v>1558</v>
      </c>
      <c r="AU511" s="226" t="s">
        <v>1559</v>
      </c>
      <c r="AV511" s="132"/>
      <c r="AW511" s="189" t="s">
        <v>30</v>
      </c>
      <c r="AX511" s="191" t="s">
        <v>624</v>
      </c>
      <c r="AY511" s="221" t="s">
        <v>623</v>
      </c>
      <c r="AZ511" s="221" t="s">
        <v>1009</v>
      </c>
      <c r="BA511" s="187" t="s">
        <v>1008</v>
      </c>
      <c r="BB511" s="192" t="s">
        <v>621</v>
      </c>
      <c r="BC511" s="188"/>
      <c r="BD511" s="188"/>
      <c r="BE511" s="224">
        <v>4.1100000000000003</v>
      </c>
      <c r="BF511" s="187"/>
      <c r="BG511" s="225" t="s">
        <v>127</v>
      </c>
      <c r="BH511" s="136"/>
      <c r="BI511" s="186"/>
      <c r="BJ511" s="185"/>
      <c r="BK511" s="181"/>
      <c r="BL511" s="36" t="str">
        <f>VLOOKUP($AP511,'[1]V1 V2'!$B$5:$BW$1894,74,0)</f>
        <v>C.F.1</v>
      </c>
      <c r="BM511" s="36" t="str">
        <f>IF('[1]V1 V2'!X510="","",'[1]V1 V2'!X510)</f>
        <v/>
      </c>
    </row>
    <row r="512" spans="1:65" ht="16" thickBot="1" x14ac:dyDescent="0.4">
      <c r="A512">
        <v>1</v>
      </c>
      <c r="B512" s="304"/>
      <c r="C512" s="305"/>
      <c r="D512" s="306"/>
      <c r="E512" s="36"/>
      <c r="F512" s="168"/>
      <c r="G512" s="169"/>
      <c r="H512" s="170"/>
      <c r="I512" s="57"/>
      <c r="J512" s="56"/>
      <c r="K512" s="171"/>
      <c r="L512" s="142"/>
      <c r="M512" s="172"/>
      <c r="N512" s="173"/>
      <c r="O512" s="174" t="s">
        <v>89</v>
      </c>
      <c r="P512" s="171"/>
      <c r="Q512" s="182"/>
      <c r="R512" s="223"/>
      <c r="S512" s="191"/>
      <c r="T512" s="173"/>
      <c r="U512" s="62"/>
      <c r="V512" s="230" t="s">
        <v>89</v>
      </c>
      <c r="W512" s="230" t="s">
        <v>89</v>
      </c>
      <c r="X512" s="230"/>
      <c r="Y512" s="177"/>
      <c r="Z512" s="178">
        <v>25</v>
      </c>
      <c r="AA512" s="297"/>
      <c r="AB512" s="21" t="s">
        <v>2</v>
      </c>
      <c r="AH512" s="63">
        <v>1</v>
      </c>
      <c r="AO512" s="10" t="s">
        <v>3</v>
      </c>
      <c r="AP512" s="238"/>
      <c r="AQ512" s="198">
        <v>25</v>
      </c>
      <c r="AR512" s="222"/>
      <c r="AS512" s="222"/>
      <c r="AT512" s="226" t="s">
        <v>89</v>
      </c>
      <c r="AU512" s="226" t="s">
        <v>89</v>
      </c>
      <c r="AV512" s="132"/>
      <c r="AW512" s="189"/>
      <c r="AX512" s="191"/>
      <c r="AY512" s="223"/>
      <c r="AZ512" s="223"/>
      <c r="BA512" s="187"/>
      <c r="BB512" s="192" t="s">
        <v>89</v>
      </c>
      <c r="BC512" s="188"/>
      <c r="BD512" s="188"/>
      <c r="BE512" s="224"/>
      <c r="BF512" s="187"/>
      <c r="BG512" s="135"/>
      <c r="BH512" s="136"/>
      <c r="BI512" s="186"/>
      <c r="BJ512" s="185"/>
      <c r="BK512" s="181"/>
      <c r="BL512" s="36"/>
      <c r="BM512" s="36" t="str">
        <f>IF('[1]V1 V2'!X511="","",'[1]V1 V2'!X511)</f>
        <v/>
      </c>
    </row>
    <row r="513" spans="1:65" ht="16" thickBot="1" x14ac:dyDescent="0.4">
      <c r="A513">
        <v>1</v>
      </c>
      <c r="B513" s="304" t="s">
        <v>1560</v>
      </c>
      <c r="C513" s="305"/>
      <c r="D513" s="306"/>
      <c r="E513" s="36" t="str">
        <f>VLOOKUP($B513,'[1]V1 V2'!$B$5:$BW$1894,74,0)</f>
        <v>C.F.2</v>
      </c>
      <c r="F513" s="168"/>
      <c r="G513" s="169"/>
      <c r="H513" s="170"/>
      <c r="I513" s="57"/>
      <c r="J513" s="56">
        <v>-20</v>
      </c>
      <c r="K513" s="171"/>
      <c r="L513" s="142">
        <v>3.8</v>
      </c>
      <c r="M513" s="172"/>
      <c r="N513" s="173"/>
      <c r="O513" s="174" t="s">
        <v>621</v>
      </c>
      <c r="P513" s="171" t="s">
        <v>1008</v>
      </c>
      <c r="Q513" s="176" t="s">
        <v>1009</v>
      </c>
      <c r="R513" s="176" t="s">
        <v>623</v>
      </c>
      <c r="S513" s="175" t="s">
        <v>624</v>
      </c>
      <c r="T513" s="173" t="s">
        <v>30</v>
      </c>
      <c r="U513" s="62"/>
      <c r="V513" s="230" t="s">
        <v>1561</v>
      </c>
      <c r="W513" s="230" t="s">
        <v>1562</v>
      </c>
      <c r="X513" s="177">
        <v>30803.939000000013</v>
      </c>
      <c r="Y513" s="177">
        <v>4001.1099999999979</v>
      </c>
      <c r="Z513" s="178"/>
      <c r="AA513" s="297" t="s">
        <v>1560</v>
      </c>
      <c r="AB513" s="21" t="s">
        <v>2</v>
      </c>
      <c r="AH513" s="63">
        <v>1</v>
      </c>
      <c r="AO513" s="10" t="s">
        <v>3</v>
      </c>
      <c r="AP513" s="238" t="s">
        <v>1563</v>
      </c>
      <c r="AQ513" s="198"/>
      <c r="AR513" s="222">
        <v>3996.71</v>
      </c>
      <c r="AS513" s="222">
        <f>AS511-AQ512</f>
        <v>30887.938999999998</v>
      </c>
      <c r="AT513" s="226" t="s">
        <v>1564</v>
      </c>
      <c r="AU513" s="226" t="s">
        <v>1565</v>
      </c>
      <c r="AV513" s="132"/>
      <c r="AW513" s="189" t="s">
        <v>30</v>
      </c>
      <c r="AX513" s="191" t="s">
        <v>624</v>
      </c>
      <c r="AY513" s="221" t="s">
        <v>623</v>
      </c>
      <c r="AZ513" s="221" t="s">
        <v>1009</v>
      </c>
      <c r="BA513" s="187" t="s">
        <v>1008</v>
      </c>
      <c r="BB513" s="192" t="s">
        <v>621</v>
      </c>
      <c r="BC513" s="188"/>
      <c r="BD513" s="188"/>
      <c r="BE513" s="224">
        <v>3.8</v>
      </c>
      <c r="BF513" s="187"/>
      <c r="BG513" s="135">
        <v>-20</v>
      </c>
      <c r="BH513" s="136"/>
      <c r="BI513" s="186"/>
      <c r="BJ513" s="185"/>
      <c r="BK513" s="181"/>
      <c r="BL513" s="36" t="str">
        <f>VLOOKUP($AP513,'[1]V1 V2'!$B$5:$BW$1894,74,0)</f>
        <v>C.F.2</v>
      </c>
      <c r="BM513" s="36" t="str">
        <f>IF('[1]V1 V2'!X512="","",'[1]V1 V2'!X512)</f>
        <v/>
      </c>
    </row>
    <row r="514" spans="1:65" ht="16" thickBot="1" x14ac:dyDescent="0.4">
      <c r="A514">
        <v>1</v>
      </c>
      <c r="B514" s="304"/>
      <c r="C514" s="305"/>
      <c r="D514" s="306"/>
      <c r="E514" s="36"/>
      <c r="F514" s="168"/>
      <c r="G514" s="169"/>
      <c r="H514" s="170"/>
      <c r="I514" s="57"/>
      <c r="J514" s="56"/>
      <c r="K514" s="171"/>
      <c r="L514" s="142"/>
      <c r="M514" s="172"/>
      <c r="N514" s="173"/>
      <c r="O514" s="174" t="s">
        <v>89</v>
      </c>
      <c r="P514" s="171"/>
      <c r="Q514" s="182"/>
      <c r="R514" s="223"/>
      <c r="S514" s="175"/>
      <c r="T514" s="173"/>
      <c r="U514" s="62"/>
      <c r="V514" s="230" t="s">
        <v>89</v>
      </c>
      <c r="W514" s="230" t="s">
        <v>89</v>
      </c>
      <c r="X514" s="230"/>
      <c r="Y514" s="177"/>
      <c r="Z514" s="178">
        <v>25</v>
      </c>
      <c r="AA514" s="297"/>
      <c r="AB514" s="21" t="s">
        <v>2</v>
      </c>
      <c r="AH514" s="63">
        <v>1</v>
      </c>
      <c r="AO514" s="10" t="s">
        <v>3</v>
      </c>
      <c r="AP514" s="238"/>
      <c r="AQ514" s="198">
        <v>25</v>
      </c>
      <c r="AR514" s="222"/>
      <c r="AS514" s="222"/>
      <c r="AT514" s="226" t="s">
        <v>89</v>
      </c>
      <c r="AU514" s="226" t="s">
        <v>89</v>
      </c>
      <c r="AV514" s="132"/>
      <c r="AW514" s="189"/>
      <c r="AX514" s="191"/>
      <c r="AY514" s="223"/>
      <c r="AZ514" s="223"/>
      <c r="BA514" s="187"/>
      <c r="BB514" s="192" t="s">
        <v>89</v>
      </c>
      <c r="BC514" s="188"/>
      <c r="BD514" s="188"/>
      <c r="BE514" s="224"/>
      <c r="BF514" s="187"/>
      <c r="BG514" s="135"/>
      <c r="BH514" s="136"/>
      <c r="BI514" s="186"/>
      <c r="BJ514" s="185"/>
      <c r="BK514" s="181"/>
      <c r="BL514" s="36"/>
      <c r="BM514" s="36" t="str">
        <f>IF('[1]V1 V2'!X513="","",'[1]V1 V2'!X513)</f>
        <v/>
      </c>
    </row>
    <row r="515" spans="1:65" ht="16" thickBot="1" x14ac:dyDescent="0.4">
      <c r="A515">
        <v>1</v>
      </c>
      <c r="B515" s="304" t="s">
        <v>1566</v>
      </c>
      <c r="C515" s="305"/>
      <c r="D515" s="306"/>
      <c r="E515" s="36" t="str">
        <f>VLOOKUP($B515,'[1]V1 V2'!$B$5:$BW$1894,74,0)</f>
        <v>C.F.1</v>
      </c>
      <c r="F515" s="168"/>
      <c r="G515" s="169"/>
      <c r="H515" s="170"/>
      <c r="I515" s="57"/>
      <c r="J515" s="56" t="s">
        <v>127</v>
      </c>
      <c r="K515" s="171"/>
      <c r="L515" s="142">
        <v>3.8</v>
      </c>
      <c r="M515" s="172"/>
      <c r="N515" s="173"/>
      <c r="O515" s="174" t="s">
        <v>621</v>
      </c>
      <c r="P515" s="171" t="s">
        <v>1008</v>
      </c>
      <c r="Q515" s="176" t="s">
        <v>1009</v>
      </c>
      <c r="R515" s="176" t="s">
        <v>623</v>
      </c>
      <c r="S515" s="175" t="s">
        <v>624</v>
      </c>
      <c r="T515" s="173" t="s">
        <v>30</v>
      </c>
      <c r="U515" s="62"/>
      <c r="V515" s="230" t="s">
        <v>1567</v>
      </c>
      <c r="W515" s="230" t="s">
        <v>1568</v>
      </c>
      <c r="X515" s="177">
        <v>30778.939000000013</v>
      </c>
      <c r="Y515" s="177">
        <v>4026.1099999999979</v>
      </c>
      <c r="Z515" s="178"/>
      <c r="AA515" s="297" t="s">
        <v>1566</v>
      </c>
      <c r="AB515" s="21" t="s">
        <v>2</v>
      </c>
      <c r="AH515" s="63">
        <v>1</v>
      </c>
      <c r="AO515" s="10" t="s">
        <v>3</v>
      </c>
      <c r="AP515" s="238" t="s">
        <v>1569</v>
      </c>
      <c r="AQ515" s="198"/>
      <c r="AR515" s="222">
        <v>4021.71</v>
      </c>
      <c r="AS515" s="222">
        <f>AS513-AQ514</f>
        <v>30862.938999999998</v>
      </c>
      <c r="AT515" s="226" t="s">
        <v>1570</v>
      </c>
      <c r="AU515" s="226" t="s">
        <v>1571</v>
      </c>
      <c r="AV515" s="132"/>
      <c r="AW515" s="189" t="s">
        <v>30</v>
      </c>
      <c r="AX515" s="191" t="s">
        <v>624</v>
      </c>
      <c r="AY515" s="221" t="s">
        <v>623</v>
      </c>
      <c r="AZ515" s="221" t="s">
        <v>1009</v>
      </c>
      <c r="BA515" s="187" t="s">
        <v>1008</v>
      </c>
      <c r="BB515" s="192" t="s">
        <v>621</v>
      </c>
      <c r="BC515" s="188"/>
      <c r="BD515" s="188"/>
      <c r="BE515" s="224">
        <v>3.8</v>
      </c>
      <c r="BF515" s="187"/>
      <c r="BG515" s="225" t="s">
        <v>127</v>
      </c>
      <c r="BH515" s="136"/>
      <c r="BI515" s="186"/>
      <c r="BJ515" s="185"/>
      <c r="BK515" s="181"/>
      <c r="BL515" s="36" t="str">
        <f>VLOOKUP($AP515,'[1]V1 V2'!$B$5:$BW$1894,74,0)</f>
        <v>C.F.1</v>
      </c>
      <c r="BM515" s="36" t="str">
        <f>IF('[1]V1 V2'!X514="","",'[1]V1 V2'!X514)</f>
        <v/>
      </c>
    </row>
    <row r="516" spans="1:65" ht="16" thickBot="1" x14ac:dyDescent="0.4">
      <c r="A516">
        <v>1</v>
      </c>
      <c r="B516" s="304"/>
      <c r="C516" s="305"/>
      <c r="D516" s="307" t="s">
        <v>720</v>
      </c>
      <c r="E516" s="36"/>
      <c r="F516" s="168"/>
      <c r="G516" s="169"/>
      <c r="H516" s="170"/>
      <c r="I516" s="57"/>
      <c r="J516" s="56"/>
      <c r="K516" s="171"/>
      <c r="L516" s="142"/>
      <c r="M516" s="172"/>
      <c r="N516" s="173"/>
      <c r="O516" s="174" t="s">
        <v>89</v>
      </c>
      <c r="P516" s="171"/>
      <c r="Q516" s="182"/>
      <c r="R516" s="223"/>
      <c r="S516" s="191"/>
      <c r="T516" s="173"/>
      <c r="U516" s="62"/>
      <c r="V516" s="230" t="s">
        <v>89</v>
      </c>
      <c r="W516" s="230" t="s">
        <v>89</v>
      </c>
      <c r="X516" s="230"/>
      <c r="Y516" s="177"/>
      <c r="Z516" s="178">
        <v>20</v>
      </c>
      <c r="AA516" s="297"/>
      <c r="AB516" s="21" t="s">
        <v>2</v>
      </c>
      <c r="AH516" s="63">
        <v>1</v>
      </c>
      <c r="AO516" s="10" t="s">
        <v>3</v>
      </c>
      <c r="AP516" s="238"/>
      <c r="AQ516" s="198">
        <v>20</v>
      </c>
      <c r="AR516" s="222"/>
      <c r="AS516" s="222"/>
      <c r="AT516" s="226" t="s">
        <v>89</v>
      </c>
      <c r="AU516" s="226" t="s">
        <v>89</v>
      </c>
      <c r="AV516" s="132"/>
      <c r="AW516" s="189"/>
      <c r="AX516" s="191"/>
      <c r="AY516" s="223"/>
      <c r="AZ516" s="223"/>
      <c r="BA516" s="187"/>
      <c r="BB516" s="192" t="s">
        <v>89</v>
      </c>
      <c r="BC516" s="188"/>
      <c r="BD516" s="188"/>
      <c r="BE516" s="224"/>
      <c r="BF516" s="187"/>
      <c r="BG516" s="135"/>
      <c r="BH516" s="136"/>
      <c r="BI516" s="186"/>
      <c r="BJ516" s="185"/>
      <c r="BK516" s="181"/>
      <c r="BL516" s="36"/>
      <c r="BM516" s="308" t="str">
        <f>IF('[1]V1 V2'!X515="","",'[1]V1 V2'!X515)</f>
        <v>1PEAD D110mm ou 2PEAD D63mm+ 1PEAD 32mm</v>
      </c>
    </row>
    <row r="517" spans="1:65" ht="16" thickBot="1" x14ac:dyDescent="0.4">
      <c r="A517">
        <v>1</v>
      </c>
      <c r="B517" s="304" t="s">
        <v>1572</v>
      </c>
      <c r="C517" s="305"/>
      <c r="D517" s="309" t="s">
        <v>722</v>
      </c>
      <c r="E517" s="36" t="str">
        <f>VLOOKUP($B517,'[1]V1 V2'!$B$5:$BW$1894,74,0)</f>
        <v>C.F.26</v>
      </c>
      <c r="F517" s="168"/>
      <c r="G517" s="169"/>
      <c r="H517" s="170"/>
      <c r="I517" s="57"/>
      <c r="J517" s="56">
        <v>-20</v>
      </c>
      <c r="K517" s="171"/>
      <c r="L517" s="142">
        <v>3.8</v>
      </c>
      <c r="M517" s="172"/>
      <c r="N517" s="173"/>
      <c r="O517" s="174" t="s">
        <v>621</v>
      </c>
      <c r="P517" s="171" t="s">
        <v>1008</v>
      </c>
      <c r="Q517" s="176" t="s">
        <v>1009</v>
      </c>
      <c r="R517" s="176" t="s">
        <v>623</v>
      </c>
      <c r="S517" s="175" t="s">
        <v>624</v>
      </c>
      <c r="T517" s="173" t="s">
        <v>30</v>
      </c>
      <c r="U517" s="62"/>
      <c r="V517" s="230" t="s">
        <v>1573</v>
      </c>
      <c r="W517" s="230" t="s">
        <v>1574</v>
      </c>
      <c r="X517" s="177">
        <v>30758.939000000013</v>
      </c>
      <c r="Y517" s="177">
        <v>4046.1099999999979</v>
      </c>
      <c r="Z517" s="178"/>
      <c r="AA517" s="297" t="s">
        <v>1572</v>
      </c>
      <c r="AB517" s="21" t="s">
        <v>2</v>
      </c>
      <c r="AH517" s="63">
        <v>1</v>
      </c>
      <c r="AO517" s="10" t="s">
        <v>3</v>
      </c>
      <c r="AP517" s="238" t="s">
        <v>1575</v>
      </c>
      <c r="AQ517" s="198"/>
      <c r="AR517" s="222">
        <v>4041.67</v>
      </c>
      <c r="AS517" s="222">
        <f>AS515-AQ516</f>
        <v>30842.938999999998</v>
      </c>
      <c r="AT517" s="226" t="s">
        <v>1576</v>
      </c>
      <c r="AU517" s="226" t="s">
        <v>1577</v>
      </c>
      <c r="AV517" s="132"/>
      <c r="AW517" s="189" t="s">
        <v>30</v>
      </c>
      <c r="AX517" s="191" t="s">
        <v>624</v>
      </c>
      <c r="AY517" s="221" t="s">
        <v>623</v>
      </c>
      <c r="AZ517" s="221" t="s">
        <v>1009</v>
      </c>
      <c r="BA517" s="187" t="s">
        <v>1008</v>
      </c>
      <c r="BB517" s="192" t="s">
        <v>621</v>
      </c>
      <c r="BC517" s="188"/>
      <c r="BD517" s="188"/>
      <c r="BE517" s="224">
        <v>3.8</v>
      </c>
      <c r="BF517" s="187"/>
      <c r="BG517" s="135">
        <v>-20</v>
      </c>
      <c r="BH517" s="136"/>
      <c r="BI517" s="186"/>
      <c r="BJ517" s="185"/>
      <c r="BK517" s="181"/>
      <c r="BL517" s="36" t="str">
        <f>VLOOKUP($AP517,'[1]V1 V2'!$B$5:$BW$1894,74,0)</f>
        <v>C.F.26</v>
      </c>
      <c r="BM517" s="202" t="str">
        <f>IF('[1]V1 V2'!X516="","",'[1]V1 V2'!X516)</f>
        <v>FR</v>
      </c>
    </row>
    <row r="518" spans="1:65" ht="16" thickBot="1" x14ac:dyDescent="0.4">
      <c r="A518">
        <v>1</v>
      </c>
      <c r="B518" s="241"/>
      <c r="C518" s="242"/>
      <c r="D518" s="307" t="s">
        <v>728</v>
      </c>
      <c r="E518" s="36"/>
      <c r="F518" s="184"/>
      <c r="G518" s="185"/>
      <c r="H518" s="186"/>
      <c r="I518" s="136"/>
      <c r="J518" s="135"/>
      <c r="K518" s="187"/>
      <c r="L518" s="224"/>
      <c r="M518" s="188"/>
      <c r="N518" s="189"/>
      <c r="O518" s="190"/>
      <c r="P518" s="193"/>
      <c r="Q518" s="221"/>
      <c r="R518" s="221"/>
      <c r="S518" s="191"/>
      <c r="T518" s="189"/>
      <c r="U518" s="132"/>
      <c r="V518" s="226"/>
      <c r="W518" s="226"/>
      <c r="X518" s="226"/>
      <c r="Y518" s="222"/>
      <c r="Z518" s="198">
        <v>15</v>
      </c>
      <c r="AA518" s="239"/>
      <c r="AB518" s="21" t="s">
        <v>2</v>
      </c>
      <c r="AH518" s="63">
        <v>1</v>
      </c>
      <c r="AO518" s="10" t="s">
        <v>3</v>
      </c>
      <c r="AP518" s="239"/>
      <c r="AQ518" s="198">
        <v>15</v>
      </c>
      <c r="AR518" s="222"/>
      <c r="AS518" s="222"/>
      <c r="AT518" s="226"/>
      <c r="AU518" s="226"/>
      <c r="AV518" s="132"/>
      <c r="AW518" s="189"/>
      <c r="AX518" s="191"/>
      <c r="AY518" s="221"/>
      <c r="AZ518" s="221"/>
      <c r="BA518" s="193"/>
      <c r="BB518" s="192"/>
      <c r="BC518" s="188"/>
      <c r="BD518" s="188"/>
      <c r="BE518" s="224"/>
      <c r="BF518" s="187"/>
      <c r="BG518" s="135"/>
      <c r="BH518" s="136"/>
      <c r="BI518" s="186"/>
      <c r="BJ518" s="185"/>
      <c r="BK518" s="181"/>
      <c r="BL518" s="36"/>
      <c r="BM518" s="308" t="str">
        <f>IF('[1]V1 V2'!X517="","",'[1]V1 V2'!X517)</f>
        <v>1PEAD D110mm ou 2PEAD D63mm</v>
      </c>
    </row>
    <row r="519" spans="1:65" ht="16" thickBot="1" x14ac:dyDescent="0.4">
      <c r="A519">
        <v>1</v>
      </c>
      <c r="B519" s="241" t="s">
        <v>1578</v>
      </c>
      <c r="C519" s="242"/>
      <c r="D519" s="234"/>
      <c r="E519" s="36" t="str">
        <f>VLOOKUP($B519,'[1]V1 V2'!$B$5:$BW$1894,74,0)</f>
        <v>C.F.1</v>
      </c>
      <c r="F519" s="184"/>
      <c r="G519" s="185"/>
      <c r="H519" s="186"/>
      <c r="I519" s="136"/>
      <c r="J519" s="135" t="s">
        <v>127</v>
      </c>
      <c r="K519" s="187"/>
      <c r="L519" s="224">
        <v>3.8</v>
      </c>
      <c r="M519" s="188"/>
      <c r="N519" s="189"/>
      <c r="O519" s="190" t="s">
        <v>621</v>
      </c>
      <c r="P519" s="187" t="s">
        <v>1008</v>
      </c>
      <c r="Q519" s="221" t="s">
        <v>1009</v>
      </c>
      <c r="R519" s="221" t="s">
        <v>623</v>
      </c>
      <c r="S519" s="191" t="s">
        <v>624</v>
      </c>
      <c r="T519" s="189" t="s">
        <v>30</v>
      </c>
      <c r="U519" s="132"/>
      <c r="V519" s="226" t="s">
        <v>1579</v>
      </c>
      <c r="W519" s="226" t="s">
        <v>1580</v>
      </c>
      <c r="X519" s="222">
        <v>30743.939000000013</v>
      </c>
      <c r="Y519" s="222">
        <v>4061.1099999999979</v>
      </c>
      <c r="Z519" s="198"/>
      <c r="AA519" s="239" t="s">
        <v>1578</v>
      </c>
      <c r="AB519" s="21" t="s">
        <v>2</v>
      </c>
      <c r="AH519" s="63">
        <v>1</v>
      </c>
      <c r="AO519" s="10" t="s">
        <v>3</v>
      </c>
      <c r="AP519" s="238" t="s">
        <v>1581</v>
      </c>
      <c r="AQ519" s="198"/>
      <c r="AR519" s="222">
        <v>4056.6</v>
      </c>
      <c r="AS519" s="222">
        <f>AS517-AQ518</f>
        <v>30827.938999999998</v>
      </c>
      <c r="AT519" s="226" t="s">
        <v>1582</v>
      </c>
      <c r="AU519" s="226" t="s">
        <v>1583</v>
      </c>
      <c r="AV519" s="132"/>
      <c r="AW519" s="189" t="s">
        <v>30</v>
      </c>
      <c r="AX519" s="191" t="s">
        <v>624</v>
      </c>
      <c r="AY519" s="221" t="s">
        <v>623</v>
      </c>
      <c r="AZ519" s="221" t="s">
        <v>1009</v>
      </c>
      <c r="BA519" s="187" t="s">
        <v>1008</v>
      </c>
      <c r="BB519" s="192" t="s">
        <v>621</v>
      </c>
      <c r="BC519" s="188"/>
      <c r="BD519" s="188"/>
      <c r="BE519" s="224">
        <v>3.8</v>
      </c>
      <c r="BF519" s="187"/>
      <c r="BG519" s="225" t="s">
        <v>127</v>
      </c>
      <c r="BH519" s="136"/>
      <c r="BI519" s="186"/>
      <c r="BJ519" s="185"/>
      <c r="BK519" s="181"/>
      <c r="BL519" s="36" t="str">
        <f>VLOOKUP($AP519,'[1]V1 V2'!$B$5:$BW$1894,74,0)</f>
        <v>C.F.1</v>
      </c>
      <c r="BM519" s="36" t="str">
        <f>IF('[1]V1 V2'!X518="","",'[1]V1 V2'!X518)</f>
        <v/>
      </c>
    </row>
    <row r="520" spans="1:65" ht="16" thickBot="1" x14ac:dyDescent="0.4">
      <c r="A520">
        <v>1</v>
      </c>
      <c r="B520" s="227"/>
      <c r="C520" s="228"/>
      <c r="D520" s="229"/>
      <c r="E520" s="36"/>
      <c r="F520" s="184"/>
      <c r="G520" s="185"/>
      <c r="H520" s="186"/>
      <c r="I520" s="184"/>
      <c r="J520" s="389"/>
      <c r="K520" s="187"/>
      <c r="L520" s="224"/>
      <c r="M520" s="188"/>
      <c r="N520" s="189"/>
      <c r="O520" s="190" t="s">
        <v>89</v>
      </c>
      <c r="P520" s="191"/>
      <c r="Q520" s="223"/>
      <c r="R520" s="223"/>
      <c r="S520" s="191"/>
      <c r="T520" s="189"/>
      <c r="U520" s="132"/>
      <c r="V520" s="226"/>
      <c r="W520" s="226"/>
      <c r="X520" s="226"/>
      <c r="Y520" s="222"/>
      <c r="Z520" s="198">
        <v>13.9</v>
      </c>
      <c r="AA520" s="231"/>
      <c r="AB520" s="21" t="s">
        <v>2</v>
      </c>
      <c r="AH520" s="63">
        <v>1</v>
      </c>
      <c r="AO520" s="10" t="s">
        <v>3</v>
      </c>
      <c r="AP520" s="231"/>
      <c r="AQ520" s="198">
        <v>13.9</v>
      </c>
      <c r="AR520" s="222"/>
      <c r="AS520" s="222"/>
      <c r="AT520" s="222"/>
      <c r="AU520" s="222"/>
      <c r="AV520" s="132"/>
      <c r="AW520" s="189"/>
      <c r="AX520" s="191"/>
      <c r="AY520" s="223"/>
      <c r="AZ520" s="223"/>
      <c r="BA520" s="191"/>
      <c r="BB520" s="192"/>
      <c r="BC520" s="188"/>
      <c r="BD520" s="188"/>
      <c r="BE520" s="224"/>
      <c r="BF520" s="187"/>
      <c r="BG520" s="135"/>
      <c r="BH520" s="136"/>
      <c r="BI520" s="186"/>
      <c r="BJ520" s="185"/>
      <c r="BK520" s="193"/>
      <c r="BL520" s="36"/>
      <c r="BM520" s="36" t="str">
        <f>IF('[1]V1 V2'!X519="","",'[1]V1 V2'!X519)</f>
        <v/>
      </c>
    </row>
    <row r="521" spans="1:65" ht="16" thickBot="1" x14ac:dyDescent="0.4">
      <c r="A521">
        <v>1</v>
      </c>
      <c r="B521" s="232" t="s">
        <v>1584</v>
      </c>
      <c r="C521" s="233"/>
      <c r="D521" s="234"/>
      <c r="E521" s="36" t="str">
        <f>VLOOKUP($B521,'[1]V1 V2'!$B$5:$BW$1894,74,0)</f>
        <v>C.F.1</v>
      </c>
      <c r="F521" s="184"/>
      <c r="G521" s="185"/>
      <c r="H521" s="186"/>
      <c r="I521" s="136"/>
      <c r="J521" s="225" t="s">
        <v>223</v>
      </c>
      <c r="K521" s="187"/>
      <c r="L521" s="224">
        <v>3.8</v>
      </c>
      <c r="M521" s="188"/>
      <c r="N521" s="189"/>
      <c r="O521" s="190" t="s">
        <v>621</v>
      </c>
      <c r="P521" s="187" t="s">
        <v>1008</v>
      </c>
      <c r="Q521" s="221" t="s">
        <v>1009</v>
      </c>
      <c r="R521" s="221" t="s">
        <v>623</v>
      </c>
      <c r="S521" s="191"/>
      <c r="T521" s="189" t="s">
        <v>30</v>
      </c>
      <c r="U521" s="132"/>
      <c r="V521" s="132" t="s">
        <v>1585</v>
      </c>
      <c r="W521" s="222" t="s">
        <v>1586</v>
      </c>
      <c r="X521" s="222">
        <v>30730.039000000012</v>
      </c>
      <c r="Y521" s="222">
        <v>4075</v>
      </c>
      <c r="Z521" s="198"/>
      <c r="AA521" s="238" t="s">
        <v>1584</v>
      </c>
      <c r="AB521" s="21" t="s">
        <v>2</v>
      </c>
      <c r="AH521" s="63">
        <v>1</v>
      </c>
      <c r="AO521" s="10" t="s">
        <v>3</v>
      </c>
      <c r="AP521" s="238" t="s">
        <v>1587</v>
      </c>
      <c r="AQ521" s="198"/>
      <c r="AR521" s="222">
        <v>4070.5</v>
      </c>
      <c r="AS521" s="222">
        <f>AS519-AQ520</f>
        <v>30814.038999999997</v>
      </c>
      <c r="AT521" s="222" t="s">
        <v>1588</v>
      </c>
      <c r="AU521" s="222" t="s">
        <v>1589</v>
      </c>
      <c r="AV521" s="132"/>
      <c r="AW521" s="189" t="s">
        <v>30</v>
      </c>
      <c r="AX521" s="191"/>
      <c r="AY521" s="221" t="s">
        <v>623</v>
      </c>
      <c r="AZ521" s="221" t="s">
        <v>1009</v>
      </c>
      <c r="BA521" s="187" t="s">
        <v>1008</v>
      </c>
      <c r="BB521" s="192" t="s">
        <v>621</v>
      </c>
      <c r="BC521" s="188"/>
      <c r="BD521" s="188"/>
      <c r="BE521" s="224">
        <v>3.8</v>
      </c>
      <c r="BF521" s="187"/>
      <c r="BG521" s="225" t="s">
        <v>223</v>
      </c>
      <c r="BH521" s="136"/>
      <c r="BI521" s="186"/>
      <c r="BJ521" s="185"/>
      <c r="BK521" s="181"/>
      <c r="BL521" s="36" t="str">
        <f>VLOOKUP($AP521,'[1]V1 V2'!$B$5:$BW$1894,74,0)</f>
        <v>C.F.1</v>
      </c>
      <c r="BM521" s="36" t="str">
        <f>IF('[1]V1 V2'!X520="","",'[1]V1 V2'!X520)</f>
        <v/>
      </c>
    </row>
    <row r="522" spans="1:65" ht="44" thickBot="1" x14ac:dyDescent="0.4">
      <c r="A522">
        <v>1</v>
      </c>
      <c r="B522" s="250" t="s">
        <v>1590</v>
      </c>
      <c r="C522" s="251"/>
      <c r="D522" s="252"/>
      <c r="E522" s="36">
        <f>VLOOKUP($B522,'[1]V1 V2'!$B$5:$BW$1894,74,0)</f>
        <v>0</v>
      </c>
      <c r="F522" s="144"/>
      <c r="G522" s="145" t="s">
        <v>592</v>
      </c>
      <c r="H522" s="98" t="s">
        <v>593</v>
      </c>
      <c r="I522" s="144"/>
      <c r="J522" s="390"/>
      <c r="K522" s="147"/>
      <c r="L522" s="148"/>
      <c r="M522" s="149"/>
      <c r="N522" s="150"/>
      <c r="O522" s="151" t="s">
        <v>89</v>
      </c>
      <c r="P522" s="152"/>
      <c r="Q522" s="153"/>
      <c r="R522" s="153"/>
      <c r="S522" s="152"/>
      <c r="T522" s="150"/>
      <c r="U522" s="80"/>
      <c r="V522" s="253"/>
      <c r="W522" s="253"/>
      <c r="X522" s="356"/>
      <c r="Y522" s="154"/>
      <c r="Z522" s="155">
        <v>10.4</v>
      </c>
      <c r="AA522" s="254" t="s">
        <v>1590</v>
      </c>
      <c r="AB522" s="21" t="s">
        <v>2</v>
      </c>
      <c r="AH522" s="63">
        <v>1</v>
      </c>
      <c r="AO522" s="10" t="s">
        <v>3</v>
      </c>
      <c r="AP522" s="254" t="s">
        <v>1590</v>
      </c>
      <c r="AQ522" s="155">
        <v>10.4</v>
      </c>
      <c r="AR522" s="154"/>
      <c r="AS522" s="154"/>
      <c r="AT522" s="154"/>
      <c r="AU522" s="154"/>
      <c r="AV522" s="80"/>
      <c r="AW522" s="150"/>
      <c r="AX522" s="152"/>
      <c r="AY522" s="153"/>
      <c r="AZ522" s="153"/>
      <c r="BA522" s="152"/>
      <c r="BB522" s="157" t="s">
        <v>89</v>
      </c>
      <c r="BC522" s="149"/>
      <c r="BD522" s="149"/>
      <c r="BE522" s="148"/>
      <c r="BF522" s="147"/>
      <c r="BG522" s="158"/>
      <c r="BH522" s="257"/>
      <c r="BI522" s="98" t="s">
        <v>593</v>
      </c>
      <c r="BJ522" s="145" t="s">
        <v>592</v>
      </c>
      <c r="BK522" s="160"/>
      <c r="BL522" s="36">
        <f>VLOOKUP($AP522,'[1]V1 V2'!$B$5:$BW$1894,74,0)</f>
        <v>0</v>
      </c>
      <c r="BM522" s="36" t="str">
        <f>IF('[1]V1 V2'!X521="","",'[1]V1 V2'!X521)</f>
        <v/>
      </c>
    </row>
    <row r="523" spans="1:65" ht="16" thickBot="1" x14ac:dyDescent="0.4">
      <c r="A523">
        <v>1</v>
      </c>
      <c r="B523" s="232" t="s">
        <v>1591</v>
      </c>
      <c r="C523" s="233"/>
      <c r="D523" s="234"/>
      <c r="E523" s="36">
        <f>VLOOKUP($B523,'[1]V1 V2'!$B$5:$BW$1894,74,0)</f>
        <v>0</v>
      </c>
      <c r="F523" s="184"/>
      <c r="G523" s="185"/>
      <c r="H523" s="186"/>
      <c r="I523" s="136"/>
      <c r="J523" s="135" t="s">
        <v>120</v>
      </c>
      <c r="K523" s="187"/>
      <c r="L523" s="224">
        <v>3.8</v>
      </c>
      <c r="M523" s="188"/>
      <c r="N523" s="189"/>
      <c r="O523" s="190"/>
      <c r="P523" s="191"/>
      <c r="Q523" s="223" t="s">
        <v>511</v>
      </c>
      <c r="R523" s="223" t="s">
        <v>29</v>
      </c>
      <c r="S523" s="191"/>
      <c r="T523" s="189" t="s">
        <v>30</v>
      </c>
      <c r="U523" s="132"/>
      <c r="V523" s="222" t="s">
        <v>1592</v>
      </c>
      <c r="W523" s="222" t="s">
        <v>1593</v>
      </c>
      <c r="X523" s="222">
        <v>30719.63900000001</v>
      </c>
      <c r="Y523" s="222">
        <v>4085.4</v>
      </c>
      <c r="Z523" s="198"/>
      <c r="AA523" s="238" t="s">
        <v>1591</v>
      </c>
      <c r="AB523" s="21" t="s">
        <v>2</v>
      </c>
      <c r="AH523" s="63">
        <v>1</v>
      </c>
      <c r="AO523" s="10" t="s">
        <v>3</v>
      </c>
      <c r="AP523" s="238" t="s">
        <v>1594</v>
      </c>
      <c r="AQ523" s="198"/>
      <c r="AR523" s="222">
        <v>4080.9</v>
      </c>
      <c r="AS523" s="222">
        <f>AS521-AQ522</f>
        <v>30803.638999999996</v>
      </c>
      <c r="AT523" s="222" t="s">
        <v>1595</v>
      </c>
      <c r="AU523" s="222" t="s">
        <v>1596</v>
      </c>
      <c r="AV523" s="132"/>
      <c r="AW523" s="189" t="s">
        <v>30</v>
      </c>
      <c r="AX523" s="191"/>
      <c r="AY523" s="223" t="s">
        <v>29</v>
      </c>
      <c r="AZ523" s="223" t="s">
        <v>511</v>
      </c>
      <c r="BA523" s="191"/>
      <c r="BB523" s="192"/>
      <c r="BC523" s="188"/>
      <c r="BD523" s="188"/>
      <c r="BE523" s="224">
        <v>3.8</v>
      </c>
      <c r="BF523" s="187"/>
      <c r="BG523" s="225" t="s">
        <v>120</v>
      </c>
      <c r="BH523" s="136"/>
      <c r="BI523" s="186"/>
      <c r="BJ523" s="185"/>
      <c r="BK523" s="193"/>
      <c r="BL523" s="36">
        <f>VLOOKUP($AP523,'[1]V1 V2'!$B$5:$BW$1894,74,0)</f>
        <v>0</v>
      </c>
      <c r="BM523" s="36" t="str">
        <f>IF('[1]V1 V2'!X522="","",'[1]V1 V2'!X522)</f>
        <v/>
      </c>
    </row>
    <row r="524" spans="1:65" ht="16" thickBot="1" x14ac:dyDescent="0.4">
      <c r="A524">
        <v>1</v>
      </c>
      <c r="B524" s="232"/>
      <c r="C524" s="233"/>
      <c r="D524" s="234"/>
      <c r="E524" s="36"/>
      <c r="F524" s="184"/>
      <c r="G524" s="185"/>
      <c r="H524" s="186"/>
      <c r="I524" s="136"/>
      <c r="J524" s="135"/>
      <c r="K524" s="187"/>
      <c r="L524" s="224"/>
      <c r="M524" s="188"/>
      <c r="N524" s="189"/>
      <c r="O524" s="190"/>
      <c r="P524" s="191"/>
      <c r="Q524" s="223"/>
      <c r="R524" s="223"/>
      <c r="S524" s="191"/>
      <c r="T524" s="189"/>
      <c r="U524" s="132"/>
      <c r="V524" s="222" t="s">
        <v>89</v>
      </c>
      <c r="W524" s="222" t="s">
        <v>89</v>
      </c>
      <c r="X524" s="226"/>
      <c r="Y524" s="222"/>
      <c r="Z524" s="198">
        <v>10.009999999997945</v>
      </c>
      <c r="AA524" s="238"/>
      <c r="AB524" s="21" t="s">
        <v>2</v>
      </c>
      <c r="AH524" s="63">
        <v>1</v>
      </c>
      <c r="AO524" s="10" t="s">
        <v>3</v>
      </c>
      <c r="AP524" s="238"/>
      <c r="AQ524" s="198">
        <v>10</v>
      </c>
      <c r="AR524" s="222"/>
      <c r="AS524" s="222"/>
      <c r="AT524" s="222" t="s">
        <v>89</v>
      </c>
      <c r="AU524" s="222" t="s">
        <v>89</v>
      </c>
      <c r="AV524" s="132"/>
      <c r="AW524" s="189"/>
      <c r="AX524" s="191"/>
      <c r="AY524" s="223"/>
      <c r="AZ524" s="223"/>
      <c r="BA524" s="191"/>
      <c r="BB524" s="192"/>
      <c r="BC524" s="188"/>
      <c r="BD524" s="188"/>
      <c r="BE524" s="224"/>
      <c r="BF524" s="187"/>
      <c r="BG524" s="135"/>
      <c r="BH524" s="136"/>
      <c r="BI524" s="186"/>
      <c r="BJ524" s="185"/>
      <c r="BK524" s="193"/>
      <c r="BL524" s="36"/>
      <c r="BM524" s="36" t="str">
        <f>IF('[1]V1 V2'!X523="","",'[1]V1 V2'!X523)</f>
        <v/>
      </c>
    </row>
    <row r="525" spans="1:65" ht="16" thickBot="1" x14ac:dyDescent="0.4">
      <c r="A525">
        <v>1</v>
      </c>
      <c r="B525" s="232" t="s">
        <v>1597</v>
      </c>
      <c r="C525" s="233"/>
      <c r="D525" s="234"/>
      <c r="E525" s="36">
        <f>VLOOKUP($B525,'[1]V1 V2'!$B$5:$BW$1894,74,0)</f>
        <v>0</v>
      </c>
      <c r="F525" s="184"/>
      <c r="G525" s="185"/>
      <c r="H525" s="186"/>
      <c r="I525" s="136"/>
      <c r="J525" s="135" t="s">
        <v>113</v>
      </c>
      <c r="K525" s="187"/>
      <c r="L525" s="224">
        <v>3.8</v>
      </c>
      <c r="M525" s="188"/>
      <c r="N525" s="189"/>
      <c r="O525" s="190"/>
      <c r="P525" s="191"/>
      <c r="Q525" s="223" t="s">
        <v>511</v>
      </c>
      <c r="R525" s="223" t="s">
        <v>29</v>
      </c>
      <c r="S525" s="191"/>
      <c r="T525" s="189" t="s">
        <v>30</v>
      </c>
      <c r="U525" s="132"/>
      <c r="V525" s="222" t="s">
        <v>1598</v>
      </c>
      <c r="W525" s="222" t="s">
        <v>1599</v>
      </c>
      <c r="X525" s="222">
        <v>30709.629000000012</v>
      </c>
      <c r="Y525" s="222">
        <v>4095.409999999998</v>
      </c>
      <c r="Z525" s="198"/>
      <c r="AA525" s="238" t="s">
        <v>1597</v>
      </c>
      <c r="AB525" s="21" t="s">
        <v>2</v>
      </c>
      <c r="AH525" s="63">
        <v>1</v>
      </c>
      <c r="AO525" s="10" t="s">
        <v>3</v>
      </c>
      <c r="AP525" s="238" t="s">
        <v>1600</v>
      </c>
      <c r="AQ525" s="198"/>
      <c r="AR525" s="222">
        <v>4090.9</v>
      </c>
      <c r="AS525" s="222">
        <f>AS523-AQ524</f>
        <v>30793.638999999996</v>
      </c>
      <c r="AT525" s="222" t="s">
        <v>1601</v>
      </c>
      <c r="AU525" s="222" t="s">
        <v>1602</v>
      </c>
      <c r="AV525" s="132"/>
      <c r="AW525" s="189" t="s">
        <v>30</v>
      </c>
      <c r="AX525" s="191"/>
      <c r="AY525" s="223" t="s">
        <v>29</v>
      </c>
      <c r="AZ525" s="223" t="s">
        <v>511</v>
      </c>
      <c r="BA525" s="191"/>
      <c r="BB525" s="192"/>
      <c r="BC525" s="188"/>
      <c r="BD525" s="188"/>
      <c r="BE525" s="224">
        <v>3.8</v>
      </c>
      <c r="BF525" s="187"/>
      <c r="BG525" s="225" t="s">
        <v>113</v>
      </c>
      <c r="BH525" s="136"/>
      <c r="BI525" s="186"/>
      <c r="BJ525" s="185"/>
      <c r="BK525" s="193"/>
      <c r="BL525" s="36">
        <f>VLOOKUP($AP525,'[1]V1 V2'!$B$5:$BW$1894,74,0)</f>
        <v>0</v>
      </c>
      <c r="BM525" s="36" t="str">
        <f>IF('[1]V1 V2'!X524="","",'[1]V1 V2'!X524)</f>
        <v/>
      </c>
    </row>
    <row r="526" spans="1:65" ht="16" thickBot="1" x14ac:dyDescent="0.4">
      <c r="A526">
        <v>1</v>
      </c>
      <c r="B526" s="232"/>
      <c r="C526" s="233"/>
      <c r="D526" s="234"/>
      <c r="E526" s="36"/>
      <c r="F526" s="184"/>
      <c r="G526" s="185"/>
      <c r="H526" s="186"/>
      <c r="I526" s="136"/>
      <c r="J526" s="135"/>
      <c r="K526" s="187"/>
      <c r="L526" s="224"/>
      <c r="M526" s="188"/>
      <c r="N526" s="189"/>
      <c r="O526" s="190"/>
      <c r="P526" s="191"/>
      <c r="Q526" s="223"/>
      <c r="R526" s="223"/>
      <c r="S526" s="191"/>
      <c r="T526" s="189"/>
      <c r="U526" s="132"/>
      <c r="V526" s="222" t="s">
        <v>89</v>
      </c>
      <c r="W526" s="222" t="s">
        <v>89</v>
      </c>
      <c r="X526" s="226"/>
      <c r="Y526" s="222"/>
      <c r="Z526" s="198">
        <v>12</v>
      </c>
      <c r="AA526" s="238"/>
      <c r="AB526" s="21" t="s">
        <v>2</v>
      </c>
      <c r="AH526" s="63">
        <v>1</v>
      </c>
      <c r="AO526" s="10" t="s">
        <v>3</v>
      </c>
      <c r="AP526" s="238"/>
      <c r="AQ526" s="198">
        <v>12</v>
      </c>
      <c r="AR526" s="222"/>
      <c r="AS526" s="222"/>
      <c r="AT526" s="222" t="s">
        <v>89</v>
      </c>
      <c r="AU526" s="222" t="s">
        <v>89</v>
      </c>
      <c r="AV526" s="132"/>
      <c r="AW526" s="189"/>
      <c r="AX526" s="191"/>
      <c r="AY526" s="223"/>
      <c r="AZ526" s="223"/>
      <c r="BA526" s="191"/>
      <c r="BB526" s="192"/>
      <c r="BC526" s="188"/>
      <c r="BD526" s="188"/>
      <c r="BE526" s="224"/>
      <c r="BF526" s="187"/>
      <c r="BG526" s="135"/>
      <c r="BH526" s="136"/>
      <c r="BI526" s="186"/>
      <c r="BJ526" s="185"/>
      <c r="BK526" s="193"/>
      <c r="BL526" s="36"/>
      <c r="BM526" s="36" t="str">
        <f>IF('[1]V1 V2'!X525="","",'[1]V1 V2'!X525)</f>
        <v/>
      </c>
    </row>
    <row r="527" spans="1:65" ht="16" thickBot="1" x14ac:dyDescent="0.4">
      <c r="A527">
        <v>1</v>
      </c>
      <c r="B527" s="232" t="s">
        <v>1603</v>
      </c>
      <c r="C527" s="233"/>
      <c r="D527" s="234"/>
      <c r="E527" s="36">
        <f>VLOOKUP($B527,'[1]V1 V2'!$B$5:$BW$1894,74,0)</f>
        <v>0</v>
      </c>
      <c r="F527" s="184"/>
      <c r="G527" s="185"/>
      <c r="H527" s="186"/>
      <c r="I527" s="136"/>
      <c r="J527" s="135">
        <v>-4</v>
      </c>
      <c r="K527" s="187"/>
      <c r="L527" s="224">
        <v>3.8</v>
      </c>
      <c r="M527" s="188"/>
      <c r="N527" s="189"/>
      <c r="O527" s="190"/>
      <c r="P527" s="191"/>
      <c r="Q527" s="223" t="s">
        <v>511</v>
      </c>
      <c r="R527" s="223" t="s">
        <v>29</v>
      </c>
      <c r="S527" s="191"/>
      <c r="T527" s="189" t="s">
        <v>30</v>
      </c>
      <c r="U527" s="132"/>
      <c r="V527" s="222" t="s">
        <v>1604</v>
      </c>
      <c r="W527" s="222" t="s">
        <v>1605</v>
      </c>
      <c r="X527" s="222">
        <v>30697.629000000012</v>
      </c>
      <c r="Y527" s="222">
        <v>4107.409999999998</v>
      </c>
      <c r="Z527" s="198"/>
      <c r="AA527" s="238" t="s">
        <v>1603</v>
      </c>
      <c r="AB527" s="21" t="s">
        <v>2</v>
      </c>
      <c r="AC527" s="163"/>
      <c r="AD527" s="163"/>
      <c r="AE527" s="163"/>
      <c r="AF527" s="163"/>
      <c r="AG527" s="163"/>
      <c r="AH527" s="164">
        <v>1</v>
      </c>
      <c r="AI527" s="163"/>
      <c r="AJ527" s="163"/>
      <c r="AK527" s="163"/>
      <c r="AL527" s="163"/>
      <c r="AM527" s="163"/>
      <c r="AN527" s="163"/>
      <c r="AO527" s="10" t="s">
        <v>3</v>
      </c>
      <c r="AP527" s="238" t="s">
        <v>1606</v>
      </c>
      <c r="AQ527" s="198"/>
      <c r="AR527" s="222">
        <v>4102.8999999999996</v>
      </c>
      <c r="AS527" s="222">
        <f>AS525-AQ526</f>
        <v>30781.638999999996</v>
      </c>
      <c r="AT527" s="222" t="s">
        <v>1607</v>
      </c>
      <c r="AU527" s="222" t="s">
        <v>1608</v>
      </c>
      <c r="AV527" s="132"/>
      <c r="AW527" s="189" t="s">
        <v>30</v>
      </c>
      <c r="AX527" s="191"/>
      <c r="AY527" s="223" t="s">
        <v>29</v>
      </c>
      <c r="AZ527" s="223" t="s">
        <v>511</v>
      </c>
      <c r="BA527" s="191"/>
      <c r="BB527" s="192"/>
      <c r="BC527" s="188"/>
      <c r="BD527" s="188"/>
      <c r="BE527" s="224">
        <v>3.8</v>
      </c>
      <c r="BF527" s="187"/>
      <c r="BG527" s="135">
        <v>-4</v>
      </c>
      <c r="BH527" s="136"/>
      <c r="BI527" s="186"/>
      <c r="BJ527" s="185"/>
      <c r="BK527" s="193"/>
      <c r="BL527" s="36">
        <f>VLOOKUP($AP527,'[1]V1 V2'!$B$5:$BW$1894,74,0)</f>
        <v>0</v>
      </c>
      <c r="BM527" s="36" t="str">
        <f>IF('[1]V1 V2'!X526="","",'[1]V1 V2'!X526)</f>
        <v/>
      </c>
    </row>
    <row r="528" spans="1:65" ht="16" thickBot="1" x14ac:dyDescent="0.4">
      <c r="A528">
        <v>1</v>
      </c>
      <c r="B528" s="232"/>
      <c r="C528" s="233"/>
      <c r="D528" s="234"/>
      <c r="E528" s="36"/>
      <c r="F528" s="184"/>
      <c r="G528" s="185"/>
      <c r="H528" s="186"/>
      <c r="I528" s="136"/>
      <c r="J528" s="135"/>
      <c r="K528" s="187"/>
      <c r="L528" s="224"/>
      <c r="M528" s="188"/>
      <c r="N528" s="189"/>
      <c r="O528" s="190"/>
      <c r="P528" s="191"/>
      <c r="Q528" s="223"/>
      <c r="R528" s="223"/>
      <c r="S528" s="191"/>
      <c r="T528" s="189"/>
      <c r="U528" s="132"/>
      <c r="V528" s="222" t="s">
        <v>89</v>
      </c>
      <c r="W528" s="222" t="s">
        <v>89</v>
      </c>
      <c r="X528" s="226"/>
      <c r="Y528" s="222"/>
      <c r="Z528" s="198">
        <v>12</v>
      </c>
      <c r="AA528" s="238"/>
      <c r="AB528" s="21" t="s">
        <v>2</v>
      </c>
      <c r="AC528" s="113"/>
      <c r="AD528" s="113"/>
      <c r="AE528" s="113"/>
      <c r="AF528" s="113"/>
      <c r="AG528" s="113"/>
      <c r="AH528" s="391">
        <v>1</v>
      </c>
      <c r="AI528" s="113"/>
      <c r="AJ528" s="113"/>
      <c r="AK528" s="113"/>
      <c r="AL528" s="113"/>
      <c r="AM528" s="113"/>
      <c r="AN528" s="113"/>
      <c r="AO528" s="10" t="s">
        <v>3</v>
      </c>
      <c r="AP528" s="238"/>
      <c r="AQ528" s="198">
        <f>AR529-AR527</f>
        <v>12</v>
      </c>
      <c r="AR528" s="222"/>
      <c r="AS528" s="222"/>
      <c r="AT528" s="222" t="s">
        <v>89</v>
      </c>
      <c r="AU528" s="222" t="s">
        <v>89</v>
      </c>
      <c r="AV528" s="132"/>
      <c r="AW528" s="189"/>
      <c r="AX528" s="191"/>
      <c r="AY528" s="223"/>
      <c r="AZ528" s="223"/>
      <c r="BA528" s="191"/>
      <c r="BB528" s="192"/>
      <c r="BC528" s="188"/>
      <c r="BD528" s="188"/>
      <c r="BE528" s="224"/>
      <c r="BF528" s="187"/>
      <c r="BG528" s="135"/>
      <c r="BH528" s="136"/>
      <c r="BI528" s="186"/>
      <c r="BJ528" s="185"/>
      <c r="BK528" s="193"/>
      <c r="BL528" s="36"/>
      <c r="BM528" s="36" t="str">
        <f>IF('[1]V1 V2'!X527="","",'[1]V1 V2'!X527)</f>
        <v/>
      </c>
    </row>
    <row r="529" spans="1:65" ht="16" thickBot="1" x14ac:dyDescent="0.4">
      <c r="A529">
        <v>1</v>
      </c>
      <c r="B529" s="232" t="s">
        <v>1609</v>
      </c>
      <c r="C529" s="233"/>
      <c r="D529" s="234"/>
      <c r="E529" s="36">
        <f>VLOOKUP($B529,'[1]V1 V2'!$B$5:$BW$1894,74,0)</f>
        <v>0</v>
      </c>
      <c r="F529" s="184"/>
      <c r="G529" s="185"/>
      <c r="H529" s="186"/>
      <c r="I529" s="136"/>
      <c r="J529" s="135">
        <v>-12</v>
      </c>
      <c r="K529" s="187"/>
      <c r="L529" s="224">
        <v>3.8</v>
      </c>
      <c r="M529" s="188"/>
      <c r="N529" s="189"/>
      <c r="O529" s="190"/>
      <c r="P529" s="191"/>
      <c r="Q529" s="223" t="s">
        <v>511</v>
      </c>
      <c r="R529" s="223" t="s">
        <v>29</v>
      </c>
      <c r="S529" s="191"/>
      <c r="T529" s="189" t="s">
        <v>30</v>
      </c>
      <c r="U529" s="132"/>
      <c r="V529" s="222" t="s">
        <v>1610</v>
      </c>
      <c r="W529" s="222" t="s">
        <v>1611</v>
      </c>
      <c r="X529" s="222">
        <v>30685.629000000012</v>
      </c>
      <c r="Y529" s="222">
        <v>4119.409999999998</v>
      </c>
      <c r="Z529" s="198"/>
      <c r="AA529" s="238" t="s">
        <v>1609</v>
      </c>
      <c r="AB529" s="21" t="s">
        <v>2</v>
      </c>
      <c r="AH529" s="63">
        <v>1</v>
      </c>
      <c r="AO529" s="10" t="s">
        <v>3</v>
      </c>
      <c r="AP529" s="238" t="s">
        <v>1612</v>
      </c>
      <c r="AQ529" s="198"/>
      <c r="AR529" s="222">
        <v>4114.8999999999996</v>
      </c>
      <c r="AS529" s="222">
        <f>AS527-AQ528</f>
        <v>30769.638999999996</v>
      </c>
      <c r="AT529" s="222" t="s">
        <v>1613</v>
      </c>
      <c r="AU529" s="222" t="s">
        <v>1614</v>
      </c>
      <c r="AV529" s="132"/>
      <c r="AW529" s="189" t="s">
        <v>30</v>
      </c>
      <c r="AX529" s="191"/>
      <c r="AY529" s="223" t="s">
        <v>29</v>
      </c>
      <c r="AZ529" s="223" t="s">
        <v>511</v>
      </c>
      <c r="BA529" s="191"/>
      <c r="BB529" s="192"/>
      <c r="BC529" s="188"/>
      <c r="BD529" s="188"/>
      <c r="BE529" s="224">
        <v>3.8</v>
      </c>
      <c r="BF529" s="187"/>
      <c r="BG529" s="135">
        <v>-12</v>
      </c>
      <c r="BH529" s="136"/>
      <c r="BI529" s="186"/>
      <c r="BJ529" s="185"/>
      <c r="BK529" s="193"/>
      <c r="BL529" s="36">
        <f>VLOOKUP($AP529,'[1]V1 V2'!$B$5:$BW$1894,74,0)</f>
        <v>0</v>
      </c>
      <c r="BM529" s="36" t="str">
        <f>IF('[1]V1 V2'!X528="","",'[1]V1 V2'!X528)</f>
        <v/>
      </c>
    </row>
    <row r="530" spans="1:65" ht="16" thickBot="1" x14ac:dyDescent="0.4">
      <c r="A530">
        <v>1</v>
      </c>
      <c r="B530" s="232"/>
      <c r="C530" s="233"/>
      <c r="D530" s="234"/>
      <c r="E530" s="36"/>
      <c r="F530" s="184"/>
      <c r="G530" s="185"/>
      <c r="H530" s="186"/>
      <c r="I530" s="136"/>
      <c r="J530" s="135"/>
      <c r="K530" s="187"/>
      <c r="L530" s="224"/>
      <c r="M530" s="188"/>
      <c r="N530" s="189"/>
      <c r="O530" s="190"/>
      <c r="P530" s="191"/>
      <c r="Q530" s="223"/>
      <c r="R530" s="223"/>
      <c r="S530" s="191"/>
      <c r="T530" s="189"/>
      <c r="U530" s="132"/>
      <c r="V530" s="222" t="s">
        <v>89</v>
      </c>
      <c r="W530" s="222" t="s">
        <v>89</v>
      </c>
      <c r="X530" s="226"/>
      <c r="Y530" s="222"/>
      <c r="Z530" s="198">
        <v>12</v>
      </c>
      <c r="AA530" s="238"/>
      <c r="AB530" s="21" t="s">
        <v>2</v>
      </c>
      <c r="AH530" s="63">
        <v>1</v>
      </c>
      <c r="AO530" s="10" t="s">
        <v>3</v>
      </c>
      <c r="AP530" s="238"/>
      <c r="AQ530" s="198">
        <f>AR531-AR529</f>
        <v>12</v>
      </c>
      <c r="AR530" s="222"/>
      <c r="AS530" s="222"/>
      <c r="AT530" s="222" t="s">
        <v>89</v>
      </c>
      <c r="AU530" s="222" t="s">
        <v>89</v>
      </c>
      <c r="AV530" s="132"/>
      <c r="AW530" s="189"/>
      <c r="AX530" s="191"/>
      <c r="AY530" s="223"/>
      <c r="AZ530" s="223"/>
      <c r="BA530" s="191"/>
      <c r="BB530" s="192"/>
      <c r="BC530" s="188"/>
      <c r="BD530" s="188"/>
      <c r="BE530" s="224"/>
      <c r="BF530" s="187"/>
      <c r="BG530" s="135"/>
      <c r="BH530" s="136"/>
      <c r="BI530" s="186"/>
      <c r="BJ530" s="185"/>
      <c r="BK530" s="193"/>
      <c r="BL530" s="36"/>
      <c r="BM530" s="36" t="str">
        <f>IF('[1]V1 V2'!X529="","",'[1]V1 V2'!X529)</f>
        <v/>
      </c>
    </row>
    <row r="531" spans="1:65" ht="16" thickBot="1" x14ac:dyDescent="0.4">
      <c r="A531">
        <v>1</v>
      </c>
      <c r="B531" s="232" t="s">
        <v>1615</v>
      </c>
      <c r="C531" s="233"/>
      <c r="D531" s="234"/>
      <c r="E531" s="36">
        <f>VLOOKUP($B531,'[1]V1 V2'!$B$5:$BW$1894,74,0)</f>
        <v>0</v>
      </c>
      <c r="F531" s="184"/>
      <c r="G531" s="185"/>
      <c r="H531" s="186"/>
      <c r="I531" s="136"/>
      <c r="J531" s="135">
        <v>-20</v>
      </c>
      <c r="K531" s="187"/>
      <c r="L531" s="224">
        <v>3.8</v>
      </c>
      <c r="M531" s="188"/>
      <c r="N531" s="189"/>
      <c r="O531" s="190"/>
      <c r="P531" s="191"/>
      <c r="Q531" s="223" t="s">
        <v>511</v>
      </c>
      <c r="R531" s="223" t="s">
        <v>29</v>
      </c>
      <c r="S531" s="191"/>
      <c r="T531" s="189" t="s">
        <v>30</v>
      </c>
      <c r="U531" s="132"/>
      <c r="V531" s="222" t="s">
        <v>1616</v>
      </c>
      <c r="W531" s="222" t="s">
        <v>1617</v>
      </c>
      <c r="X531" s="222">
        <v>30673.629000000012</v>
      </c>
      <c r="Y531" s="222">
        <v>4131.409999999998</v>
      </c>
      <c r="Z531" s="198"/>
      <c r="AA531" s="238" t="s">
        <v>1615</v>
      </c>
      <c r="AB531" s="21" t="s">
        <v>2</v>
      </c>
      <c r="AH531" s="63">
        <v>1</v>
      </c>
      <c r="AO531" s="10" t="s">
        <v>3</v>
      </c>
      <c r="AP531" s="238" t="s">
        <v>1618</v>
      </c>
      <c r="AQ531" s="198"/>
      <c r="AR531" s="222">
        <v>4126.8999999999996</v>
      </c>
      <c r="AS531" s="222">
        <f>AS529-AQ530</f>
        <v>30757.638999999996</v>
      </c>
      <c r="AT531" s="222" t="s">
        <v>1619</v>
      </c>
      <c r="AU531" s="222" t="s">
        <v>1620</v>
      </c>
      <c r="AV531" s="132"/>
      <c r="AW531" s="189" t="s">
        <v>30</v>
      </c>
      <c r="AX531" s="191"/>
      <c r="AY531" s="223" t="s">
        <v>29</v>
      </c>
      <c r="AZ531" s="223" t="s">
        <v>511</v>
      </c>
      <c r="BA531" s="191"/>
      <c r="BB531" s="192"/>
      <c r="BC531" s="188"/>
      <c r="BD531" s="188"/>
      <c r="BE531" s="224">
        <v>3.8</v>
      </c>
      <c r="BF531" s="187"/>
      <c r="BG531" s="135">
        <v>-20</v>
      </c>
      <c r="BH531" s="136"/>
      <c r="BI531" s="186"/>
      <c r="BJ531" s="185"/>
      <c r="BK531" s="193"/>
      <c r="BL531" s="36">
        <f>VLOOKUP($AP531,'[1]V1 V2'!$B$5:$BW$1894,74,0)</f>
        <v>0</v>
      </c>
      <c r="BM531" s="36" t="str">
        <f>IF('[1]V1 V2'!X530="","",'[1]V1 V2'!X530)</f>
        <v/>
      </c>
    </row>
    <row r="532" spans="1:65" ht="16" thickBot="1" x14ac:dyDescent="0.4">
      <c r="A532">
        <v>1</v>
      </c>
      <c r="B532" s="232"/>
      <c r="C532" s="233"/>
      <c r="D532" s="234"/>
      <c r="E532" s="36"/>
      <c r="F532" s="184"/>
      <c r="G532" s="185"/>
      <c r="H532" s="186"/>
      <c r="I532" s="136"/>
      <c r="J532" s="135"/>
      <c r="K532" s="187"/>
      <c r="L532" s="224"/>
      <c r="M532" s="188"/>
      <c r="N532" s="189"/>
      <c r="O532" s="190"/>
      <c r="P532" s="191"/>
      <c r="Q532" s="223"/>
      <c r="R532" s="223"/>
      <c r="S532" s="191"/>
      <c r="T532" s="189"/>
      <c r="U532" s="132"/>
      <c r="V532" s="222" t="s">
        <v>89</v>
      </c>
      <c r="W532" s="222" t="s">
        <v>89</v>
      </c>
      <c r="X532" s="226"/>
      <c r="Y532" s="222"/>
      <c r="Z532" s="198">
        <v>12</v>
      </c>
      <c r="AA532" s="238"/>
      <c r="AB532" s="21" t="s">
        <v>2</v>
      </c>
      <c r="AH532" s="63">
        <v>1</v>
      </c>
      <c r="AO532" s="10" t="s">
        <v>3</v>
      </c>
      <c r="AP532" s="238"/>
      <c r="AQ532" s="198">
        <f>AR533-AR531</f>
        <v>12</v>
      </c>
      <c r="AR532" s="222"/>
      <c r="AS532" s="222"/>
      <c r="AT532" s="222" t="s">
        <v>89</v>
      </c>
      <c r="AU532" s="222" t="s">
        <v>89</v>
      </c>
      <c r="AV532" s="132"/>
      <c r="AW532" s="189"/>
      <c r="AX532" s="191"/>
      <c r="AY532" s="223"/>
      <c r="AZ532" s="223"/>
      <c r="BA532" s="191"/>
      <c r="BB532" s="192"/>
      <c r="BC532" s="188"/>
      <c r="BD532" s="188"/>
      <c r="BE532" s="224"/>
      <c r="BF532" s="187"/>
      <c r="BG532" s="135"/>
      <c r="BH532" s="136"/>
      <c r="BI532" s="186"/>
      <c r="BJ532" s="185"/>
      <c r="BK532" s="193"/>
      <c r="BL532" s="36"/>
      <c r="BM532" s="36" t="str">
        <f>IF('[1]V1 V2'!X531="","",'[1]V1 V2'!X531)</f>
        <v/>
      </c>
    </row>
    <row r="533" spans="1:65" ht="16" thickBot="1" x14ac:dyDescent="0.4">
      <c r="A533">
        <v>1</v>
      </c>
      <c r="B533" s="232" t="s">
        <v>1621</v>
      </c>
      <c r="C533" s="233"/>
      <c r="D533" s="234"/>
      <c r="E533" s="36">
        <f>VLOOKUP($B533,'[1]V1 V2'!$B$5:$BW$1894,74,0)</f>
        <v>0</v>
      </c>
      <c r="F533" s="184"/>
      <c r="G533" s="185"/>
      <c r="H533" s="186"/>
      <c r="I533" s="136"/>
      <c r="J533" s="135">
        <v>-12</v>
      </c>
      <c r="K533" s="187"/>
      <c r="L533" s="224">
        <v>3.8</v>
      </c>
      <c r="M533" s="188"/>
      <c r="N533" s="189"/>
      <c r="O533" s="190"/>
      <c r="P533" s="191"/>
      <c r="Q533" s="223" t="s">
        <v>511</v>
      </c>
      <c r="R533" s="223" t="s">
        <v>29</v>
      </c>
      <c r="S533" s="191"/>
      <c r="T533" s="189" t="s">
        <v>30</v>
      </c>
      <c r="U533" s="132"/>
      <c r="V533" s="222" t="s">
        <v>1622</v>
      </c>
      <c r="W533" s="222" t="s">
        <v>1623</v>
      </c>
      <c r="X533" s="222">
        <v>30661.629000000012</v>
      </c>
      <c r="Y533" s="222">
        <v>4143.409999999998</v>
      </c>
      <c r="Z533" s="198"/>
      <c r="AA533" s="238" t="s">
        <v>1621</v>
      </c>
      <c r="AB533" s="21" t="s">
        <v>2</v>
      </c>
      <c r="AH533" s="63">
        <v>1</v>
      </c>
      <c r="AO533" s="10" t="s">
        <v>3</v>
      </c>
      <c r="AP533" s="238" t="s">
        <v>1624</v>
      </c>
      <c r="AQ533" s="198"/>
      <c r="AR533" s="222">
        <v>4138.8999999999996</v>
      </c>
      <c r="AS533" s="222">
        <f>AS531-AQ532</f>
        <v>30745.638999999996</v>
      </c>
      <c r="AT533" s="222" t="s">
        <v>1625</v>
      </c>
      <c r="AU533" s="222" t="s">
        <v>1626</v>
      </c>
      <c r="AV533" s="132"/>
      <c r="AW533" s="189" t="s">
        <v>30</v>
      </c>
      <c r="AX533" s="191"/>
      <c r="AY533" s="223" t="s">
        <v>29</v>
      </c>
      <c r="AZ533" s="223" t="s">
        <v>511</v>
      </c>
      <c r="BA533" s="191"/>
      <c r="BB533" s="192"/>
      <c r="BC533" s="188"/>
      <c r="BD533" s="188"/>
      <c r="BE533" s="224">
        <v>3.8</v>
      </c>
      <c r="BF533" s="187"/>
      <c r="BG533" s="135">
        <v>-12</v>
      </c>
      <c r="BH533" s="136"/>
      <c r="BI533" s="186"/>
      <c r="BJ533" s="185"/>
      <c r="BK533" s="193"/>
      <c r="BL533" s="36">
        <f>VLOOKUP($AP533,'[1]V1 V2'!$B$5:$BW$1894,74,0)</f>
        <v>0</v>
      </c>
      <c r="BM533" s="36" t="str">
        <f>IF('[1]V1 V2'!X532="","",'[1]V1 V2'!X532)</f>
        <v/>
      </c>
    </row>
    <row r="534" spans="1:65" ht="16" thickBot="1" x14ac:dyDescent="0.4">
      <c r="A534">
        <v>1</v>
      </c>
      <c r="B534" s="232"/>
      <c r="C534" s="233"/>
      <c r="D534" s="234"/>
      <c r="E534" s="36"/>
      <c r="F534" s="184"/>
      <c r="G534" s="185"/>
      <c r="H534" s="186"/>
      <c r="I534" s="136"/>
      <c r="J534" s="135"/>
      <c r="K534" s="187"/>
      <c r="L534" s="224"/>
      <c r="M534" s="188"/>
      <c r="N534" s="189"/>
      <c r="O534" s="190"/>
      <c r="P534" s="191"/>
      <c r="Q534" s="223"/>
      <c r="R534" s="223"/>
      <c r="S534" s="191"/>
      <c r="T534" s="189"/>
      <c r="U534" s="132"/>
      <c r="V534" s="222" t="s">
        <v>89</v>
      </c>
      <c r="W534" s="222" t="s">
        <v>89</v>
      </c>
      <c r="X534" s="226"/>
      <c r="Y534" s="222"/>
      <c r="Z534" s="198">
        <v>12</v>
      </c>
      <c r="AA534" s="238"/>
      <c r="AB534" s="21" t="s">
        <v>2</v>
      </c>
      <c r="AH534" s="63">
        <v>1</v>
      </c>
      <c r="AO534" s="10" t="s">
        <v>3</v>
      </c>
      <c r="AP534" s="238"/>
      <c r="AQ534" s="198">
        <f>AR535-AR533</f>
        <v>12</v>
      </c>
      <c r="AR534" s="222"/>
      <c r="AS534" s="222"/>
      <c r="AT534" s="222" t="s">
        <v>89</v>
      </c>
      <c r="AU534" s="222" t="s">
        <v>89</v>
      </c>
      <c r="AV534" s="132"/>
      <c r="AW534" s="189"/>
      <c r="AX534" s="191"/>
      <c r="AY534" s="223"/>
      <c r="AZ534" s="223"/>
      <c r="BA534" s="191"/>
      <c r="BB534" s="192"/>
      <c r="BC534" s="188"/>
      <c r="BD534" s="188"/>
      <c r="BE534" s="224"/>
      <c r="BF534" s="187"/>
      <c r="BG534" s="135"/>
      <c r="BH534" s="136"/>
      <c r="BI534" s="186"/>
      <c r="BJ534" s="185"/>
      <c r="BK534" s="193"/>
      <c r="BL534" s="36"/>
      <c r="BM534" s="36" t="str">
        <f>IF('[1]V1 V2'!X533="","",'[1]V1 V2'!X533)</f>
        <v/>
      </c>
    </row>
    <row r="535" spans="1:65" ht="16" thickBot="1" x14ac:dyDescent="0.4">
      <c r="A535">
        <v>1</v>
      </c>
      <c r="B535" s="232" t="s">
        <v>1627</v>
      </c>
      <c r="C535" s="233"/>
      <c r="D535" s="234"/>
      <c r="E535" s="36">
        <f>VLOOKUP($B535,'[1]V1 V2'!$B$5:$BW$1894,74,0)</f>
        <v>0</v>
      </c>
      <c r="F535" s="184"/>
      <c r="G535" s="185"/>
      <c r="H535" s="186"/>
      <c r="I535" s="392"/>
      <c r="J535" s="392">
        <v>-4</v>
      </c>
      <c r="K535" s="187"/>
      <c r="L535" s="224">
        <v>3.8</v>
      </c>
      <c r="M535" s="188"/>
      <c r="N535" s="189"/>
      <c r="O535" s="190"/>
      <c r="P535" s="191"/>
      <c r="Q535" s="223" t="s">
        <v>511</v>
      </c>
      <c r="R535" s="223" t="s">
        <v>29</v>
      </c>
      <c r="S535" s="191"/>
      <c r="T535" s="189" t="s">
        <v>30</v>
      </c>
      <c r="U535" s="132"/>
      <c r="V535" s="222" t="s">
        <v>1628</v>
      </c>
      <c r="W535" s="222" t="s">
        <v>1623</v>
      </c>
      <c r="X535" s="222">
        <v>30649.629000000012</v>
      </c>
      <c r="Y535" s="222">
        <v>4155.409999999998</v>
      </c>
      <c r="Z535" s="198"/>
      <c r="AA535" s="238" t="s">
        <v>1627</v>
      </c>
      <c r="AB535" s="21" t="s">
        <v>2</v>
      </c>
      <c r="AH535" s="63">
        <v>1</v>
      </c>
      <c r="AO535" s="10" t="s">
        <v>3</v>
      </c>
      <c r="AP535" s="238" t="s">
        <v>1629</v>
      </c>
      <c r="AQ535" s="198"/>
      <c r="AR535" s="222">
        <v>4150.8999999999996</v>
      </c>
      <c r="AS535" s="222">
        <f>AS533-AQ534</f>
        <v>30733.638999999996</v>
      </c>
      <c r="AT535" s="222" t="s">
        <v>1630</v>
      </c>
      <c r="AU535" s="222" t="s">
        <v>1631</v>
      </c>
      <c r="AV535" s="132"/>
      <c r="AW535" s="189" t="s">
        <v>30</v>
      </c>
      <c r="AX535" s="191"/>
      <c r="AY535" s="223" t="s">
        <v>29</v>
      </c>
      <c r="AZ535" s="223" t="s">
        <v>511</v>
      </c>
      <c r="BA535" s="191"/>
      <c r="BB535" s="192"/>
      <c r="BC535" s="188"/>
      <c r="BD535" s="188"/>
      <c r="BE535" s="224">
        <v>3.8</v>
      </c>
      <c r="BF535" s="187"/>
      <c r="BG535" s="392">
        <v>-4</v>
      </c>
      <c r="BH535" s="392"/>
      <c r="BI535" s="184"/>
      <c r="BJ535" s="185"/>
      <c r="BK535" s="193"/>
      <c r="BL535" s="36">
        <f>VLOOKUP($AP535,'[1]V1 V2'!$B$5:$BW$1894,74,0)</f>
        <v>0</v>
      </c>
      <c r="BM535" s="36" t="str">
        <f>IF('[1]V1 V2'!X534="","",'[1]V1 V2'!X534)</f>
        <v/>
      </c>
    </row>
    <row r="536" spans="1:65" ht="16" thickBot="1" x14ac:dyDescent="0.4">
      <c r="A536">
        <v>1</v>
      </c>
      <c r="B536" s="232"/>
      <c r="C536" s="233"/>
      <c r="D536" s="234"/>
      <c r="E536" s="36"/>
      <c r="F536" s="184"/>
      <c r="G536" s="185"/>
      <c r="H536" s="186"/>
      <c r="I536" s="392"/>
      <c r="J536" s="392"/>
      <c r="K536" s="187"/>
      <c r="L536" s="224"/>
      <c r="M536" s="188"/>
      <c r="N536" s="189"/>
      <c r="O536" s="190"/>
      <c r="P536" s="191"/>
      <c r="Q536" s="223"/>
      <c r="R536" s="223"/>
      <c r="S536" s="191"/>
      <c r="T536" s="189"/>
      <c r="U536" s="132"/>
      <c r="V536" s="222" t="s">
        <v>89</v>
      </c>
      <c r="W536" s="222" t="s">
        <v>89</v>
      </c>
      <c r="X536" s="226"/>
      <c r="Y536" s="222"/>
      <c r="Z536" s="198">
        <v>12</v>
      </c>
      <c r="AA536" s="238"/>
      <c r="AB536" s="21" t="s">
        <v>2</v>
      </c>
      <c r="AH536" s="63">
        <v>1</v>
      </c>
      <c r="AO536" s="10" t="s">
        <v>3</v>
      </c>
      <c r="AP536" s="238"/>
      <c r="AQ536" s="198">
        <f>AR537-AR535</f>
        <v>12</v>
      </c>
      <c r="AR536" s="222"/>
      <c r="AS536" s="222"/>
      <c r="AT536" s="222" t="s">
        <v>89</v>
      </c>
      <c r="AU536" s="222" t="s">
        <v>89</v>
      </c>
      <c r="AV536" s="132"/>
      <c r="AW536" s="189"/>
      <c r="AX536" s="191"/>
      <c r="AY536" s="223"/>
      <c r="AZ536" s="223"/>
      <c r="BA536" s="191"/>
      <c r="BB536" s="192"/>
      <c r="BC536" s="188"/>
      <c r="BD536" s="188"/>
      <c r="BE536" s="224"/>
      <c r="BF536" s="187"/>
      <c r="BG536" s="392"/>
      <c r="BH536" s="392"/>
      <c r="BI536" s="184"/>
      <c r="BJ536" s="185"/>
      <c r="BK536" s="193"/>
      <c r="BL536" s="36"/>
      <c r="BM536" s="36" t="str">
        <f>IF('[1]V1 V2'!X535="","",'[1]V1 V2'!X535)</f>
        <v/>
      </c>
    </row>
    <row r="537" spans="1:65" ht="16" thickBot="1" x14ac:dyDescent="0.4">
      <c r="A537">
        <v>1</v>
      </c>
      <c r="B537" s="232" t="s">
        <v>1632</v>
      </c>
      <c r="C537" s="233"/>
      <c r="D537" s="234"/>
      <c r="E537" s="36">
        <f>VLOOKUP($B537,'[1]V1 V2'!$B$5:$BW$1894,74,0)</f>
        <v>0</v>
      </c>
      <c r="F537" s="184"/>
      <c r="G537" s="185"/>
      <c r="H537" s="244"/>
      <c r="I537" s="392"/>
      <c r="J537" s="393" t="s">
        <v>113</v>
      </c>
      <c r="K537" s="187"/>
      <c r="L537" s="224">
        <v>3.8</v>
      </c>
      <c r="M537" s="188"/>
      <c r="N537" s="189"/>
      <c r="O537" s="190"/>
      <c r="P537" s="191"/>
      <c r="Q537" s="223" t="s">
        <v>511</v>
      </c>
      <c r="R537" s="223" t="s">
        <v>29</v>
      </c>
      <c r="S537" s="191"/>
      <c r="T537" s="189" t="s">
        <v>30</v>
      </c>
      <c r="U537" s="132"/>
      <c r="V537" s="222" t="s">
        <v>1633</v>
      </c>
      <c r="W537" s="222" t="s">
        <v>1634</v>
      </c>
      <c r="X537" s="222">
        <v>30637.629000000012</v>
      </c>
      <c r="Y537" s="222">
        <v>4167.409999999998</v>
      </c>
      <c r="Z537" s="198"/>
      <c r="AA537" s="238" t="s">
        <v>1632</v>
      </c>
      <c r="AB537" s="21" t="s">
        <v>2</v>
      </c>
      <c r="AH537" s="63">
        <v>1</v>
      </c>
      <c r="AO537" s="10" t="s">
        <v>3</v>
      </c>
      <c r="AP537" s="238" t="s">
        <v>1635</v>
      </c>
      <c r="AQ537" s="198"/>
      <c r="AR537" s="222">
        <v>4162.8999999999996</v>
      </c>
      <c r="AS537" s="222">
        <f>AS535-AQ536</f>
        <v>30721.638999999996</v>
      </c>
      <c r="AT537" s="222" t="s">
        <v>1636</v>
      </c>
      <c r="AU537" s="222" t="s">
        <v>1637</v>
      </c>
      <c r="AV537" s="132"/>
      <c r="AW537" s="189" t="s">
        <v>30</v>
      </c>
      <c r="AX537" s="191"/>
      <c r="AY537" s="223" t="s">
        <v>29</v>
      </c>
      <c r="AZ537" s="223" t="s">
        <v>100</v>
      </c>
      <c r="BA537" s="191"/>
      <c r="BB537" s="192"/>
      <c r="BC537" s="188"/>
      <c r="BD537" s="188"/>
      <c r="BE537" s="224">
        <v>3.8</v>
      </c>
      <c r="BF537" s="187"/>
      <c r="BG537" s="393" t="s">
        <v>113</v>
      </c>
      <c r="BH537" s="392"/>
      <c r="BI537" s="394"/>
      <c r="BJ537" s="185"/>
      <c r="BK537" s="193"/>
      <c r="BL537" s="36">
        <f>VLOOKUP($AP537,'[1]V1 V2'!$B$5:$BW$1894,74,0)</f>
        <v>0</v>
      </c>
      <c r="BM537" s="36" t="str">
        <f>IF('[1]V1 V2'!X536="","",'[1]V1 V2'!X536)</f>
        <v/>
      </c>
    </row>
    <row r="538" spans="1:65" ht="16" thickBot="1" x14ac:dyDescent="0.4">
      <c r="A538">
        <v>1</v>
      </c>
      <c r="B538" s="232"/>
      <c r="C538" s="233"/>
      <c r="D538" s="234"/>
      <c r="E538" s="36"/>
      <c r="F538" s="184"/>
      <c r="G538" s="185"/>
      <c r="H538" s="245"/>
      <c r="I538" s="392"/>
      <c r="J538" s="392"/>
      <c r="K538" s="187"/>
      <c r="L538" s="224"/>
      <c r="M538" s="188"/>
      <c r="N538" s="189"/>
      <c r="O538" s="190"/>
      <c r="P538" s="191"/>
      <c r="Q538" s="223"/>
      <c r="R538" s="223"/>
      <c r="S538" s="191"/>
      <c r="T538" s="189"/>
      <c r="U538" s="132"/>
      <c r="V538" s="222" t="s">
        <v>89</v>
      </c>
      <c r="W538" s="222" t="s">
        <v>89</v>
      </c>
      <c r="X538" s="226"/>
      <c r="Y538" s="222"/>
      <c r="Z538" s="198">
        <v>12.000000000001819</v>
      </c>
      <c r="AA538" s="238"/>
      <c r="AB538" s="21" t="s">
        <v>2</v>
      </c>
      <c r="AH538" s="63">
        <v>1</v>
      </c>
      <c r="AO538" s="10" t="s">
        <v>3</v>
      </c>
      <c r="AP538" s="238"/>
      <c r="AQ538" s="198">
        <f>AR539-AR537</f>
        <v>12</v>
      </c>
      <c r="AR538" s="222"/>
      <c r="AS538" s="222"/>
      <c r="AT538" s="222" t="s">
        <v>89</v>
      </c>
      <c r="AU538" s="222" t="s">
        <v>89</v>
      </c>
      <c r="AV538" s="132"/>
      <c r="AW538" s="189"/>
      <c r="AX538" s="191"/>
      <c r="AY538" s="223"/>
      <c r="AZ538" s="223"/>
      <c r="BA538" s="191"/>
      <c r="BB538" s="192"/>
      <c r="BC538" s="188"/>
      <c r="BD538" s="188"/>
      <c r="BE538" s="224"/>
      <c r="BF538" s="187"/>
      <c r="BG538" s="392"/>
      <c r="BH538" s="392"/>
      <c r="BI538" s="395"/>
      <c r="BJ538" s="185"/>
      <c r="BK538" s="193"/>
      <c r="BL538" s="36"/>
      <c r="BM538" s="36" t="str">
        <f>IF('[1]V1 V2'!X537="","",'[1]V1 V2'!X537)</f>
        <v/>
      </c>
    </row>
    <row r="539" spans="1:65" ht="16" thickBot="1" x14ac:dyDescent="0.4">
      <c r="A539">
        <v>1</v>
      </c>
      <c r="B539" s="232" t="s">
        <v>1638</v>
      </c>
      <c r="C539" s="233"/>
      <c r="D539" s="234"/>
      <c r="E539" s="36">
        <f>VLOOKUP($B539,'[1]V1 V2'!$B$5:$BW$1894,74,0)</f>
        <v>0</v>
      </c>
      <c r="F539" s="184"/>
      <c r="G539" s="185"/>
      <c r="H539" s="394" t="s">
        <v>1639</v>
      </c>
      <c r="I539" s="393" t="s">
        <v>120</v>
      </c>
      <c r="J539" s="392">
        <v>-12</v>
      </c>
      <c r="K539" s="187"/>
      <c r="L539" s="224">
        <v>3.8</v>
      </c>
      <c r="M539" s="188"/>
      <c r="N539" s="189"/>
      <c r="O539" s="190"/>
      <c r="P539" s="191"/>
      <c r="Q539" s="223" t="s">
        <v>83</v>
      </c>
      <c r="R539" s="223" t="s">
        <v>29</v>
      </c>
      <c r="S539" s="191"/>
      <c r="T539" s="189" t="s">
        <v>33</v>
      </c>
      <c r="U539" s="132"/>
      <c r="V539" s="222" t="s">
        <v>1640</v>
      </c>
      <c r="W539" s="222" t="s">
        <v>1641</v>
      </c>
      <c r="X539" s="222">
        <v>30625.629000000008</v>
      </c>
      <c r="Y539" s="222">
        <v>4179.41</v>
      </c>
      <c r="Z539" s="198"/>
      <c r="AA539" s="238" t="s">
        <v>1638</v>
      </c>
      <c r="AB539" s="21" t="s">
        <v>2</v>
      </c>
      <c r="AH539" s="63">
        <v>1</v>
      </c>
      <c r="AO539" s="10" t="s">
        <v>3</v>
      </c>
      <c r="AP539" s="238" t="s">
        <v>1642</v>
      </c>
      <c r="AQ539" s="198"/>
      <c r="AR539" s="222">
        <v>4174.8999999999996</v>
      </c>
      <c r="AS539" s="222">
        <f>AS537-AQ538</f>
        <v>30709.638999999996</v>
      </c>
      <c r="AT539" s="222" t="s">
        <v>1643</v>
      </c>
      <c r="AU539" s="222" t="s">
        <v>1637</v>
      </c>
      <c r="AV539" s="132"/>
      <c r="AW539" s="189" t="s">
        <v>33</v>
      </c>
      <c r="AX539" s="191"/>
      <c r="AY539" s="223" t="s">
        <v>29</v>
      </c>
      <c r="AZ539" s="223" t="s">
        <v>83</v>
      </c>
      <c r="BA539" s="191"/>
      <c r="BB539" s="192"/>
      <c r="BC539" s="188"/>
      <c r="BD539" s="188"/>
      <c r="BE539" s="224">
        <v>3.8</v>
      </c>
      <c r="BF539" s="187"/>
      <c r="BG539" s="392">
        <v>-12</v>
      </c>
      <c r="BH539" s="393" t="s">
        <v>120</v>
      </c>
      <c r="BI539" s="394" t="s">
        <v>1639</v>
      </c>
      <c r="BJ539" s="185"/>
      <c r="BK539" s="193"/>
      <c r="BL539" s="36">
        <f>VLOOKUP($AP539,'[1]V1 V2'!$B$5:$BW$1894,74,0)</f>
        <v>0</v>
      </c>
      <c r="BM539" s="36" t="str">
        <f>IF('[1]V1 V2'!X538="","",'[1]V1 V2'!X538)</f>
        <v/>
      </c>
    </row>
    <row r="540" spans="1:65" ht="29.5" thickBot="1" x14ac:dyDescent="0.4">
      <c r="A540">
        <v>1</v>
      </c>
      <c r="B540" s="227" t="s">
        <v>1644</v>
      </c>
      <c r="C540" s="228"/>
      <c r="D540" s="229"/>
      <c r="E540" s="36">
        <f>VLOOKUP($B540,'[1]V1 V2'!$B$5:$BW$1894,74,0)</f>
        <v>0</v>
      </c>
      <c r="F540" s="184"/>
      <c r="G540" s="185"/>
      <c r="H540" s="395" t="s">
        <v>8</v>
      </c>
      <c r="I540" s="392"/>
      <c r="J540" s="392"/>
      <c r="K540" s="187"/>
      <c r="L540" s="224"/>
      <c r="M540" s="188"/>
      <c r="N540" s="189"/>
      <c r="O540" s="190"/>
      <c r="P540" s="191"/>
      <c r="Q540" s="223"/>
      <c r="R540" s="223"/>
      <c r="S540" s="191"/>
      <c r="T540" s="189"/>
      <c r="U540" s="132"/>
      <c r="V540" s="222"/>
      <c r="W540" s="222"/>
      <c r="X540" s="226"/>
      <c r="Y540" s="222"/>
      <c r="Z540" s="198">
        <v>6.1999999999979991</v>
      </c>
      <c r="AA540" s="231" t="s">
        <v>1644</v>
      </c>
      <c r="AB540" s="21" t="s">
        <v>2</v>
      </c>
      <c r="AH540" s="63">
        <v>1</v>
      </c>
      <c r="AO540" s="10" t="s">
        <v>3</v>
      </c>
      <c r="AP540" s="231" t="s">
        <v>1644</v>
      </c>
      <c r="AQ540" s="198">
        <f>AR541-AR539</f>
        <v>6.2000000000007276</v>
      </c>
      <c r="AR540" s="222"/>
      <c r="AS540" s="222"/>
      <c r="AT540" s="222"/>
      <c r="AU540" s="222"/>
      <c r="AV540" s="132"/>
      <c r="AW540" s="189"/>
      <c r="AX540" s="191"/>
      <c r="AY540" s="223"/>
      <c r="AZ540" s="223"/>
      <c r="BA540" s="191"/>
      <c r="BB540" s="192"/>
      <c r="BC540" s="188"/>
      <c r="BD540" s="188"/>
      <c r="BE540" s="224"/>
      <c r="BF540" s="187"/>
      <c r="BG540" s="392"/>
      <c r="BH540" s="392"/>
      <c r="BI540" s="395" t="s">
        <v>8</v>
      </c>
      <c r="BJ540" s="185"/>
      <c r="BK540" s="193"/>
      <c r="BL540" s="36">
        <f>VLOOKUP($AP540,'[1]V1 V2'!$B$5:$BW$1894,74,0)</f>
        <v>0</v>
      </c>
      <c r="BM540" s="36" t="str">
        <f>IF('[1]V1 V2'!X539="","",'[1]V1 V2'!X539)</f>
        <v/>
      </c>
    </row>
    <row r="541" spans="1:65" ht="16" thickBot="1" x14ac:dyDescent="0.4">
      <c r="A541">
        <v>1</v>
      </c>
      <c r="B541" s="232" t="s">
        <v>1645</v>
      </c>
      <c r="C541" s="233"/>
      <c r="D541" s="234"/>
      <c r="E541" s="36">
        <f>VLOOKUP($B541,'[1]V1 V2'!$B$5:$BW$1894,74,0)</f>
        <v>0</v>
      </c>
      <c r="F541" s="184"/>
      <c r="G541" s="185"/>
      <c r="H541" s="184" t="s">
        <v>1646</v>
      </c>
      <c r="I541" s="393" t="s">
        <v>127</v>
      </c>
      <c r="J541" s="392">
        <v>-4</v>
      </c>
      <c r="K541" s="187"/>
      <c r="L541" s="224">
        <v>3.8</v>
      </c>
      <c r="M541" s="188"/>
      <c r="N541" s="189"/>
      <c r="O541" s="190"/>
      <c r="P541" s="191"/>
      <c r="Q541" s="223" t="s">
        <v>83</v>
      </c>
      <c r="R541" s="223" t="s">
        <v>29</v>
      </c>
      <c r="S541" s="191"/>
      <c r="T541" s="189" t="s">
        <v>33</v>
      </c>
      <c r="U541" s="132"/>
      <c r="V541" s="222" t="s">
        <v>1647</v>
      </c>
      <c r="W541" s="222" t="s">
        <v>1648</v>
      </c>
      <c r="X541" s="222">
        <v>30619.429000000011</v>
      </c>
      <c r="Y541" s="222">
        <v>4185.6099999999979</v>
      </c>
      <c r="Z541" s="198"/>
      <c r="AA541" s="238" t="s">
        <v>1645</v>
      </c>
      <c r="AB541" s="21" t="s">
        <v>2</v>
      </c>
      <c r="AH541" s="63">
        <v>1</v>
      </c>
      <c r="AO541" s="10" t="s">
        <v>3</v>
      </c>
      <c r="AP541" s="238" t="s">
        <v>1649</v>
      </c>
      <c r="AQ541" s="198"/>
      <c r="AR541" s="222">
        <v>4181.1000000000004</v>
      </c>
      <c r="AS541" s="222">
        <f>AS539-AR540</f>
        <v>30709.638999999996</v>
      </c>
      <c r="AT541" s="222" t="s">
        <v>1650</v>
      </c>
      <c r="AU541" s="222" t="s">
        <v>1651</v>
      </c>
      <c r="AV541" s="132"/>
      <c r="AW541" s="189" t="s">
        <v>33</v>
      </c>
      <c r="AX541" s="191"/>
      <c r="AY541" s="223" t="s">
        <v>29</v>
      </c>
      <c r="AZ541" s="223" t="s">
        <v>83</v>
      </c>
      <c r="BA541" s="191"/>
      <c r="BB541" s="192"/>
      <c r="BC541" s="188"/>
      <c r="BD541" s="188"/>
      <c r="BE541" s="224">
        <v>3.8</v>
      </c>
      <c r="BF541" s="187"/>
      <c r="BG541" s="392">
        <v>-4</v>
      </c>
      <c r="BH541" s="393" t="s">
        <v>127</v>
      </c>
      <c r="BI541" s="184" t="s">
        <v>1646</v>
      </c>
      <c r="BJ541" s="185"/>
      <c r="BK541" s="193"/>
      <c r="BL541" s="36">
        <f>VLOOKUP($AP541,'[1]V1 V2'!$B$5:$BW$1894,74,0)</f>
        <v>0</v>
      </c>
      <c r="BM541" s="36" t="str">
        <f>IF('[1]V1 V2'!X540="","",'[1]V1 V2'!X540)</f>
        <v/>
      </c>
    </row>
    <row r="542" spans="1:65" ht="16" thickBot="1" x14ac:dyDescent="0.4">
      <c r="A542">
        <v>1</v>
      </c>
      <c r="B542" s="396"/>
      <c r="C542" s="397"/>
      <c r="D542" s="342"/>
      <c r="E542" s="36"/>
      <c r="F542" s="184"/>
      <c r="G542" s="185"/>
      <c r="H542" s="186"/>
      <c r="I542" s="136"/>
      <c r="J542" s="135"/>
      <c r="K542" s="187"/>
      <c r="L542" s="224"/>
      <c r="M542" s="188"/>
      <c r="N542" s="189"/>
      <c r="O542" s="190"/>
      <c r="P542" s="191"/>
      <c r="Q542" s="223"/>
      <c r="R542" s="223"/>
      <c r="S542" s="191"/>
      <c r="T542" s="189"/>
      <c r="U542" s="132"/>
      <c r="V542" s="222" t="s">
        <v>89</v>
      </c>
      <c r="W542" s="222" t="s">
        <v>89</v>
      </c>
      <c r="X542" s="226"/>
      <c r="Y542" s="222"/>
      <c r="Z542" s="198">
        <v>12</v>
      </c>
      <c r="AA542" s="398"/>
      <c r="AB542" s="21" t="s">
        <v>2</v>
      </c>
      <c r="AH542" s="63">
        <v>1</v>
      </c>
      <c r="AO542" s="10" t="s">
        <v>3</v>
      </c>
      <c r="AP542" s="398"/>
      <c r="AQ542" s="198">
        <v>10.199999999999999</v>
      </c>
      <c r="AR542" s="222"/>
      <c r="AS542" s="222"/>
      <c r="AT542" s="222" t="s">
        <v>89</v>
      </c>
      <c r="AU542" s="222" t="s">
        <v>89</v>
      </c>
      <c r="AV542" s="132"/>
      <c r="AW542" s="189"/>
      <c r="AX542" s="191"/>
      <c r="AY542" s="223"/>
      <c r="AZ542" s="223"/>
      <c r="BA542" s="191"/>
      <c r="BB542" s="192"/>
      <c r="BC542" s="188"/>
      <c r="BD542" s="188"/>
      <c r="BE542" s="224"/>
      <c r="BF542" s="187"/>
      <c r="BG542" s="135"/>
      <c r="BH542" s="136"/>
      <c r="BI542" s="186"/>
      <c r="BJ542" s="185"/>
      <c r="BK542" s="193"/>
      <c r="BL542" s="36"/>
      <c r="BM542" s="36" t="str">
        <f>IF('[1]V1 V2'!X541="","",'[1]V1 V2'!X541)</f>
        <v/>
      </c>
    </row>
    <row r="543" spans="1:65" ht="16" thickBot="1" x14ac:dyDescent="0.4">
      <c r="A543">
        <v>1</v>
      </c>
      <c r="B543" s="232" t="s">
        <v>1652</v>
      </c>
      <c r="C543" s="233"/>
      <c r="D543" s="234"/>
      <c r="E543" s="36">
        <f>VLOOKUP($B543,'[1]V1 V2'!$B$5:$BW$1894,74,0)</f>
        <v>0</v>
      </c>
      <c r="F543" s="184"/>
      <c r="G543" s="185"/>
      <c r="H543" s="186"/>
      <c r="I543" s="136"/>
      <c r="J543" s="135" t="s">
        <v>113</v>
      </c>
      <c r="K543" s="187"/>
      <c r="L543" s="224">
        <v>3.8</v>
      </c>
      <c r="M543" s="188"/>
      <c r="N543" s="189"/>
      <c r="O543" s="190"/>
      <c r="P543" s="191"/>
      <c r="Q543" s="223" t="s">
        <v>511</v>
      </c>
      <c r="R543" s="223" t="s">
        <v>29</v>
      </c>
      <c r="S543" s="191"/>
      <c r="T543" s="189" t="s">
        <v>30</v>
      </c>
      <c r="U543" s="132"/>
      <c r="V543" s="222" t="s">
        <v>1653</v>
      </c>
      <c r="W543" s="222" t="s">
        <v>1654</v>
      </c>
      <c r="X543" s="222">
        <v>30607.429000000011</v>
      </c>
      <c r="Y543" s="222">
        <v>4195.8099999999977</v>
      </c>
      <c r="Z543" s="198"/>
      <c r="AA543" s="238" t="s">
        <v>1652</v>
      </c>
      <c r="AB543" s="21" t="s">
        <v>2</v>
      </c>
      <c r="AH543" s="63">
        <v>1</v>
      </c>
      <c r="AO543" s="10" t="s">
        <v>3</v>
      </c>
      <c r="AP543" s="238" t="s">
        <v>1655</v>
      </c>
      <c r="AQ543" s="198"/>
      <c r="AR543" s="222">
        <v>4191.3100000000004</v>
      </c>
      <c r="AS543" s="222">
        <f>AS541-AR542</f>
        <v>30709.638999999996</v>
      </c>
      <c r="AT543" s="222" t="s">
        <v>1656</v>
      </c>
      <c r="AU543" s="222" t="s">
        <v>1657</v>
      </c>
      <c r="AV543" s="132"/>
      <c r="AW543" s="189" t="s">
        <v>30</v>
      </c>
      <c r="AX543" s="191"/>
      <c r="AY543" s="223" t="s">
        <v>29</v>
      </c>
      <c r="AZ543" s="223" t="s">
        <v>511</v>
      </c>
      <c r="BA543" s="191"/>
      <c r="BB543" s="192"/>
      <c r="BC543" s="188"/>
      <c r="BD543" s="188"/>
      <c r="BE543" s="224">
        <v>3.8</v>
      </c>
      <c r="BF543" s="187"/>
      <c r="BG543" s="225" t="s">
        <v>113</v>
      </c>
      <c r="BH543" s="136"/>
      <c r="BI543" s="186"/>
      <c r="BJ543" s="185"/>
      <c r="BK543" s="193"/>
      <c r="BL543" s="36">
        <f>VLOOKUP($AP543,'[1]V1 V2'!$B$5:$BW$1894,74,0)</f>
        <v>0</v>
      </c>
      <c r="BM543" s="36" t="str">
        <f>IF('[1]V1 V2'!X542="","",'[1]V1 V2'!X542)</f>
        <v/>
      </c>
    </row>
    <row r="544" spans="1:65" ht="16" thickBot="1" x14ac:dyDescent="0.4">
      <c r="A544">
        <v>1</v>
      </c>
      <c r="B544" s="396"/>
      <c r="C544" s="397"/>
      <c r="D544" s="342"/>
      <c r="E544" s="36"/>
      <c r="F544" s="184"/>
      <c r="G544" s="185"/>
      <c r="H544" s="186"/>
      <c r="I544" s="136"/>
      <c r="J544" s="135"/>
      <c r="K544" s="187"/>
      <c r="L544" s="224"/>
      <c r="M544" s="188"/>
      <c r="N544" s="189"/>
      <c r="O544" s="190"/>
      <c r="P544" s="191"/>
      <c r="Q544" s="223"/>
      <c r="R544" s="223"/>
      <c r="S544" s="191"/>
      <c r="T544" s="189"/>
      <c r="U544" s="132"/>
      <c r="V544" s="222" t="s">
        <v>89</v>
      </c>
      <c r="W544" s="222" t="s">
        <v>89</v>
      </c>
      <c r="X544" s="226"/>
      <c r="Y544" s="222"/>
      <c r="Z544" s="198">
        <v>12</v>
      </c>
      <c r="AA544" s="398"/>
      <c r="AB544" s="21" t="s">
        <v>2</v>
      </c>
      <c r="AF544" t="s">
        <v>90</v>
      </c>
      <c r="AH544" s="63">
        <v>1</v>
      </c>
      <c r="AK544" t="s">
        <v>90</v>
      </c>
      <c r="AO544" s="10" t="s">
        <v>3</v>
      </c>
      <c r="AP544" s="398"/>
      <c r="AQ544" s="198">
        <v>12</v>
      </c>
      <c r="AR544" s="222"/>
      <c r="AS544" s="222"/>
      <c r="AT544" s="222" t="s">
        <v>89</v>
      </c>
      <c r="AU544" s="222" t="s">
        <v>89</v>
      </c>
      <c r="AV544" s="132"/>
      <c r="AW544" s="189"/>
      <c r="AX544" s="191"/>
      <c r="AY544" s="223"/>
      <c r="AZ544" s="223"/>
      <c r="BA544" s="191"/>
      <c r="BB544" s="192"/>
      <c r="BC544" s="188"/>
      <c r="BD544" s="188"/>
      <c r="BE544" s="224"/>
      <c r="BF544" s="187"/>
      <c r="BG544" s="135"/>
      <c r="BH544" s="136"/>
      <c r="BI544" s="186"/>
      <c r="BJ544" s="185"/>
      <c r="BK544" s="193"/>
      <c r="BL544" s="36"/>
      <c r="BM544" s="36" t="str">
        <f>IF('[1]V1 V2'!X543="","",'[1]V1 V2'!X543)</f>
        <v/>
      </c>
    </row>
    <row r="545" spans="1:65" ht="16" thickBot="1" x14ac:dyDescent="0.4">
      <c r="A545">
        <v>1</v>
      </c>
      <c r="B545" s="232" t="s">
        <v>1658</v>
      </c>
      <c r="C545" s="233"/>
      <c r="D545" s="234"/>
      <c r="E545" s="36">
        <f>VLOOKUP($B545,'[1]V1 V2'!$B$5:$BW$1894,74,0)</f>
        <v>0</v>
      </c>
      <c r="F545" s="184"/>
      <c r="G545" s="185"/>
      <c r="H545" s="186"/>
      <c r="I545" s="136"/>
      <c r="J545" s="135" t="s">
        <v>120</v>
      </c>
      <c r="K545" s="187"/>
      <c r="L545" s="224">
        <v>3.8</v>
      </c>
      <c r="M545" s="188"/>
      <c r="N545" s="189"/>
      <c r="O545" s="190"/>
      <c r="P545" s="191"/>
      <c r="Q545" s="223" t="s">
        <v>511</v>
      </c>
      <c r="R545" s="223" t="s">
        <v>29</v>
      </c>
      <c r="S545" s="191"/>
      <c r="T545" s="189" t="s">
        <v>30</v>
      </c>
      <c r="U545" s="132"/>
      <c r="V545" s="222" t="s">
        <v>1659</v>
      </c>
      <c r="W545" s="222" t="s">
        <v>1660</v>
      </c>
      <c r="X545" s="222">
        <v>30595.429000000011</v>
      </c>
      <c r="Y545" s="222">
        <v>4207.8099999999977</v>
      </c>
      <c r="Z545" s="198"/>
      <c r="AA545" s="238" t="s">
        <v>1658</v>
      </c>
      <c r="AB545" s="21" t="s">
        <v>2</v>
      </c>
      <c r="AH545" s="63">
        <v>1</v>
      </c>
      <c r="AO545" s="10" t="s">
        <v>3</v>
      </c>
      <c r="AP545" s="238" t="s">
        <v>1661</v>
      </c>
      <c r="AQ545" s="198"/>
      <c r="AR545" s="222">
        <v>4203.3100000000004</v>
      </c>
      <c r="AS545" s="222">
        <f>AS543-AR544</f>
        <v>30709.638999999996</v>
      </c>
      <c r="AT545" s="222" t="s">
        <v>1662</v>
      </c>
      <c r="AU545" s="222" t="s">
        <v>1663</v>
      </c>
      <c r="AV545" s="132"/>
      <c r="AW545" s="189" t="s">
        <v>30</v>
      </c>
      <c r="AX545" s="191"/>
      <c r="AY545" s="223" t="s">
        <v>29</v>
      </c>
      <c r="AZ545" s="223" t="s">
        <v>511</v>
      </c>
      <c r="BA545" s="191"/>
      <c r="BB545" s="192"/>
      <c r="BC545" s="188"/>
      <c r="BD545" s="188"/>
      <c r="BE545" s="224">
        <v>3.8</v>
      </c>
      <c r="BF545" s="187"/>
      <c r="BG545" s="225" t="s">
        <v>120</v>
      </c>
      <c r="BH545" s="136"/>
      <c r="BI545" s="186"/>
      <c r="BJ545" s="185"/>
      <c r="BK545" s="193"/>
      <c r="BL545" s="36">
        <f>VLOOKUP($AP545,'[1]V1 V2'!$B$5:$BW$1894,74,0)</f>
        <v>0</v>
      </c>
      <c r="BM545" s="36" t="str">
        <f>IF('[1]V1 V2'!X544="","",'[1]V1 V2'!X544)</f>
        <v/>
      </c>
    </row>
    <row r="546" spans="1:65" ht="16" thickBot="1" x14ac:dyDescent="0.4">
      <c r="A546">
        <v>1</v>
      </c>
      <c r="B546" s="396"/>
      <c r="C546" s="397"/>
      <c r="D546" s="342"/>
      <c r="E546" s="36"/>
      <c r="F546" s="184"/>
      <c r="G546" s="185"/>
      <c r="H546" s="186"/>
      <c r="I546" s="136"/>
      <c r="J546" s="135"/>
      <c r="K546" s="187"/>
      <c r="L546" s="224"/>
      <c r="M546" s="188"/>
      <c r="N546" s="189"/>
      <c r="O546" s="190"/>
      <c r="P546" s="191"/>
      <c r="Q546" s="223"/>
      <c r="R546" s="223"/>
      <c r="S546" s="191"/>
      <c r="T546" s="189"/>
      <c r="U546" s="132"/>
      <c r="V546" s="222" t="s">
        <v>89</v>
      </c>
      <c r="W546" s="222" t="s">
        <v>89</v>
      </c>
      <c r="X546" s="226"/>
      <c r="Y546" s="222"/>
      <c r="Z546" s="198">
        <v>12</v>
      </c>
      <c r="AA546" s="398"/>
      <c r="AB546" s="21" t="s">
        <v>2</v>
      </c>
      <c r="AC546" s="163"/>
      <c r="AD546" s="163"/>
      <c r="AE546" s="163"/>
      <c r="AF546" s="163"/>
      <c r="AG546" s="163"/>
      <c r="AH546" s="164">
        <v>1</v>
      </c>
      <c r="AI546" s="163"/>
      <c r="AJ546" s="163"/>
      <c r="AK546" s="163"/>
      <c r="AL546" s="163"/>
      <c r="AM546" s="163"/>
      <c r="AN546" s="163"/>
      <c r="AO546" s="10" t="s">
        <v>3</v>
      </c>
      <c r="AP546" s="398"/>
      <c r="AQ546" s="198">
        <v>12</v>
      </c>
      <c r="AR546" s="222"/>
      <c r="AS546" s="222"/>
      <c r="AT546" s="222" t="s">
        <v>89</v>
      </c>
      <c r="AU546" s="222" t="s">
        <v>89</v>
      </c>
      <c r="AV546" s="132"/>
      <c r="AW546" s="189"/>
      <c r="AX546" s="191"/>
      <c r="AY546" s="223"/>
      <c r="AZ546" s="223"/>
      <c r="BA546" s="191"/>
      <c r="BB546" s="192"/>
      <c r="BC546" s="188"/>
      <c r="BD546" s="188"/>
      <c r="BE546" s="224"/>
      <c r="BF546" s="187"/>
      <c r="BG546" s="135"/>
      <c r="BH546" s="136"/>
      <c r="BI546" s="186"/>
      <c r="BJ546" s="185"/>
      <c r="BK546" s="193"/>
      <c r="BL546" s="36"/>
      <c r="BM546" s="36" t="str">
        <f>IF('[1]V1 V2'!X545="","",'[1]V1 V2'!X545)</f>
        <v/>
      </c>
    </row>
    <row r="547" spans="1:65" ht="16" thickBot="1" x14ac:dyDescent="0.4">
      <c r="A547">
        <v>1</v>
      </c>
      <c r="B547" s="232" t="s">
        <v>1664</v>
      </c>
      <c r="C547" s="233"/>
      <c r="D547" s="234"/>
      <c r="E547" s="36">
        <f>VLOOKUP($B547,'[1]V1 V2'!$B$5:$BW$1894,74,0)</f>
        <v>0</v>
      </c>
      <c r="F547" s="184"/>
      <c r="G547" s="185"/>
      <c r="H547" s="186"/>
      <c r="I547" s="136"/>
      <c r="J547" s="135" t="s">
        <v>127</v>
      </c>
      <c r="K547" s="187"/>
      <c r="L547" s="224">
        <v>3.8</v>
      </c>
      <c r="M547" s="188"/>
      <c r="N547" s="189"/>
      <c r="O547" s="190"/>
      <c r="P547" s="191"/>
      <c r="Q547" s="223" t="s">
        <v>100</v>
      </c>
      <c r="R547" s="223" t="s">
        <v>29</v>
      </c>
      <c r="S547" s="191"/>
      <c r="T547" s="189" t="s">
        <v>30</v>
      </c>
      <c r="U547" s="132"/>
      <c r="V547" s="222" t="s">
        <v>1665</v>
      </c>
      <c r="W547" s="222" t="s">
        <v>1666</v>
      </c>
      <c r="X547" s="222">
        <v>30583.429000000011</v>
      </c>
      <c r="Y547" s="222">
        <v>4219.8099999999977</v>
      </c>
      <c r="Z547" s="198"/>
      <c r="AA547" s="238" t="s">
        <v>1664</v>
      </c>
      <c r="AB547" s="21" t="s">
        <v>2</v>
      </c>
      <c r="AC547" s="113"/>
      <c r="AD547" s="113"/>
      <c r="AE547" s="113"/>
      <c r="AF547" s="113"/>
      <c r="AG547" s="113"/>
      <c r="AH547" s="166">
        <f>Y546</f>
        <v>0</v>
      </c>
      <c r="AI547" s="113"/>
      <c r="AJ547" s="113"/>
      <c r="AK547" s="113"/>
      <c r="AL547" s="113"/>
      <c r="AM547" s="113"/>
      <c r="AN547" s="113"/>
      <c r="AO547" s="10" t="s">
        <v>3</v>
      </c>
      <c r="AP547" s="238" t="s">
        <v>1667</v>
      </c>
      <c r="AQ547" s="198"/>
      <c r="AR547" s="222">
        <v>4215.3100000000004</v>
      </c>
      <c r="AS547" s="222">
        <f>AS545-AR546</f>
        <v>30709.638999999996</v>
      </c>
      <c r="AT547" s="222" t="s">
        <v>1668</v>
      </c>
      <c r="AU547" s="222" t="s">
        <v>1669</v>
      </c>
      <c r="AV547" s="132"/>
      <c r="AW547" s="189" t="s">
        <v>30</v>
      </c>
      <c r="AX547" s="191"/>
      <c r="AY547" s="223" t="s">
        <v>29</v>
      </c>
      <c r="AZ547" s="223" t="s">
        <v>100</v>
      </c>
      <c r="BA547" s="191"/>
      <c r="BB547" s="192"/>
      <c r="BC547" s="188"/>
      <c r="BD547" s="188"/>
      <c r="BE547" s="224">
        <v>3.8</v>
      </c>
      <c r="BF547" s="187"/>
      <c r="BG547" s="225" t="s">
        <v>127</v>
      </c>
      <c r="BH547" s="136"/>
      <c r="BI547" s="186"/>
      <c r="BJ547" s="185"/>
      <c r="BK547" s="193"/>
      <c r="BL547" s="36">
        <f>VLOOKUP($AP547,'[1]V1 V2'!$B$5:$BW$1894,74,0)</f>
        <v>0</v>
      </c>
      <c r="BM547" s="36" t="str">
        <f>IF('[1]V1 V2'!X546="","",'[1]V1 V2'!X546)</f>
        <v/>
      </c>
    </row>
    <row r="548" spans="1:65" ht="16" thickBot="1" x14ac:dyDescent="0.4">
      <c r="A548">
        <v>1</v>
      </c>
      <c r="B548" s="399"/>
      <c r="C548" s="400"/>
      <c r="D548" s="334"/>
      <c r="E548" s="36"/>
      <c r="F548" s="168"/>
      <c r="G548" s="169"/>
      <c r="H548" s="170"/>
      <c r="I548" s="57"/>
      <c r="J548" s="56"/>
      <c r="K548" s="171"/>
      <c r="L548" s="142"/>
      <c r="M548" s="172"/>
      <c r="N548" s="173"/>
      <c r="O548" s="174"/>
      <c r="P548" s="175"/>
      <c r="Q548" s="223"/>
      <c r="R548" s="182"/>
      <c r="S548" s="175"/>
      <c r="T548" s="173"/>
      <c r="U548" s="62"/>
      <c r="V548" s="177" t="s">
        <v>89</v>
      </c>
      <c r="W548" s="177" t="s">
        <v>89</v>
      </c>
      <c r="X548" s="230"/>
      <c r="Y548" s="177"/>
      <c r="Z548" s="178">
        <v>12</v>
      </c>
      <c r="AA548" s="401"/>
      <c r="AB548" s="21" t="s">
        <v>2</v>
      </c>
      <c r="AH548" s="63">
        <v>1</v>
      </c>
      <c r="AO548" s="10" t="s">
        <v>3</v>
      </c>
      <c r="AP548" s="398"/>
      <c r="AQ548" s="198">
        <v>12</v>
      </c>
      <c r="AR548" s="222"/>
      <c r="AS548" s="222"/>
      <c r="AT548" s="222" t="s">
        <v>89</v>
      </c>
      <c r="AU548" s="222" t="s">
        <v>89</v>
      </c>
      <c r="AV548" s="132"/>
      <c r="AW548" s="189"/>
      <c r="AX548" s="191"/>
      <c r="AY548" s="223"/>
      <c r="AZ548" s="223"/>
      <c r="BA548" s="191"/>
      <c r="BB548" s="192"/>
      <c r="BC548" s="188"/>
      <c r="BD548" s="188"/>
      <c r="BE548" s="224"/>
      <c r="BF548" s="187"/>
      <c r="BG548" s="135"/>
      <c r="BH548" s="136"/>
      <c r="BI548" s="186"/>
      <c r="BJ548" s="185"/>
      <c r="BK548" s="193"/>
      <c r="BL548" s="36"/>
      <c r="BM548" s="36" t="str">
        <f>IF('[1]V1 V2'!X547="","",'[1]V1 V2'!X547)</f>
        <v/>
      </c>
    </row>
    <row r="549" spans="1:65" ht="16" thickBot="1" x14ac:dyDescent="0.4">
      <c r="A549">
        <v>1</v>
      </c>
      <c r="B549" s="304" t="s">
        <v>1670</v>
      </c>
      <c r="C549" s="305"/>
      <c r="D549" s="306"/>
      <c r="E549" s="36">
        <f>VLOOKUP($B549,'[1]V1 V2'!$B$5:$BW$1894,74,0)</f>
        <v>0</v>
      </c>
      <c r="F549" s="168"/>
      <c r="G549" s="169"/>
      <c r="H549" s="170"/>
      <c r="I549" s="57"/>
      <c r="J549" s="56" t="s">
        <v>120</v>
      </c>
      <c r="K549" s="171"/>
      <c r="L549" s="142">
        <v>3.8</v>
      </c>
      <c r="M549" s="172"/>
      <c r="N549" s="173"/>
      <c r="O549" s="174"/>
      <c r="P549" s="175"/>
      <c r="Q549" s="223" t="s">
        <v>511</v>
      </c>
      <c r="R549" s="182" t="s">
        <v>29</v>
      </c>
      <c r="S549" s="175"/>
      <c r="T549" s="173" t="s">
        <v>30</v>
      </c>
      <c r="U549" s="62"/>
      <c r="V549" s="177" t="s">
        <v>1671</v>
      </c>
      <c r="W549" s="177" t="s">
        <v>1672</v>
      </c>
      <c r="X549" s="177">
        <v>30571.429000000011</v>
      </c>
      <c r="Y549" s="177">
        <v>4231.8099999999977</v>
      </c>
      <c r="Z549" s="178"/>
      <c r="AA549" s="297" t="s">
        <v>1670</v>
      </c>
      <c r="AB549" s="21" t="s">
        <v>2</v>
      </c>
      <c r="AH549" s="63">
        <v>1</v>
      </c>
      <c r="AO549" s="10" t="s">
        <v>3</v>
      </c>
      <c r="AP549" s="238" t="s">
        <v>1673</v>
      </c>
      <c r="AQ549" s="198"/>
      <c r="AR549" s="222">
        <v>4227.3100000000004</v>
      </c>
      <c r="AS549" s="222">
        <f>AS547-AR548</f>
        <v>30709.638999999996</v>
      </c>
      <c r="AT549" s="222" t="s">
        <v>1674</v>
      </c>
      <c r="AU549" s="222" t="s">
        <v>1675</v>
      </c>
      <c r="AV549" s="132"/>
      <c r="AW549" s="189" t="s">
        <v>30</v>
      </c>
      <c r="AX549" s="191"/>
      <c r="AY549" s="223" t="s">
        <v>29</v>
      </c>
      <c r="AZ549" s="223" t="s">
        <v>511</v>
      </c>
      <c r="BA549" s="191"/>
      <c r="BB549" s="192"/>
      <c r="BC549" s="188"/>
      <c r="BD549" s="188"/>
      <c r="BE549" s="224">
        <v>3.8</v>
      </c>
      <c r="BF549" s="187"/>
      <c r="BG549" s="225" t="s">
        <v>120</v>
      </c>
      <c r="BH549" s="136"/>
      <c r="BI549" s="186"/>
      <c r="BJ549" s="185"/>
      <c r="BK549" s="193"/>
      <c r="BL549" s="36">
        <f>VLOOKUP($AP549,'[1]V1 V2'!$B$5:$BW$1894,74,0)</f>
        <v>0</v>
      </c>
      <c r="BM549" s="36" t="str">
        <f>IF('[1]V1 V2'!X548="","",'[1]V1 V2'!X548)</f>
        <v/>
      </c>
    </row>
    <row r="550" spans="1:65" ht="16" thickBot="1" x14ac:dyDescent="0.4">
      <c r="A550">
        <v>1</v>
      </c>
      <c r="B550" s="399"/>
      <c r="C550" s="400"/>
      <c r="D550" s="334"/>
      <c r="E550" s="36"/>
      <c r="F550" s="168"/>
      <c r="G550" s="169"/>
      <c r="H550" s="170"/>
      <c r="I550" s="57"/>
      <c r="J550" s="56"/>
      <c r="K550" s="171"/>
      <c r="L550" s="142"/>
      <c r="M550" s="172"/>
      <c r="N550" s="173"/>
      <c r="O550" s="174"/>
      <c r="P550" s="175"/>
      <c r="Q550" s="223"/>
      <c r="R550" s="182"/>
      <c r="S550" s="175"/>
      <c r="T550" s="173"/>
      <c r="U550" s="62"/>
      <c r="V550" s="177" t="s">
        <v>89</v>
      </c>
      <c r="W550" s="177" t="s">
        <v>89</v>
      </c>
      <c r="X550" s="230"/>
      <c r="Y550" s="177"/>
      <c r="Z550" s="178">
        <v>12</v>
      </c>
      <c r="AA550" s="401"/>
      <c r="AB550" s="21" t="s">
        <v>2</v>
      </c>
      <c r="AH550" s="63">
        <v>1</v>
      </c>
      <c r="AO550" s="10" t="s">
        <v>3</v>
      </c>
      <c r="AP550" s="398"/>
      <c r="AQ550" s="198">
        <v>12</v>
      </c>
      <c r="AR550" s="222"/>
      <c r="AS550" s="222"/>
      <c r="AT550" s="222" t="s">
        <v>89</v>
      </c>
      <c r="AU550" s="222" t="s">
        <v>89</v>
      </c>
      <c r="AV550" s="132"/>
      <c r="AW550" s="189"/>
      <c r="AX550" s="191"/>
      <c r="AY550" s="223"/>
      <c r="AZ550" s="223"/>
      <c r="BA550" s="191"/>
      <c r="BB550" s="192"/>
      <c r="BC550" s="188"/>
      <c r="BD550" s="188"/>
      <c r="BE550" s="224"/>
      <c r="BF550" s="187"/>
      <c r="BG550" s="135"/>
      <c r="BH550" s="136"/>
      <c r="BI550" s="186"/>
      <c r="BJ550" s="185"/>
      <c r="BK550" s="193"/>
      <c r="BL550" s="36"/>
      <c r="BM550" s="36" t="str">
        <f>IF('[1]V1 V2'!X549="","",'[1]V1 V2'!X549)</f>
        <v/>
      </c>
    </row>
    <row r="551" spans="1:65" ht="16" thickBot="1" x14ac:dyDescent="0.4">
      <c r="A551">
        <v>1</v>
      </c>
      <c r="B551" s="304" t="s">
        <v>1676</v>
      </c>
      <c r="C551" s="305"/>
      <c r="D551" s="306"/>
      <c r="E551" s="36">
        <f>VLOOKUP($B551,'[1]V1 V2'!$B$5:$BW$1894,74,0)</f>
        <v>0</v>
      </c>
      <c r="F551" s="168"/>
      <c r="G551" s="169"/>
      <c r="H551" s="170"/>
      <c r="I551" s="57"/>
      <c r="J551" s="56" t="s">
        <v>113</v>
      </c>
      <c r="K551" s="171"/>
      <c r="L551" s="142">
        <v>3.8</v>
      </c>
      <c r="M551" s="172"/>
      <c r="N551" s="173"/>
      <c r="O551" s="174"/>
      <c r="P551" s="175"/>
      <c r="Q551" s="223" t="s">
        <v>511</v>
      </c>
      <c r="R551" s="182" t="s">
        <v>29</v>
      </c>
      <c r="S551" s="175"/>
      <c r="T551" s="173" t="s">
        <v>30</v>
      </c>
      <c r="U551" s="62"/>
      <c r="V551" s="177" t="s">
        <v>1677</v>
      </c>
      <c r="W551" s="177" t="s">
        <v>1678</v>
      </c>
      <c r="X551" s="177">
        <v>30559.429000000011</v>
      </c>
      <c r="Y551" s="177">
        <v>4243.8099999999977</v>
      </c>
      <c r="Z551" s="178"/>
      <c r="AA551" s="297" t="s">
        <v>1676</v>
      </c>
      <c r="AB551" s="21" t="s">
        <v>2</v>
      </c>
      <c r="AH551" s="63">
        <v>1</v>
      </c>
      <c r="AO551" s="10" t="s">
        <v>3</v>
      </c>
      <c r="AP551" s="238" t="s">
        <v>1679</v>
      </c>
      <c r="AQ551" s="198"/>
      <c r="AR551" s="222">
        <v>4239.3100000000004</v>
      </c>
      <c r="AS551" s="222">
        <f>AS549-AR550</f>
        <v>30709.638999999996</v>
      </c>
      <c r="AT551" s="222" t="s">
        <v>1680</v>
      </c>
      <c r="AU551" s="222" t="s">
        <v>1681</v>
      </c>
      <c r="AV551" s="132"/>
      <c r="AW551" s="189" t="s">
        <v>30</v>
      </c>
      <c r="AX551" s="191"/>
      <c r="AY551" s="223" t="s">
        <v>29</v>
      </c>
      <c r="AZ551" s="223" t="s">
        <v>511</v>
      </c>
      <c r="BA551" s="191"/>
      <c r="BB551" s="192"/>
      <c r="BC551" s="188"/>
      <c r="BD551" s="188"/>
      <c r="BE551" s="224">
        <v>3.8</v>
      </c>
      <c r="BF551" s="187"/>
      <c r="BG551" s="225" t="s">
        <v>113</v>
      </c>
      <c r="BH551" s="136"/>
      <c r="BI551" s="186"/>
      <c r="BJ551" s="185"/>
      <c r="BK551" s="193"/>
      <c r="BL551" s="36">
        <f>VLOOKUP($AP551,'[1]V1 V2'!$B$5:$BW$1894,74,0)</f>
        <v>0</v>
      </c>
      <c r="BM551" s="36" t="str">
        <f>IF('[1]V1 V2'!X550="","",'[1]V1 V2'!X550)</f>
        <v/>
      </c>
    </row>
    <row r="552" spans="1:65" ht="16" thickBot="1" x14ac:dyDescent="0.4">
      <c r="A552">
        <v>1</v>
      </c>
      <c r="B552" s="399"/>
      <c r="C552" s="400"/>
      <c r="D552" s="334"/>
      <c r="E552" s="36"/>
      <c r="F552" s="168"/>
      <c r="G552" s="169"/>
      <c r="H552" s="170"/>
      <c r="I552" s="57"/>
      <c r="J552" s="56"/>
      <c r="K552" s="171"/>
      <c r="L552" s="142"/>
      <c r="M552" s="172"/>
      <c r="N552" s="173"/>
      <c r="O552" s="174"/>
      <c r="P552" s="175"/>
      <c r="Q552" s="223"/>
      <c r="R552" s="182"/>
      <c r="S552" s="175"/>
      <c r="T552" s="173"/>
      <c r="U552" s="62"/>
      <c r="V552" s="177" t="s">
        <v>89</v>
      </c>
      <c r="W552" s="177" t="s">
        <v>89</v>
      </c>
      <c r="X552" s="230"/>
      <c r="Y552" s="177"/>
      <c r="Z552" s="178">
        <v>12</v>
      </c>
      <c r="AA552" s="401"/>
      <c r="AB552" s="21" t="s">
        <v>2</v>
      </c>
      <c r="AH552" s="63">
        <v>1</v>
      </c>
      <c r="AO552" s="10" t="s">
        <v>3</v>
      </c>
      <c r="AP552" s="398"/>
      <c r="AQ552" s="198">
        <v>12</v>
      </c>
      <c r="AR552" s="222"/>
      <c r="AS552" s="222"/>
      <c r="AT552" s="222" t="s">
        <v>89</v>
      </c>
      <c r="AU552" s="222" t="s">
        <v>89</v>
      </c>
      <c r="AV552" s="132"/>
      <c r="AW552" s="189"/>
      <c r="AX552" s="191"/>
      <c r="AY552" s="223"/>
      <c r="AZ552" s="223"/>
      <c r="BA552" s="191"/>
      <c r="BB552" s="192"/>
      <c r="BC552" s="188"/>
      <c r="BD552" s="188"/>
      <c r="BE552" s="224"/>
      <c r="BF552" s="187"/>
      <c r="BG552" s="135"/>
      <c r="BH552" s="136"/>
      <c r="BI552" s="186"/>
      <c r="BJ552" s="185"/>
      <c r="BK552" s="193"/>
      <c r="BL552" s="36"/>
      <c r="BM552" s="36" t="str">
        <f>IF('[1]V1 V2'!X551="","",'[1]V1 V2'!X551)</f>
        <v/>
      </c>
    </row>
    <row r="553" spans="1:65" ht="16" thickBot="1" x14ac:dyDescent="0.4">
      <c r="A553">
        <v>1</v>
      </c>
      <c r="B553" s="304" t="s">
        <v>1682</v>
      </c>
      <c r="C553" s="305"/>
      <c r="D553" s="306"/>
      <c r="E553" s="36">
        <f>VLOOKUP($B553,'[1]V1 V2'!$B$5:$BW$1894,74,0)</f>
        <v>0</v>
      </c>
      <c r="F553" s="168"/>
      <c r="G553" s="169"/>
      <c r="H553" s="170"/>
      <c r="I553" s="57"/>
      <c r="J553" s="56">
        <v>-4</v>
      </c>
      <c r="K553" s="171"/>
      <c r="L553" s="142">
        <v>3.8</v>
      </c>
      <c r="M553" s="172"/>
      <c r="N553" s="173"/>
      <c r="O553" s="174"/>
      <c r="P553" s="175"/>
      <c r="Q553" s="223" t="s">
        <v>100</v>
      </c>
      <c r="R553" s="182" t="s">
        <v>29</v>
      </c>
      <c r="S553" s="175"/>
      <c r="T553" s="173" t="s">
        <v>30</v>
      </c>
      <c r="U553" s="62"/>
      <c r="V553" s="177" t="s">
        <v>1683</v>
      </c>
      <c r="W553" s="177" t="s">
        <v>1684</v>
      </c>
      <c r="X553" s="177">
        <v>30547.429000000011</v>
      </c>
      <c r="Y553" s="177">
        <v>4255.8099999999977</v>
      </c>
      <c r="Z553" s="178"/>
      <c r="AA553" s="297" t="s">
        <v>1682</v>
      </c>
      <c r="AB553" s="21" t="s">
        <v>2</v>
      </c>
      <c r="AH553" s="63">
        <v>1</v>
      </c>
      <c r="AO553" s="10" t="s">
        <v>3</v>
      </c>
      <c r="AP553" s="238" t="s">
        <v>1685</v>
      </c>
      <c r="AQ553" s="198"/>
      <c r="AR553" s="222">
        <v>4251.3100000000004</v>
      </c>
      <c r="AS553" s="222">
        <f>AS551-AR552</f>
        <v>30709.638999999996</v>
      </c>
      <c r="AT553" s="222" t="s">
        <v>1686</v>
      </c>
      <c r="AU553" s="222" t="s">
        <v>1687</v>
      </c>
      <c r="AV553" s="132"/>
      <c r="AW553" s="189" t="s">
        <v>30</v>
      </c>
      <c r="AX553" s="191"/>
      <c r="AY553" s="223" t="s">
        <v>29</v>
      </c>
      <c r="AZ553" s="223" t="s">
        <v>100</v>
      </c>
      <c r="BA553" s="191"/>
      <c r="BB553" s="192"/>
      <c r="BC553" s="188"/>
      <c r="BD553" s="188"/>
      <c r="BE553" s="224">
        <v>3.8</v>
      </c>
      <c r="BF553" s="187"/>
      <c r="BG553" s="135">
        <v>-4</v>
      </c>
      <c r="BH553" s="136"/>
      <c r="BI553" s="186"/>
      <c r="BJ553" s="185"/>
      <c r="BK553" s="193"/>
      <c r="BL553" s="36">
        <f>VLOOKUP($AP553,'[1]V1 V2'!$B$5:$BW$1894,74,0)</f>
        <v>0</v>
      </c>
      <c r="BM553" s="36" t="str">
        <f>IF('[1]V1 V2'!X552="","",'[1]V1 V2'!X552)</f>
        <v/>
      </c>
    </row>
    <row r="554" spans="1:65" ht="29.5" thickBot="1" x14ac:dyDescent="0.4">
      <c r="A554">
        <v>1</v>
      </c>
      <c r="B554" s="227" t="s">
        <v>1688</v>
      </c>
      <c r="C554" s="228"/>
      <c r="D554" s="229"/>
      <c r="E554" s="36">
        <f>VLOOKUP($B554,'[1]V1 V2'!$B$5:$BW$1894,74,0)</f>
        <v>0</v>
      </c>
      <c r="F554" s="168"/>
      <c r="G554" s="169"/>
      <c r="H554" s="170"/>
      <c r="I554" s="57"/>
      <c r="J554" s="56"/>
      <c r="K554" s="171"/>
      <c r="L554" s="142"/>
      <c r="M554" s="172"/>
      <c r="N554" s="173"/>
      <c r="O554" s="174"/>
      <c r="P554" s="175"/>
      <c r="Q554" s="223"/>
      <c r="R554" s="182"/>
      <c r="S554" s="175"/>
      <c r="T554" s="173"/>
      <c r="U554" s="62"/>
      <c r="V554" s="177"/>
      <c r="W554" s="177"/>
      <c r="X554" s="230"/>
      <c r="Y554" s="177"/>
      <c r="Z554" s="178">
        <v>12</v>
      </c>
      <c r="AA554" s="231" t="s">
        <v>1688</v>
      </c>
      <c r="AB554" s="21" t="s">
        <v>2</v>
      </c>
      <c r="AH554" s="63">
        <v>1</v>
      </c>
      <c r="AO554" s="10" t="s">
        <v>3</v>
      </c>
      <c r="AP554" s="231" t="s">
        <v>1688</v>
      </c>
      <c r="AQ554" s="198">
        <v>12</v>
      </c>
      <c r="AR554" s="222"/>
      <c r="AS554" s="222"/>
      <c r="AT554" s="222"/>
      <c r="AU554" s="222"/>
      <c r="AV554" s="132"/>
      <c r="AW554" s="189"/>
      <c r="AX554" s="191"/>
      <c r="AY554" s="223"/>
      <c r="AZ554" s="223"/>
      <c r="BA554" s="191"/>
      <c r="BB554" s="192"/>
      <c r="BC554" s="188"/>
      <c r="BD554" s="188"/>
      <c r="BE554" s="224"/>
      <c r="BF554" s="187"/>
      <c r="BG554" s="135"/>
      <c r="BH554" s="136"/>
      <c r="BI554" s="186"/>
      <c r="BJ554" s="185"/>
      <c r="BK554" s="193"/>
      <c r="BL554" s="36">
        <f>VLOOKUP($AP554,'[1]V1 V2'!$B$5:$BW$1894,74,0)</f>
        <v>0</v>
      </c>
      <c r="BM554" s="36" t="str">
        <f>IF('[1]V1 V2'!X553="","",'[1]V1 V2'!X553)</f>
        <v/>
      </c>
    </row>
    <row r="555" spans="1:65" ht="16" thickBot="1" x14ac:dyDescent="0.4">
      <c r="A555">
        <v>1</v>
      </c>
      <c r="B555" s="304" t="s">
        <v>1689</v>
      </c>
      <c r="C555" s="305"/>
      <c r="D555" s="306"/>
      <c r="E555" s="36">
        <f>VLOOKUP($B555,'[1]V1 V2'!$B$5:$BW$1894,74,0)</f>
        <v>0</v>
      </c>
      <c r="F555" s="168"/>
      <c r="G555" s="169"/>
      <c r="H555" s="170"/>
      <c r="I555" s="57"/>
      <c r="J555" s="56">
        <v>-12</v>
      </c>
      <c r="K555" s="171"/>
      <c r="L555" s="142">
        <v>3.8</v>
      </c>
      <c r="M555" s="172"/>
      <c r="N555" s="173"/>
      <c r="O555" s="174"/>
      <c r="P555" s="175"/>
      <c r="Q555" s="223" t="s">
        <v>100</v>
      </c>
      <c r="R555" s="182" t="s">
        <v>29</v>
      </c>
      <c r="S555" s="175"/>
      <c r="T555" s="173" t="s">
        <v>30</v>
      </c>
      <c r="U555" s="62"/>
      <c r="V555" s="177" t="s">
        <v>1690</v>
      </c>
      <c r="W555" s="177" t="s">
        <v>1691</v>
      </c>
      <c r="X555" s="177">
        <v>30535.429000000011</v>
      </c>
      <c r="Y555" s="177">
        <v>4267.8099999999977</v>
      </c>
      <c r="Z555" s="178"/>
      <c r="AA555" s="297" t="s">
        <v>1689</v>
      </c>
      <c r="AB555" s="21" t="s">
        <v>2</v>
      </c>
      <c r="AH555" s="63">
        <v>1</v>
      </c>
      <c r="AO555" s="10" t="s">
        <v>3</v>
      </c>
      <c r="AP555" s="238" t="s">
        <v>1692</v>
      </c>
      <c r="AQ555" s="198"/>
      <c r="AR555" s="222">
        <v>4263.3100000000004</v>
      </c>
      <c r="AS555" s="222">
        <f>AS553-AR554</f>
        <v>30709.638999999996</v>
      </c>
      <c r="AT555" s="222" t="s">
        <v>1693</v>
      </c>
      <c r="AU555" s="222" t="s">
        <v>1694</v>
      </c>
      <c r="AV555" s="132"/>
      <c r="AW555" s="189" t="s">
        <v>30</v>
      </c>
      <c r="AX555" s="191"/>
      <c r="AY555" s="223" t="s">
        <v>29</v>
      </c>
      <c r="AZ555" s="223" t="s">
        <v>100</v>
      </c>
      <c r="BA555" s="191"/>
      <c r="BB555" s="192"/>
      <c r="BC555" s="188"/>
      <c r="BD555" s="188"/>
      <c r="BE555" s="224">
        <v>3.8</v>
      </c>
      <c r="BF555" s="187"/>
      <c r="BG555" s="135">
        <v>-12</v>
      </c>
      <c r="BH555" s="136"/>
      <c r="BI555" s="186"/>
      <c r="BJ555" s="185"/>
      <c r="BK555" s="193"/>
      <c r="BL555" s="36">
        <f>VLOOKUP($AP555,'[1]V1 V2'!$B$5:$BW$1894,74,0)</f>
        <v>0</v>
      </c>
      <c r="BM555" s="36" t="str">
        <f>IF('[1]V1 V2'!X554="","",'[1]V1 V2'!X554)</f>
        <v/>
      </c>
    </row>
    <row r="556" spans="1:65" ht="16" thickBot="1" x14ac:dyDescent="0.4">
      <c r="A556">
        <v>1</v>
      </c>
      <c r="B556" s="304"/>
      <c r="C556" s="305"/>
      <c r="D556" s="306"/>
      <c r="E556" s="36"/>
      <c r="F556" s="168"/>
      <c r="G556" s="169"/>
      <c r="H556" s="170"/>
      <c r="I556" s="57"/>
      <c r="J556" s="56"/>
      <c r="K556" s="171"/>
      <c r="L556" s="142"/>
      <c r="M556" s="172"/>
      <c r="N556" s="173"/>
      <c r="O556" s="174"/>
      <c r="P556" s="175"/>
      <c r="Q556" s="182"/>
      <c r="R556" s="182"/>
      <c r="S556" s="175"/>
      <c r="T556" s="173"/>
      <c r="U556" s="62"/>
      <c r="V556" s="177" t="s">
        <v>89</v>
      </c>
      <c r="W556" s="177" t="s">
        <v>89</v>
      </c>
      <c r="X556" s="230"/>
      <c r="Y556" s="177"/>
      <c r="Z556" s="178">
        <v>12</v>
      </c>
      <c r="AA556" s="297"/>
      <c r="AB556" s="21" t="s">
        <v>2</v>
      </c>
      <c r="AH556" s="63">
        <v>1</v>
      </c>
      <c r="AO556" s="10" t="s">
        <v>3</v>
      </c>
      <c r="AP556" s="238"/>
      <c r="AQ556" s="198">
        <v>12</v>
      </c>
      <c r="AR556" s="222"/>
      <c r="AS556" s="222"/>
      <c r="AT556" s="222" t="s">
        <v>89</v>
      </c>
      <c r="AU556" s="222" t="s">
        <v>89</v>
      </c>
      <c r="AV556" s="132"/>
      <c r="AW556" s="189"/>
      <c r="AX556" s="191"/>
      <c r="AY556" s="223"/>
      <c r="AZ556" s="223"/>
      <c r="BA556" s="191"/>
      <c r="BB556" s="192"/>
      <c r="BC556" s="188"/>
      <c r="BD556" s="188"/>
      <c r="BE556" s="224"/>
      <c r="BF556" s="187"/>
      <c r="BG556" s="135"/>
      <c r="BH556" s="136"/>
      <c r="BI556" s="186"/>
      <c r="BJ556" s="185"/>
      <c r="BK556" s="193"/>
      <c r="BL556" s="36"/>
      <c r="BM556" s="36" t="str">
        <f>IF('[1]V1 V2'!X555="","",'[1]V1 V2'!X555)</f>
        <v/>
      </c>
    </row>
    <row r="557" spans="1:65" ht="16" thickBot="1" x14ac:dyDescent="0.4">
      <c r="A557">
        <v>1</v>
      </c>
      <c r="B557" s="304" t="s">
        <v>1695</v>
      </c>
      <c r="C557" s="305"/>
      <c r="D557" s="306"/>
      <c r="E557" s="36">
        <f>VLOOKUP($B557,'[1]V1 V2'!$B$5:$BW$1894,74,0)</f>
        <v>0</v>
      </c>
      <c r="F557" s="168"/>
      <c r="G557" s="169"/>
      <c r="H557" s="170"/>
      <c r="I557" s="57"/>
      <c r="J557" s="56">
        <v>-20</v>
      </c>
      <c r="K557" s="171"/>
      <c r="L557" s="142">
        <v>3.8</v>
      </c>
      <c r="M557" s="172"/>
      <c r="N557" s="173"/>
      <c r="O557" s="174"/>
      <c r="P557" s="175"/>
      <c r="Q557" s="182" t="s">
        <v>100</v>
      </c>
      <c r="R557" s="182" t="s">
        <v>29</v>
      </c>
      <c r="S557" s="175"/>
      <c r="T557" s="173" t="s">
        <v>30</v>
      </c>
      <c r="U557" s="62"/>
      <c r="V557" s="177" t="s">
        <v>1696</v>
      </c>
      <c r="W557" s="177" t="s">
        <v>1697</v>
      </c>
      <c r="X557" s="177">
        <v>30523.429000000011</v>
      </c>
      <c r="Y557" s="177">
        <v>4279.8099999999977</v>
      </c>
      <c r="Z557" s="178"/>
      <c r="AA557" s="297" t="s">
        <v>1695</v>
      </c>
      <c r="AB557" s="21" t="s">
        <v>2</v>
      </c>
      <c r="AH557" s="63">
        <v>1</v>
      </c>
      <c r="AO557" s="10" t="s">
        <v>3</v>
      </c>
      <c r="AP557" s="238" t="s">
        <v>1698</v>
      </c>
      <c r="AQ557" s="198"/>
      <c r="AR557" s="222">
        <v>4275.4100000000008</v>
      </c>
      <c r="AS557" s="222">
        <f>AS555-AR556</f>
        <v>30709.638999999996</v>
      </c>
      <c r="AT557" s="222" t="s">
        <v>1699</v>
      </c>
      <c r="AU557" s="222" t="s">
        <v>1700</v>
      </c>
      <c r="AV557" s="132"/>
      <c r="AW557" s="189" t="s">
        <v>30</v>
      </c>
      <c r="AX557" s="191"/>
      <c r="AY557" s="223" t="s">
        <v>29</v>
      </c>
      <c r="AZ557" s="223" t="s">
        <v>100</v>
      </c>
      <c r="BA557" s="191"/>
      <c r="BB557" s="192"/>
      <c r="BC557" s="188"/>
      <c r="BD557" s="188"/>
      <c r="BE557" s="224">
        <v>3.8</v>
      </c>
      <c r="BF557" s="187"/>
      <c r="BG557" s="135">
        <v>-20</v>
      </c>
      <c r="BH557" s="136"/>
      <c r="BI557" s="186"/>
      <c r="BJ557" s="185"/>
      <c r="BK557" s="193"/>
      <c r="BL557" s="36">
        <f>VLOOKUP($AP557,'[1]V1 V2'!$B$5:$BW$1894,74,0)</f>
        <v>0</v>
      </c>
      <c r="BM557" s="36" t="str">
        <f>IF('[1]V1 V2'!X556="","",'[1]V1 V2'!X556)</f>
        <v/>
      </c>
    </row>
    <row r="558" spans="1:65" ht="16" thickBot="1" x14ac:dyDescent="0.4">
      <c r="A558">
        <v>1</v>
      </c>
      <c r="B558" s="304"/>
      <c r="C558" s="305"/>
      <c r="D558" s="306"/>
      <c r="E558" s="36"/>
      <c r="F558" s="168"/>
      <c r="G558" s="169"/>
      <c r="H558" s="170"/>
      <c r="I558" s="57"/>
      <c r="J558" s="56"/>
      <c r="K558" s="171"/>
      <c r="L558" s="142"/>
      <c r="M558" s="172"/>
      <c r="N558" s="173"/>
      <c r="O558" s="174"/>
      <c r="P558" s="175"/>
      <c r="Q558" s="182"/>
      <c r="R558" s="182"/>
      <c r="S558" s="175"/>
      <c r="T558" s="173"/>
      <c r="U558" s="62"/>
      <c r="V558" s="177" t="s">
        <v>89</v>
      </c>
      <c r="W558" s="177" t="s">
        <v>89</v>
      </c>
      <c r="X558" s="230"/>
      <c r="Y558" s="177"/>
      <c r="Z558" s="178">
        <v>12</v>
      </c>
      <c r="AA558" s="297"/>
      <c r="AB558" s="21" t="s">
        <v>2</v>
      </c>
      <c r="AC558" s="163"/>
      <c r="AD558" s="163"/>
      <c r="AE558" s="163"/>
      <c r="AF558" s="163"/>
      <c r="AG558" s="163"/>
      <c r="AH558" s="164">
        <v>1</v>
      </c>
      <c r="AI558" s="163"/>
      <c r="AJ558" s="163"/>
      <c r="AK558" s="163"/>
      <c r="AL558" s="163"/>
      <c r="AM558" s="163"/>
      <c r="AN558" s="163"/>
      <c r="AO558" s="10" t="s">
        <v>3</v>
      </c>
      <c r="AP558" s="238"/>
      <c r="AQ558" s="198">
        <v>12</v>
      </c>
      <c r="AR558" s="222"/>
      <c r="AS558" s="222"/>
      <c r="AT558" s="222" t="s">
        <v>89</v>
      </c>
      <c r="AU558" s="222" t="s">
        <v>89</v>
      </c>
      <c r="AV558" s="132"/>
      <c r="AW558" s="189"/>
      <c r="AX558" s="191"/>
      <c r="AY558" s="223"/>
      <c r="AZ558" s="223"/>
      <c r="BA558" s="191"/>
      <c r="BB558" s="192"/>
      <c r="BC558" s="188"/>
      <c r="BD558" s="188"/>
      <c r="BE558" s="224"/>
      <c r="BF558" s="187"/>
      <c r="BG558" s="135"/>
      <c r="BH558" s="136"/>
      <c r="BI558" s="186"/>
      <c r="BJ558" s="185"/>
      <c r="BK558" s="193"/>
      <c r="BL558" s="36"/>
      <c r="BM558" s="36" t="str">
        <f>IF('[1]V1 V2'!X557="","",'[1]V1 V2'!X557)</f>
        <v/>
      </c>
    </row>
    <row r="559" spans="1:65" ht="16" thickBot="1" x14ac:dyDescent="0.4">
      <c r="A559">
        <v>1</v>
      </c>
      <c r="B559" s="304" t="s">
        <v>1701</v>
      </c>
      <c r="C559" s="305"/>
      <c r="D559" s="306"/>
      <c r="E559" s="36">
        <f>VLOOKUP($B559,'[1]V1 V2'!$B$5:$BW$1894,74,0)</f>
        <v>0</v>
      </c>
      <c r="F559" s="168"/>
      <c r="G559" s="169"/>
      <c r="H559" s="170"/>
      <c r="I559" s="57"/>
      <c r="J559" s="56">
        <v>-12</v>
      </c>
      <c r="K559" s="171"/>
      <c r="L559" s="142">
        <v>3.8</v>
      </c>
      <c r="M559" s="172"/>
      <c r="N559" s="173"/>
      <c r="O559" s="174"/>
      <c r="P559" s="175"/>
      <c r="Q559" s="182" t="s">
        <v>100</v>
      </c>
      <c r="R559" s="182" t="s">
        <v>29</v>
      </c>
      <c r="S559" s="175"/>
      <c r="T559" s="173" t="s">
        <v>30</v>
      </c>
      <c r="U559" s="62" t="s">
        <v>48</v>
      </c>
      <c r="V559" s="177" t="s">
        <v>1702</v>
      </c>
      <c r="W559" s="177" t="s">
        <v>1703</v>
      </c>
      <c r="X559" s="177">
        <v>30511.429000000011</v>
      </c>
      <c r="Y559" s="177">
        <v>4291.8099999999977</v>
      </c>
      <c r="Z559" s="178"/>
      <c r="AA559" s="297" t="s">
        <v>1701</v>
      </c>
      <c r="AB559" s="21" t="s">
        <v>2</v>
      </c>
      <c r="AC559" s="113"/>
      <c r="AD559" s="113"/>
      <c r="AE559" s="113"/>
      <c r="AG559" s="113"/>
      <c r="AH559" s="166">
        <f>Y558</f>
        <v>0</v>
      </c>
      <c r="AI559" s="113"/>
      <c r="AJ559" s="113"/>
      <c r="AL559" s="113"/>
      <c r="AM559" s="113"/>
      <c r="AN559" s="113"/>
      <c r="AO559" s="10" t="s">
        <v>3</v>
      </c>
      <c r="AP559" s="238" t="s">
        <v>1704</v>
      </c>
      <c r="AQ559" s="198"/>
      <c r="AR559" s="222">
        <v>4287.4100000000008</v>
      </c>
      <c r="AS559" s="222">
        <f>AS557-AR558</f>
        <v>30709.638999999996</v>
      </c>
      <c r="AT559" s="222" t="s">
        <v>1705</v>
      </c>
      <c r="AU559" s="222" t="s">
        <v>1706</v>
      </c>
      <c r="AV559" s="132" t="s">
        <v>48</v>
      </c>
      <c r="AW559" s="189" t="s">
        <v>30</v>
      </c>
      <c r="AX559" s="191"/>
      <c r="AY559" s="223" t="s">
        <v>29</v>
      </c>
      <c r="AZ559" s="223" t="s">
        <v>100</v>
      </c>
      <c r="BA559" s="191"/>
      <c r="BB559" s="192"/>
      <c r="BC559" s="188"/>
      <c r="BD559" s="188"/>
      <c r="BE559" s="224">
        <v>3.8</v>
      </c>
      <c r="BF559" s="187"/>
      <c r="BG559" s="135">
        <v>-12</v>
      </c>
      <c r="BH559" s="136"/>
      <c r="BI559" s="186"/>
      <c r="BJ559" s="185"/>
      <c r="BK559" s="193"/>
      <c r="BL559" s="36">
        <f>VLOOKUP($AP559,'[1]V1 V2'!$B$5:$BW$1894,74,0)</f>
        <v>0</v>
      </c>
      <c r="BM559" s="36" t="str">
        <f>IF('[1]V1 V2'!X558="","",'[1]V1 V2'!X558)</f>
        <v/>
      </c>
    </row>
    <row r="560" spans="1:65" ht="16" thickBot="1" x14ac:dyDescent="0.4">
      <c r="A560">
        <v>1</v>
      </c>
      <c r="B560" s="304"/>
      <c r="C560" s="305"/>
      <c r="D560" s="306"/>
      <c r="E560" s="36"/>
      <c r="F560" s="168"/>
      <c r="G560" s="169"/>
      <c r="H560" s="170"/>
      <c r="I560" s="57"/>
      <c r="J560" s="56"/>
      <c r="K560" s="171"/>
      <c r="L560" s="142"/>
      <c r="M560" s="172"/>
      <c r="N560" s="173"/>
      <c r="O560" s="174"/>
      <c r="P560" s="175"/>
      <c r="Q560" s="182"/>
      <c r="R560" s="182"/>
      <c r="S560" s="175"/>
      <c r="T560" s="173"/>
      <c r="U560" s="62" t="s">
        <v>184</v>
      </c>
      <c r="V560" s="177" t="s">
        <v>89</v>
      </c>
      <c r="W560" s="177" t="s">
        <v>89</v>
      </c>
      <c r="X560" s="230"/>
      <c r="Y560" s="177"/>
      <c r="Z560" s="178">
        <v>12</v>
      </c>
      <c r="AA560" s="297"/>
      <c r="AB560" s="21" t="s">
        <v>2</v>
      </c>
      <c r="AF560" s="113" t="s">
        <v>90</v>
      </c>
      <c r="AH560" s="63">
        <v>1</v>
      </c>
      <c r="AK560" s="113" t="s">
        <v>90</v>
      </c>
      <c r="AO560" s="10" t="s">
        <v>3</v>
      </c>
      <c r="AP560" s="238"/>
      <c r="AQ560" s="198">
        <v>12</v>
      </c>
      <c r="AR560" s="222"/>
      <c r="AS560" s="222"/>
      <c r="AT560" s="222" t="s">
        <v>89</v>
      </c>
      <c r="AU560" s="222" t="s">
        <v>89</v>
      </c>
      <c r="AV560" s="132"/>
      <c r="AW560" s="189"/>
      <c r="AX560" s="191"/>
      <c r="AY560" s="223"/>
      <c r="AZ560" s="223"/>
      <c r="BA560" s="191"/>
      <c r="BB560" s="192"/>
      <c r="BC560" s="188"/>
      <c r="BD560" s="188"/>
      <c r="BE560" s="224"/>
      <c r="BF560" s="187"/>
      <c r="BG560" s="135"/>
      <c r="BH560" s="136"/>
      <c r="BI560" s="186"/>
      <c r="BJ560" s="185"/>
      <c r="BK560" s="193"/>
      <c r="BL560" s="36"/>
      <c r="BM560" s="36" t="str">
        <f>IF('[1]V1 V2'!X559="","",'[1]V1 V2'!X559)</f>
        <v/>
      </c>
    </row>
    <row r="561" spans="1:65" ht="16" thickBot="1" x14ac:dyDescent="0.4">
      <c r="A561">
        <v>1</v>
      </c>
      <c r="B561" s="304" t="s">
        <v>1707</v>
      </c>
      <c r="C561" s="305"/>
      <c r="D561" s="306"/>
      <c r="E561" s="36">
        <f>VLOOKUP($B561,'[1]V1 V2'!$B$5:$BW$1894,74,0)</f>
        <v>0</v>
      </c>
      <c r="F561" s="168"/>
      <c r="G561" s="169"/>
      <c r="H561" s="170"/>
      <c r="I561" s="57"/>
      <c r="J561" s="56">
        <v>-4</v>
      </c>
      <c r="K561" s="171"/>
      <c r="L561" s="142">
        <v>3.8</v>
      </c>
      <c r="M561" s="172"/>
      <c r="N561" s="173"/>
      <c r="O561" s="174"/>
      <c r="P561" s="175"/>
      <c r="Q561" s="182" t="s">
        <v>100</v>
      </c>
      <c r="R561" s="182" t="s">
        <v>29</v>
      </c>
      <c r="S561" s="175"/>
      <c r="T561" s="173" t="s">
        <v>30</v>
      </c>
      <c r="U561" s="62" t="s">
        <v>48</v>
      </c>
      <c r="V561" s="177" t="s">
        <v>1708</v>
      </c>
      <c r="W561" s="177" t="s">
        <v>1709</v>
      </c>
      <c r="X561" s="177">
        <v>30499.429000000011</v>
      </c>
      <c r="Y561" s="177">
        <v>4303.8099999999977</v>
      </c>
      <c r="Z561" s="178"/>
      <c r="AA561" s="297" t="s">
        <v>1707</v>
      </c>
      <c r="AB561" s="21" t="s">
        <v>2</v>
      </c>
      <c r="AH561" s="63">
        <v>1</v>
      </c>
      <c r="AO561" s="10" t="s">
        <v>3</v>
      </c>
      <c r="AP561" s="238" t="s">
        <v>1710</v>
      </c>
      <c r="AQ561" s="198"/>
      <c r="AR561" s="222">
        <v>4299.4100000000008</v>
      </c>
      <c r="AS561" s="222">
        <f>AS559-AR560</f>
        <v>30709.638999999996</v>
      </c>
      <c r="AT561" s="222" t="s">
        <v>1711</v>
      </c>
      <c r="AU561" s="222" t="s">
        <v>1712</v>
      </c>
      <c r="AV561" s="132" t="s">
        <v>48</v>
      </c>
      <c r="AW561" s="189" t="s">
        <v>30</v>
      </c>
      <c r="AX561" s="191"/>
      <c r="AY561" s="223" t="s">
        <v>29</v>
      </c>
      <c r="AZ561" s="223" t="s">
        <v>100</v>
      </c>
      <c r="BA561" s="191"/>
      <c r="BB561" s="192"/>
      <c r="BC561" s="188"/>
      <c r="BD561" s="188"/>
      <c r="BE561" s="224">
        <v>3.8</v>
      </c>
      <c r="BF561" s="187"/>
      <c r="BG561" s="135">
        <v>-4</v>
      </c>
      <c r="BH561" s="136"/>
      <c r="BI561" s="186"/>
      <c r="BJ561" s="185"/>
      <c r="BK561" s="193"/>
      <c r="BL561" s="36">
        <f>VLOOKUP($AP561,'[1]V1 V2'!$B$5:$BW$1894,74,0)</f>
        <v>0</v>
      </c>
      <c r="BM561" s="36" t="str">
        <f>IF('[1]V1 V2'!X560="","",'[1]V1 V2'!X560)</f>
        <v/>
      </c>
    </row>
    <row r="562" spans="1:65" ht="16" thickBot="1" x14ac:dyDescent="0.4">
      <c r="A562">
        <v>1</v>
      </c>
      <c r="B562" s="304"/>
      <c r="C562" s="305"/>
      <c r="D562" s="306"/>
      <c r="E562" s="36"/>
      <c r="F562" s="168"/>
      <c r="G562" s="169"/>
      <c r="H562" s="170"/>
      <c r="I562" s="57"/>
      <c r="J562" s="56"/>
      <c r="K562" s="171"/>
      <c r="L562" s="142"/>
      <c r="M562" s="172"/>
      <c r="N562" s="173"/>
      <c r="O562" s="174"/>
      <c r="P562" s="175"/>
      <c r="Q562" s="182"/>
      <c r="R562" s="182"/>
      <c r="S562" s="175"/>
      <c r="T562" s="173"/>
      <c r="U562" s="62" t="s">
        <v>184</v>
      </c>
      <c r="V562" s="177" t="s">
        <v>89</v>
      </c>
      <c r="W562" s="177" t="s">
        <v>89</v>
      </c>
      <c r="X562" s="230"/>
      <c r="Y562" s="177"/>
      <c r="Z562" s="178">
        <v>12</v>
      </c>
      <c r="AA562" s="297"/>
      <c r="AB562" s="21" t="s">
        <v>2</v>
      </c>
      <c r="AH562" s="63">
        <v>1</v>
      </c>
      <c r="AO562" s="10" t="s">
        <v>3</v>
      </c>
      <c r="AP562" s="238"/>
      <c r="AQ562" s="198">
        <v>12</v>
      </c>
      <c r="AR562" s="222"/>
      <c r="AS562" s="222"/>
      <c r="AT562" s="222" t="s">
        <v>89</v>
      </c>
      <c r="AU562" s="222" t="s">
        <v>89</v>
      </c>
      <c r="AV562" s="132"/>
      <c r="AW562" s="189"/>
      <c r="AX562" s="191"/>
      <c r="AY562" s="223"/>
      <c r="AZ562" s="223"/>
      <c r="BA562" s="191"/>
      <c r="BB562" s="192"/>
      <c r="BC562" s="188"/>
      <c r="BD562" s="188"/>
      <c r="BE562" s="224"/>
      <c r="BF562" s="187"/>
      <c r="BG562" s="135"/>
      <c r="BH562" s="136"/>
      <c r="BI562" s="186"/>
      <c r="BJ562" s="185"/>
      <c r="BK562" s="193"/>
      <c r="BL562" s="36"/>
      <c r="BM562" s="36" t="str">
        <f>IF('[1]V1 V2'!X561="","",'[1]V1 V2'!X561)</f>
        <v/>
      </c>
    </row>
    <row r="563" spans="1:65" ht="16" thickBot="1" x14ac:dyDescent="0.4">
      <c r="A563">
        <v>1</v>
      </c>
      <c r="B563" s="304" t="s">
        <v>1713</v>
      </c>
      <c r="C563" s="305"/>
      <c r="D563" s="306"/>
      <c r="E563" s="36">
        <f>VLOOKUP($B563,'[1]V1 V2'!$B$5:$BW$1894,74,0)</f>
        <v>0</v>
      </c>
      <c r="F563" s="168"/>
      <c r="G563" s="169"/>
      <c r="H563" s="170"/>
      <c r="I563" s="57"/>
      <c r="J563" s="56" t="s">
        <v>113</v>
      </c>
      <c r="K563" s="171"/>
      <c r="L563" s="142">
        <v>3.8</v>
      </c>
      <c r="M563" s="172"/>
      <c r="N563" s="173"/>
      <c r="O563" s="174"/>
      <c r="P563" s="175"/>
      <c r="Q563" s="182" t="s">
        <v>100</v>
      </c>
      <c r="R563" s="182" t="s">
        <v>29</v>
      </c>
      <c r="S563" s="175"/>
      <c r="T563" s="173" t="s">
        <v>30</v>
      </c>
      <c r="U563" s="62" t="s">
        <v>48</v>
      </c>
      <c r="V563" s="177" t="s">
        <v>1714</v>
      </c>
      <c r="W563" s="177" t="s">
        <v>1715</v>
      </c>
      <c r="X563" s="177">
        <v>30487.429000000011</v>
      </c>
      <c r="Y563" s="177">
        <v>4315.8099999999977</v>
      </c>
      <c r="Z563" s="178"/>
      <c r="AA563" s="297" t="s">
        <v>1713</v>
      </c>
      <c r="AB563" s="21" t="s">
        <v>2</v>
      </c>
      <c r="AH563" s="63">
        <v>1</v>
      </c>
      <c r="AO563" s="10" t="s">
        <v>3</v>
      </c>
      <c r="AP563" s="238" t="s">
        <v>1716</v>
      </c>
      <c r="AQ563" s="198"/>
      <c r="AR563" s="222">
        <v>4311.4100000000008</v>
      </c>
      <c r="AS563" s="222">
        <f>AS561-AR562</f>
        <v>30709.638999999996</v>
      </c>
      <c r="AT563" s="222" t="s">
        <v>1717</v>
      </c>
      <c r="AU563" s="222" t="s">
        <v>1718</v>
      </c>
      <c r="AV563" s="132" t="s">
        <v>48</v>
      </c>
      <c r="AW563" s="189" t="s">
        <v>30</v>
      </c>
      <c r="AX563" s="191"/>
      <c r="AY563" s="223" t="s">
        <v>29</v>
      </c>
      <c r="AZ563" s="223" t="s">
        <v>100</v>
      </c>
      <c r="BA563" s="191"/>
      <c r="BB563" s="192"/>
      <c r="BC563" s="188"/>
      <c r="BD563" s="188"/>
      <c r="BE563" s="224">
        <v>3.8</v>
      </c>
      <c r="BF563" s="187"/>
      <c r="BG563" s="225" t="s">
        <v>113</v>
      </c>
      <c r="BH563" s="136"/>
      <c r="BI563" s="186"/>
      <c r="BJ563" s="185"/>
      <c r="BK563" s="193"/>
      <c r="BL563" s="36">
        <f>VLOOKUP($AP563,'[1]V1 V2'!$B$5:$BW$1894,74,0)</f>
        <v>0</v>
      </c>
      <c r="BM563" s="36" t="str">
        <f>IF('[1]V1 V2'!X562="","",'[1]V1 V2'!X562)</f>
        <v/>
      </c>
    </row>
    <row r="564" spans="1:65" ht="16" thickBot="1" x14ac:dyDescent="0.4">
      <c r="A564">
        <v>1</v>
      </c>
      <c r="B564" s="304"/>
      <c r="C564" s="305"/>
      <c r="D564" s="306"/>
      <c r="E564" s="36"/>
      <c r="F564" s="168"/>
      <c r="G564" s="169"/>
      <c r="H564" s="170"/>
      <c r="I564" s="57"/>
      <c r="J564" s="56"/>
      <c r="K564" s="171"/>
      <c r="L564" s="142"/>
      <c r="M564" s="172"/>
      <c r="N564" s="173"/>
      <c r="O564" s="174"/>
      <c r="P564" s="175"/>
      <c r="Q564" s="182"/>
      <c r="R564" s="182"/>
      <c r="S564" s="175"/>
      <c r="T564" s="173"/>
      <c r="U564" s="62" t="s">
        <v>184</v>
      </c>
      <c r="V564" s="177" t="s">
        <v>89</v>
      </c>
      <c r="W564" s="177" t="s">
        <v>89</v>
      </c>
      <c r="X564" s="230"/>
      <c r="Y564" s="177"/>
      <c r="Z564" s="178">
        <v>12</v>
      </c>
      <c r="AA564" s="297"/>
      <c r="AB564" s="21" t="s">
        <v>2</v>
      </c>
      <c r="AH564" s="63">
        <v>1</v>
      </c>
      <c r="AO564" s="10" t="s">
        <v>3</v>
      </c>
      <c r="AP564" s="238"/>
      <c r="AQ564" s="198">
        <v>12</v>
      </c>
      <c r="AR564" s="222"/>
      <c r="AS564" s="222"/>
      <c r="AT564" s="222" t="s">
        <v>89</v>
      </c>
      <c r="AU564" s="222" t="s">
        <v>89</v>
      </c>
      <c r="AV564" s="132"/>
      <c r="AW564" s="189"/>
      <c r="AX564" s="191"/>
      <c r="AY564" s="223"/>
      <c r="AZ564" s="223"/>
      <c r="BA564" s="191"/>
      <c r="BB564" s="192"/>
      <c r="BC564" s="188"/>
      <c r="BD564" s="188"/>
      <c r="BE564" s="224"/>
      <c r="BF564" s="187"/>
      <c r="BG564" s="135"/>
      <c r="BH564" s="136"/>
      <c r="BI564" s="186"/>
      <c r="BJ564" s="185"/>
      <c r="BK564" s="193"/>
      <c r="BL564" s="36"/>
      <c r="BM564" s="36" t="str">
        <f>IF('[1]V1 V2'!X563="","",'[1]V1 V2'!X563)</f>
        <v/>
      </c>
    </row>
    <row r="565" spans="1:65" ht="16" thickBot="1" x14ac:dyDescent="0.4">
      <c r="A565">
        <v>1</v>
      </c>
      <c r="B565" s="304" t="s">
        <v>1719</v>
      </c>
      <c r="C565" s="305"/>
      <c r="D565" s="306"/>
      <c r="E565" s="36">
        <f>VLOOKUP($B565,'[1]V1 V2'!$B$5:$BW$1894,74,0)</f>
        <v>0</v>
      </c>
      <c r="F565" s="168"/>
      <c r="G565" s="169"/>
      <c r="H565" s="170"/>
      <c r="I565" s="57"/>
      <c r="J565" s="56" t="s">
        <v>120</v>
      </c>
      <c r="K565" s="171"/>
      <c r="L565" s="142">
        <v>3.8</v>
      </c>
      <c r="M565" s="172"/>
      <c r="N565" s="173"/>
      <c r="O565" s="174"/>
      <c r="P565" s="175"/>
      <c r="Q565" s="182" t="s">
        <v>100</v>
      </c>
      <c r="R565" s="182" t="s">
        <v>29</v>
      </c>
      <c r="S565" s="175"/>
      <c r="T565" s="173" t="s">
        <v>30</v>
      </c>
      <c r="U565" s="62">
        <v>-150</v>
      </c>
      <c r="V565" s="177" t="s">
        <v>1720</v>
      </c>
      <c r="W565" s="177" t="s">
        <v>1721</v>
      </c>
      <c r="X565" s="177">
        <v>30475.429000000011</v>
      </c>
      <c r="Y565" s="177">
        <v>4327.8099999999977</v>
      </c>
      <c r="Z565" s="178"/>
      <c r="AA565" s="297" t="s">
        <v>1719</v>
      </c>
      <c r="AB565" s="21" t="s">
        <v>2</v>
      </c>
      <c r="AH565" s="63">
        <v>1</v>
      </c>
      <c r="AO565" s="10" t="s">
        <v>3</v>
      </c>
      <c r="AP565" s="238" t="s">
        <v>1722</v>
      </c>
      <c r="AQ565" s="198"/>
      <c r="AR565" s="222">
        <v>4323.4100000000008</v>
      </c>
      <c r="AS565" s="222">
        <f>AS563-AR564</f>
        <v>30709.638999999996</v>
      </c>
      <c r="AT565" s="222" t="s">
        <v>1723</v>
      </c>
      <c r="AU565" s="222" t="s">
        <v>1724</v>
      </c>
      <c r="AV565" s="132">
        <v>-150</v>
      </c>
      <c r="AW565" s="189" t="s">
        <v>30</v>
      </c>
      <c r="AX565" s="191"/>
      <c r="AY565" s="223" t="s">
        <v>29</v>
      </c>
      <c r="AZ565" s="223" t="s">
        <v>100</v>
      </c>
      <c r="BA565" s="191"/>
      <c r="BB565" s="192"/>
      <c r="BC565" s="188"/>
      <c r="BD565" s="188"/>
      <c r="BE565" s="224">
        <v>3.8</v>
      </c>
      <c r="BF565" s="187"/>
      <c r="BG565" s="225" t="s">
        <v>120</v>
      </c>
      <c r="BH565" s="136"/>
      <c r="BI565" s="186"/>
      <c r="BJ565" s="185"/>
      <c r="BK565" s="193"/>
      <c r="BL565" s="36">
        <f>VLOOKUP($AP565,'[1]V1 V2'!$B$5:$BW$1894,74,0)</f>
        <v>0</v>
      </c>
      <c r="BM565" s="36" t="str">
        <f>IF('[1]V1 V2'!X564="","",'[1]V1 V2'!X564)</f>
        <v/>
      </c>
    </row>
    <row r="566" spans="1:65" ht="16" thickBot="1" x14ac:dyDescent="0.4">
      <c r="A566">
        <v>1</v>
      </c>
      <c r="B566" s="304"/>
      <c r="C566" s="305"/>
      <c r="D566" s="306"/>
      <c r="E566" s="36"/>
      <c r="F566" s="168"/>
      <c r="G566" s="169"/>
      <c r="H566" s="170"/>
      <c r="I566" s="57"/>
      <c r="J566" s="56"/>
      <c r="K566" s="171"/>
      <c r="L566" s="142"/>
      <c r="M566" s="172"/>
      <c r="N566" s="173"/>
      <c r="O566" s="174"/>
      <c r="P566" s="175"/>
      <c r="Q566" s="182"/>
      <c r="R566" s="182"/>
      <c r="S566" s="175"/>
      <c r="T566" s="173"/>
      <c r="U566" s="62" t="s">
        <v>184</v>
      </c>
      <c r="V566" s="177" t="s">
        <v>89</v>
      </c>
      <c r="W566" s="177" t="s">
        <v>89</v>
      </c>
      <c r="X566" s="230"/>
      <c r="Y566" s="177"/>
      <c r="Z566" s="178">
        <v>12</v>
      </c>
      <c r="AA566" s="297"/>
      <c r="AB566" s="21" t="s">
        <v>2</v>
      </c>
      <c r="AH566" s="63">
        <v>1</v>
      </c>
      <c r="AO566" s="10" t="s">
        <v>3</v>
      </c>
      <c r="AP566" s="238"/>
      <c r="AQ566" s="198">
        <v>12</v>
      </c>
      <c r="AR566" s="222"/>
      <c r="AS566" s="222"/>
      <c r="AT566" s="222" t="s">
        <v>89</v>
      </c>
      <c r="AU566" s="222" t="s">
        <v>89</v>
      </c>
      <c r="AV566" s="132"/>
      <c r="AW566" s="189"/>
      <c r="AX566" s="191"/>
      <c r="AY566" s="223"/>
      <c r="AZ566" s="223"/>
      <c r="BA566" s="191"/>
      <c r="BB566" s="192"/>
      <c r="BC566" s="188"/>
      <c r="BD566" s="188"/>
      <c r="BE566" s="224"/>
      <c r="BF566" s="187"/>
      <c r="BG566" s="135"/>
      <c r="BH566" s="136"/>
      <c r="BI566" s="186"/>
      <c r="BJ566" s="185"/>
      <c r="BK566" s="193"/>
      <c r="BL566" s="36"/>
      <c r="BM566" s="36" t="str">
        <f>IF('[1]V1 V2'!X565="","",'[1]V1 V2'!X565)</f>
        <v/>
      </c>
    </row>
    <row r="567" spans="1:65" ht="16" thickBot="1" x14ac:dyDescent="0.4">
      <c r="A567">
        <v>1</v>
      </c>
      <c r="B567" s="304" t="s">
        <v>1725</v>
      </c>
      <c r="C567" s="305"/>
      <c r="D567" s="306"/>
      <c r="E567" s="36">
        <f>VLOOKUP($B567,'[1]V1 V2'!$B$5:$BW$1894,74,0)</f>
        <v>0</v>
      </c>
      <c r="F567" s="168"/>
      <c r="G567" s="169"/>
      <c r="H567" s="170"/>
      <c r="I567" s="57"/>
      <c r="J567" s="56" t="s">
        <v>127</v>
      </c>
      <c r="K567" s="171"/>
      <c r="L567" s="142">
        <v>3.8</v>
      </c>
      <c r="M567" s="172"/>
      <c r="N567" s="173"/>
      <c r="O567" s="174"/>
      <c r="P567" s="175"/>
      <c r="Q567" s="182" t="s">
        <v>100</v>
      </c>
      <c r="R567" s="182" t="s">
        <v>29</v>
      </c>
      <c r="S567" s="175"/>
      <c r="T567" s="173" t="s">
        <v>30</v>
      </c>
      <c r="U567" s="62">
        <v>-150</v>
      </c>
      <c r="V567" s="177" t="s">
        <v>1726</v>
      </c>
      <c r="W567" s="177" t="s">
        <v>1727</v>
      </c>
      <c r="X567" s="177">
        <v>30463.429000000011</v>
      </c>
      <c r="Y567" s="177">
        <v>4339.8099999999977</v>
      </c>
      <c r="Z567" s="178"/>
      <c r="AA567" s="297" t="s">
        <v>1725</v>
      </c>
      <c r="AB567" s="21" t="s">
        <v>2</v>
      </c>
      <c r="AH567" s="63">
        <v>1</v>
      </c>
      <c r="AO567" s="10" t="s">
        <v>3</v>
      </c>
      <c r="AP567" s="238" t="s">
        <v>1728</v>
      </c>
      <c r="AQ567" s="198"/>
      <c r="AR567" s="222">
        <v>4335.4100000000008</v>
      </c>
      <c r="AS567" s="222">
        <f>AS565-AR566</f>
        <v>30709.638999999996</v>
      </c>
      <c r="AT567" s="222" t="s">
        <v>1729</v>
      </c>
      <c r="AU567" s="222" t="s">
        <v>1730</v>
      </c>
      <c r="AV567" s="132">
        <v>-150</v>
      </c>
      <c r="AW567" s="189" t="s">
        <v>30</v>
      </c>
      <c r="AX567" s="191"/>
      <c r="AY567" s="223" t="s">
        <v>29</v>
      </c>
      <c r="AZ567" s="223" t="s">
        <v>100</v>
      </c>
      <c r="BA567" s="191"/>
      <c r="BB567" s="192"/>
      <c r="BC567" s="188"/>
      <c r="BD567" s="188"/>
      <c r="BE567" s="224">
        <v>3.8</v>
      </c>
      <c r="BF567" s="187"/>
      <c r="BG567" s="225" t="s">
        <v>127</v>
      </c>
      <c r="BH567" s="136"/>
      <c r="BI567" s="186"/>
      <c r="BJ567" s="185"/>
      <c r="BK567" s="193"/>
      <c r="BL567" s="36">
        <f>VLOOKUP($AP567,'[1]V1 V2'!$B$5:$BW$1894,74,0)</f>
        <v>0</v>
      </c>
      <c r="BM567" s="36" t="str">
        <f>IF('[1]V1 V2'!X566="","",'[1]V1 V2'!X566)</f>
        <v/>
      </c>
    </row>
    <row r="568" spans="1:65" ht="16" thickBot="1" x14ac:dyDescent="0.4">
      <c r="A568">
        <v>1</v>
      </c>
      <c r="B568" s="304"/>
      <c r="C568" s="305"/>
      <c r="D568" s="306"/>
      <c r="E568" s="36"/>
      <c r="F568" s="168"/>
      <c r="G568" s="169"/>
      <c r="H568" s="170"/>
      <c r="I568" s="57"/>
      <c r="J568" s="56"/>
      <c r="K568" s="171"/>
      <c r="L568" s="142"/>
      <c r="M568" s="172"/>
      <c r="N568" s="173"/>
      <c r="O568" s="174"/>
      <c r="P568" s="175"/>
      <c r="Q568" s="182"/>
      <c r="R568" s="182"/>
      <c r="S568" s="175"/>
      <c r="T568" s="173"/>
      <c r="U568" s="62" t="s">
        <v>184</v>
      </c>
      <c r="V568" s="177" t="s">
        <v>89</v>
      </c>
      <c r="W568" s="177" t="s">
        <v>89</v>
      </c>
      <c r="X568" s="230"/>
      <c r="Y568" s="177"/>
      <c r="Z568" s="178">
        <v>12</v>
      </c>
      <c r="AA568" s="297"/>
      <c r="AB568" s="21" t="s">
        <v>2</v>
      </c>
      <c r="AH568" s="63">
        <v>1</v>
      </c>
      <c r="AO568" s="10" t="s">
        <v>3</v>
      </c>
      <c r="AP568" s="238"/>
      <c r="AQ568" s="198">
        <v>12</v>
      </c>
      <c r="AR568" s="222"/>
      <c r="AS568" s="222"/>
      <c r="AT568" s="222" t="s">
        <v>89</v>
      </c>
      <c r="AU568" s="222" t="s">
        <v>89</v>
      </c>
      <c r="AV568" s="132"/>
      <c r="AW568" s="189"/>
      <c r="AX568" s="191"/>
      <c r="AY568" s="223"/>
      <c r="AZ568" s="223"/>
      <c r="BA568" s="191"/>
      <c r="BB568" s="192"/>
      <c r="BC568" s="188"/>
      <c r="BD568" s="188"/>
      <c r="BE568" s="224"/>
      <c r="BF568" s="187"/>
      <c r="BG568" s="135"/>
      <c r="BH568" s="136"/>
      <c r="BI568" s="186"/>
      <c r="BJ568" s="185"/>
      <c r="BK568" s="193"/>
      <c r="BL568" s="36"/>
      <c r="BM568" s="36" t="str">
        <f>IF('[1]V1 V2'!X567="","",'[1]V1 V2'!X567)</f>
        <v/>
      </c>
    </row>
    <row r="569" spans="1:65" ht="16" thickBot="1" x14ac:dyDescent="0.4">
      <c r="A569">
        <v>1</v>
      </c>
      <c r="B569" s="304" t="s">
        <v>1731</v>
      </c>
      <c r="C569" s="305"/>
      <c r="D569" s="306"/>
      <c r="E569" s="36">
        <f>VLOOKUP($B569,'[1]V1 V2'!$B$5:$BW$1894,74,0)</f>
        <v>0</v>
      </c>
      <c r="F569" s="168"/>
      <c r="G569" s="169"/>
      <c r="H569" s="170"/>
      <c r="I569" s="57"/>
      <c r="J569" s="56" t="s">
        <v>120</v>
      </c>
      <c r="K569" s="171"/>
      <c r="L569" s="142">
        <v>3.8</v>
      </c>
      <c r="M569" s="172"/>
      <c r="N569" s="173"/>
      <c r="O569" s="174"/>
      <c r="P569" s="175"/>
      <c r="Q569" s="182" t="s">
        <v>100</v>
      </c>
      <c r="R569" s="182" t="s">
        <v>29</v>
      </c>
      <c r="S569" s="175"/>
      <c r="T569" s="173" t="s">
        <v>30</v>
      </c>
      <c r="U569" s="62">
        <v>-150</v>
      </c>
      <c r="V569" s="177" t="s">
        <v>1732</v>
      </c>
      <c r="W569" s="177" t="s">
        <v>1733</v>
      </c>
      <c r="X569" s="177">
        <v>30451.429000000011</v>
      </c>
      <c r="Y569" s="177">
        <v>4351.8099999999977</v>
      </c>
      <c r="Z569" s="178"/>
      <c r="AA569" s="297" t="s">
        <v>1731</v>
      </c>
      <c r="AB569" s="21" t="s">
        <v>2</v>
      </c>
      <c r="AH569" s="63">
        <v>1</v>
      </c>
      <c r="AO569" s="10" t="s">
        <v>3</v>
      </c>
      <c r="AP569" s="238" t="s">
        <v>1734</v>
      </c>
      <c r="AQ569" s="198"/>
      <c r="AR569" s="222">
        <v>4347.4100000000008</v>
      </c>
      <c r="AS569" s="222">
        <f>AS567-AR568</f>
        <v>30709.638999999996</v>
      </c>
      <c r="AT569" s="222" t="s">
        <v>1735</v>
      </c>
      <c r="AU569" s="222" t="s">
        <v>1736</v>
      </c>
      <c r="AV569" s="132">
        <v>-150</v>
      </c>
      <c r="AW569" s="189" t="s">
        <v>30</v>
      </c>
      <c r="AX569" s="191"/>
      <c r="AY569" s="223" t="s">
        <v>29</v>
      </c>
      <c r="AZ569" s="223" t="s">
        <v>100</v>
      </c>
      <c r="BA569" s="191"/>
      <c r="BB569" s="192"/>
      <c r="BC569" s="188"/>
      <c r="BD569" s="188"/>
      <c r="BE569" s="224">
        <v>3.8</v>
      </c>
      <c r="BF569" s="187"/>
      <c r="BG569" s="225" t="s">
        <v>120</v>
      </c>
      <c r="BH569" s="136"/>
      <c r="BI569" s="186"/>
      <c r="BJ569" s="185"/>
      <c r="BK569" s="193"/>
      <c r="BL569" s="36">
        <f>VLOOKUP($AP569,'[1]V1 V2'!$B$5:$BW$1894,74,0)</f>
        <v>0</v>
      </c>
      <c r="BM569" s="36" t="str">
        <f>IF('[1]V1 V2'!X568="","",'[1]V1 V2'!X568)</f>
        <v/>
      </c>
    </row>
    <row r="570" spans="1:65" ht="16" thickBot="1" x14ac:dyDescent="0.4">
      <c r="A570">
        <v>1</v>
      </c>
      <c r="B570" s="304"/>
      <c r="C570" s="305"/>
      <c r="D570" s="306"/>
      <c r="E570" s="36"/>
      <c r="F570" s="168"/>
      <c r="G570" s="169"/>
      <c r="H570" s="170"/>
      <c r="I570" s="57"/>
      <c r="J570" s="56"/>
      <c r="K570" s="171"/>
      <c r="L570" s="142"/>
      <c r="M570" s="172"/>
      <c r="N570" s="173"/>
      <c r="O570" s="174"/>
      <c r="P570" s="175"/>
      <c r="Q570" s="182"/>
      <c r="R570" s="182"/>
      <c r="S570" s="175"/>
      <c r="T570" s="173"/>
      <c r="U570" s="62" t="s">
        <v>184</v>
      </c>
      <c r="V570" s="177" t="s">
        <v>89</v>
      </c>
      <c r="W570" s="177" t="s">
        <v>89</v>
      </c>
      <c r="X570" s="230"/>
      <c r="Y570" s="177"/>
      <c r="Z570" s="178">
        <v>12</v>
      </c>
      <c r="AA570" s="297"/>
      <c r="AB570" s="21" t="s">
        <v>2</v>
      </c>
      <c r="AH570" s="63">
        <v>1</v>
      </c>
      <c r="AO570" s="10" t="s">
        <v>3</v>
      </c>
      <c r="AP570" s="238"/>
      <c r="AQ570" s="198">
        <v>12</v>
      </c>
      <c r="AR570" s="222"/>
      <c r="AS570" s="222"/>
      <c r="AT570" s="222" t="s">
        <v>89</v>
      </c>
      <c r="AU570" s="222" t="s">
        <v>89</v>
      </c>
      <c r="AV570" s="132"/>
      <c r="AW570" s="189"/>
      <c r="AX570" s="191"/>
      <c r="AY570" s="223"/>
      <c r="AZ570" s="223"/>
      <c r="BA570" s="191"/>
      <c r="BB570" s="192"/>
      <c r="BC570" s="188"/>
      <c r="BD570" s="188"/>
      <c r="BE570" s="224"/>
      <c r="BF570" s="187"/>
      <c r="BG570" s="135"/>
      <c r="BH570" s="136"/>
      <c r="BI570" s="186"/>
      <c r="BJ570" s="185"/>
      <c r="BK570" s="193"/>
      <c r="BL570" s="36"/>
      <c r="BM570" s="36" t="str">
        <f>IF('[1]V1 V2'!X569="","",'[1]V1 V2'!X569)</f>
        <v/>
      </c>
    </row>
    <row r="571" spans="1:65" ht="16" thickBot="1" x14ac:dyDescent="0.4">
      <c r="A571">
        <v>1</v>
      </c>
      <c r="B571" s="304" t="s">
        <v>1737</v>
      </c>
      <c r="C571" s="305"/>
      <c r="D571" s="306"/>
      <c r="E571" s="36">
        <f>VLOOKUP($B571,'[1]V1 V2'!$B$5:$BW$1894,74,0)</f>
        <v>0</v>
      </c>
      <c r="F571" s="168"/>
      <c r="G571" s="169"/>
      <c r="H571" s="170"/>
      <c r="I571" s="57"/>
      <c r="J571" s="56" t="s">
        <v>113</v>
      </c>
      <c r="K571" s="171"/>
      <c r="L571" s="142">
        <v>3.8</v>
      </c>
      <c r="M571" s="172"/>
      <c r="N571" s="173"/>
      <c r="O571" s="174"/>
      <c r="P571" s="175"/>
      <c r="Q571" s="182" t="s">
        <v>140</v>
      </c>
      <c r="R571" s="182" t="s">
        <v>29</v>
      </c>
      <c r="S571" s="175"/>
      <c r="T571" s="173" t="s">
        <v>141</v>
      </c>
      <c r="U571" s="62">
        <v>-150</v>
      </c>
      <c r="V571" s="177" t="s">
        <v>1738</v>
      </c>
      <c r="W571" s="177" t="s">
        <v>1739</v>
      </c>
      <c r="X571" s="177">
        <v>30439.429000000011</v>
      </c>
      <c r="Y571" s="177">
        <v>4363.8099999999977</v>
      </c>
      <c r="Z571" s="178"/>
      <c r="AA571" s="297" t="s">
        <v>1737</v>
      </c>
      <c r="AB571" s="21" t="s">
        <v>2</v>
      </c>
      <c r="AH571" s="63">
        <v>1</v>
      </c>
      <c r="AO571" s="10" t="s">
        <v>3</v>
      </c>
      <c r="AP571" s="238" t="s">
        <v>1740</v>
      </c>
      <c r="AQ571" s="198"/>
      <c r="AR571" s="222">
        <v>4359.4100000000008</v>
      </c>
      <c r="AS571" s="222">
        <f>AS569-AR570</f>
        <v>30709.638999999996</v>
      </c>
      <c r="AT571" s="222" t="s">
        <v>1741</v>
      </c>
      <c r="AU571" s="222" t="s">
        <v>1742</v>
      </c>
      <c r="AV571" s="132">
        <v>-150</v>
      </c>
      <c r="AW571" s="189" t="s">
        <v>141</v>
      </c>
      <c r="AX571" s="191"/>
      <c r="AY571" s="223" t="s">
        <v>29</v>
      </c>
      <c r="AZ571" s="223" t="s">
        <v>140</v>
      </c>
      <c r="BA571" s="191"/>
      <c r="BB571" s="192"/>
      <c r="BC571" s="188"/>
      <c r="BD571" s="188"/>
      <c r="BE571" s="224">
        <v>3.8</v>
      </c>
      <c r="BF571" s="187"/>
      <c r="BG571" s="225" t="s">
        <v>113</v>
      </c>
      <c r="BH571" s="136"/>
      <c r="BI571" s="186"/>
      <c r="BJ571" s="185"/>
      <c r="BK571" s="193"/>
      <c r="BL571" s="36">
        <f>VLOOKUP($AP571,'[1]V1 V2'!$B$5:$BW$1894,74,0)</f>
        <v>0</v>
      </c>
      <c r="BM571" s="36" t="str">
        <f>IF('[1]V1 V2'!X570="","",'[1]V1 V2'!X570)</f>
        <v/>
      </c>
    </row>
    <row r="572" spans="1:65" ht="16" thickBot="1" x14ac:dyDescent="0.4">
      <c r="A572">
        <v>1</v>
      </c>
      <c r="B572" s="304"/>
      <c r="C572" s="305"/>
      <c r="D572" s="306"/>
      <c r="E572" s="36"/>
      <c r="F572" s="168"/>
      <c r="G572" s="169"/>
      <c r="H572" s="170"/>
      <c r="I572" s="57"/>
      <c r="J572" s="56"/>
      <c r="K572" s="171"/>
      <c r="L572" s="142"/>
      <c r="M572" s="172"/>
      <c r="N572" s="173"/>
      <c r="O572" s="174"/>
      <c r="P572" s="175"/>
      <c r="Q572" s="182"/>
      <c r="R572" s="182"/>
      <c r="S572" s="175"/>
      <c r="T572" s="173"/>
      <c r="U572" s="62"/>
      <c r="V572" s="177" t="s">
        <v>89</v>
      </c>
      <c r="W572" s="177" t="s">
        <v>89</v>
      </c>
      <c r="X572" s="230"/>
      <c r="Y572" s="177"/>
      <c r="Z572" s="178">
        <v>12</v>
      </c>
      <c r="AA572" s="297"/>
      <c r="AB572" s="21" t="s">
        <v>2</v>
      </c>
      <c r="AH572" s="63">
        <v>1</v>
      </c>
      <c r="AO572" s="10" t="s">
        <v>3</v>
      </c>
      <c r="AP572" s="238"/>
      <c r="AQ572" s="198">
        <v>12</v>
      </c>
      <c r="AR572" s="222"/>
      <c r="AS572" s="222"/>
      <c r="AT572" s="222" t="s">
        <v>89</v>
      </c>
      <c r="AU572" s="222" t="s">
        <v>89</v>
      </c>
      <c r="AV572" s="132"/>
      <c r="AW572" s="189"/>
      <c r="AX572" s="191"/>
      <c r="AY572" s="223"/>
      <c r="AZ572" s="223"/>
      <c r="BA572" s="191"/>
      <c r="BB572" s="192"/>
      <c r="BC572" s="188"/>
      <c r="BD572" s="188"/>
      <c r="BE572" s="224"/>
      <c r="BF572" s="187"/>
      <c r="BG572" s="135"/>
      <c r="BH572" s="136"/>
      <c r="BI572" s="186"/>
      <c r="BJ572" s="185"/>
      <c r="BK572" s="193"/>
      <c r="BL572" s="36"/>
      <c r="BM572" s="36" t="str">
        <f>IF('[1]V1 V2'!X571="","",'[1]V1 V2'!X571)</f>
        <v/>
      </c>
    </row>
    <row r="573" spans="1:65" ht="16" thickBot="1" x14ac:dyDescent="0.4">
      <c r="A573">
        <v>1</v>
      </c>
      <c r="B573" s="304" t="s">
        <v>1743</v>
      </c>
      <c r="C573" s="305"/>
      <c r="D573" s="306"/>
      <c r="E573" s="36">
        <f>VLOOKUP($B573,'[1]V1 V2'!$B$5:$BW$1894,74,0)</f>
        <v>0</v>
      </c>
      <c r="F573" s="168"/>
      <c r="G573" s="169"/>
      <c r="H573" s="170"/>
      <c r="I573" s="57"/>
      <c r="J573" s="56">
        <v>-4</v>
      </c>
      <c r="K573" s="171"/>
      <c r="L573" s="142">
        <v>3.8</v>
      </c>
      <c r="M573" s="172"/>
      <c r="N573" s="173"/>
      <c r="O573" s="174"/>
      <c r="P573" s="175"/>
      <c r="Q573" s="182" t="s">
        <v>100</v>
      </c>
      <c r="R573" s="182" t="s">
        <v>29</v>
      </c>
      <c r="S573" s="175"/>
      <c r="T573" s="173" t="s">
        <v>30</v>
      </c>
      <c r="U573" s="62">
        <v>-150</v>
      </c>
      <c r="V573" s="177" t="s">
        <v>1744</v>
      </c>
      <c r="W573" s="177" t="s">
        <v>1745</v>
      </c>
      <c r="X573" s="177">
        <v>30427.429000000011</v>
      </c>
      <c r="Y573" s="177">
        <v>4375.8099999999977</v>
      </c>
      <c r="Z573" s="178"/>
      <c r="AA573" s="297" t="s">
        <v>1743</v>
      </c>
      <c r="AB573" s="21" t="s">
        <v>2</v>
      </c>
      <c r="AH573" s="63">
        <v>1</v>
      </c>
      <c r="AO573" s="10" t="s">
        <v>3</v>
      </c>
      <c r="AP573" s="238" t="s">
        <v>1746</v>
      </c>
      <c r="AQ573" s="198"/>
      <c r="AR573" s="222">
        <v>4371.4100000000008</v>
      </c>
      <c r="AS573" s="222">
        <f>AS571-AR572</f>
        <v>30709.638999999996</v>
      </c>
      <c r="AT573" s="222" t="s">
        <v>1747</v>
      </c>
      <c r="AU573" s="222" t="s">
        <v>1748</v>
      </c>
      <c r="AV573" s="132">
        <v>-150</v>
      </c>
      <c r="AW573" s="189" t="s">
        <v>30</v>
      </c>
      <c r="AX573" s="191"/>
      <c r="AY573" s="223" t="s">
        <v>29</v>
      </c>
      <c r="AZ573" s="223" t="s">
        <v>100</v>
      </c>
      <c r="BA573" s="191"/>
      <c r="BB573" s="192"/>
      <c r="BC573" s="188"/>
      <c r="BD573" s="188"/>
      <c r="BE573" s="224">
        <v>3.8</v>
      </c>
      <c r="BF573" s="187"/>
      <c r="BG573" s="135">
        <v>-4</v>
      </c>
      <c r="BH573" s="136"/>
      <c r="BI573" s="186"/>
      <c r="BJ573" s="185"/>
      <c r="BK573" s="193"/>
      <c r="BL573" s="36">
        <f>VLOOKUP($AP573,'[1]V1 V2'!$B$5:$BW$1894,74,0)</f>
        <v>0</v>
      </c>
      <c r="BM573" s="36" t="str">
        <f>IF('[1]V1 V2'!X572="","",'[1]V1 V2'!X572)</f>
        <v/>
      </c>
    </row>
    <row r="574" spans="1:65" ht="16" thickBot="1" x14ac:dyDescent="0.4">
      <c r="A574">
        <v>1</v>
      </c>
      <c r="B574" s="304"/>
      <c r="C574" s="305"/>
      <c r="D574" s="306"/>
      <c r="E574" s="36"/>
      <c r="F574" s="168"/>
      <c r="G574" s="169"/>
      <c r="H574" s="170"/>
      <c r="I574" s="57"/>
      <c r="J574" s="56"/>
      <c r="K574" s="171"/>
      <c r="L574" s="142"/>
      <c r="M574" s="172"/>
      <c r="N574" s="173"/>
      <c r="O574" s="174"/>
      <c r="P574" s="175"/>
      <c r="Q574" s="182"/>
      <c r="R574" s="182"/>
      <c r="S574" s="175"/>
      <c r="T574" s="173"/>
      <c r="U574" s="62"/>
      <c r="V574" s="177" t="s">
        <v>89</v>
      </c>
      <c r="W574" s="177" t="s">
        <v>89</v>
      </c>
      <c r="X574" s="230"/>
      <c r="Y574" s="177"/>
      <c r="Z574" s="178">
        <v>12</v>
      </c>
      <c r="AA574" s="297"/>
      <c r="AB574" s="21" t="s">
        <v>2</v>
      </c>
      <c r="AH574" s="63">
        <v>1</v>
      </c>
      <c r="AO574" s="10" t="s">
        <v>3</v>
      </c>
      <c r="AP574" s="238"/>
      <c r="AQ574" s="198">
        <v>12</v>
      </c>
      <c r="AR574" s="222"/>
      <c r="AS574" s="222"/>
      <c r="AT574" s="222" t="s">
        <v>89</v>
      </c>
      <c r="AU574" s="222" t="s">
        <v>89</v>
      </c>
      <c r="AV574" s="132"/>
      <c r="AW574" s="189"/>
      <c r="AX574" s="191"/>
      <c r="AY574" s="223"/>
      <c r="AZ574" s="223"/>
      <c r="BA574" s="191"/>
      <c r="BB574" s="192"/>
      <c r="BC574" s="188"/>
      <c r="BD574" s="188"/>
      <c r="BE574" s="224"/>
      <c r="BF574" s="187"/>
      <c r="BG574" s="135"/>
      <c r="BH574" s="136"/>
      <c r="BI574" s="186"/>
      <c r="BJ574" s="185"/>
      <c r="BK574" s="193"/>
      <c r="BL574" s="36"/>
      <c r="BM574" s="36" t="str">
        <f>IF('[1]V1 V2'!X573="","",'[1]V1 V2'!X573)</f>
        <v/>
      </c>
    </row>
    <row r="575" spans="1:65" ht="16" thickBot="1" x14ac:dyDescent="0.4">
      <c r="A575">
        <v>1</v>
      </c>
      <c r="B575" s="304" t="s">
        <v>1749</v>
      </c>
      <c r="C575" s="305"/>
      <c r="D575" s="306"/>
      <c r="E575" s="36">
        <f>VLOOKUP($B575,'[1]V1 V2'!$B$5:$BW$1894,74,0)</f>
        <v>0</v>
      </c>
      <c r="F575" s="168"/>
      <c r="G575" s="169"/>
      <c r="H575" s="170"/>
      <c r="I575" s="57"/>
      <c r="J575" s="56">
        <v>-12</v>
      </c>
      <c r="K575" s="171"/>
      <c r="L575" s="142">
        <v>3.8</v>
      </c>
      <c r="M575" s="172"/>
      <c r="N575" s="173"/>
      <c r="O575" s="174"/>
      <c r="P575" s="175"/>
      <c r="Q575" s="182" t="s">
        <v>100</v>
      </c>
      <c r="R575" s="182" t="s">
        <v>29</v>
      </c>
      <c r="S575" s="175"/>
      <c r="T575" s="173" t="s">
        <v>30</v>
      </c>
      <c r="U575" s="62">
        <v>-150</v>
      </c>
      <c r="V575" s="177" t="s">
        <v>1750</v>
      </c>
      <c r="W575" s="177" t="s">
        <v>1751</v>
      </c>
      <c r="X575" s="177">
        <v>30415.429000000011</v>
      </c>
      <c r="Y575" s="177">
        <v>4387.8099999999977</v>
      </c>
      <c r="Z575" s="178"/>
      <c r="AA575" s="297" t="s">
        <v>1749</v>
      </c>
      <c r="AB575" s="21" t="s">
        <v>2</v>
      </c>
      <c r="AH575" s="63">
        <v>1</v>
      </c>
      <c r="AO575" s="10" t="s">
        <v>3</v>
      </c>
      <c r="AP575" s="238" t="s">
        <v>1752</v>
      </c>
      <c r="AQ575" s="198"/>
      <c r="AR575" s="222">
        <v>4383.4100000000008</v>
      </c>
      <c r="AS575" s="222">
        <f>AS573-AR574</f>
        <v>30709.638999999996</v>
      </c>
      <c r="AT575" s="222" t="s">
        <v>1753</v>
      </c>
      <c r="AU575" s="222" t="s">
        <v>1754</v>
      </c>
      <c r="AV575" s="132">
        <v>-150</v>
      </c>
      <c r="AW575" s="189" t="s">
        <v>30</v>
      </c>
      <c r="AX575" s="191"/>
      <c r="AY575" s="223" t="s">
        <v>29</v>
      </c>
      <c r="AZ575" s="223" t="s">
        <v>100</v>
      </c>
      <c r="BA575" s="191"/>
      <c r="BB575" s="192"/>
      <c r="BC575" s="188"/>
      <c r="BD575" s="188"/>
      <c r="BE575" s="224">
        <v>3.8</v>
      </c>
      <c r="BF575" s="187"/>
      <c r="BG575" s="135">
        <v>-12</v>
      </c>
      <c r="BH575" s="136"/>
      <c r="BI575" s="186"/>
      <c r="BJ575" s="185"/>
      <c r="BK575" s="193"/>
      <c r="BL575" s="36">
        <f>VLOOKUP($AP575,'[1]V1 V2'!$B$5:$BW$1894,74,0)</f>
        <v>0</v>
      </c>
      <c r="BM575" s="36" t="str">
        <f>IF('[1]V1 V2'!X574="","",'[1]V1 V2'!X574)</f>
        <v/>
      </c>
    </row>
    <row r="576" spans="1:65" ht="16" thickBot="1" x14ac:dyDescent="0.4">
      <c r="A576">
        <v>1</v>
      </c>
      <c r="B576" s="304"/>
      <c r="C576" s="305"/>
      <c r="D576" s="306"/>
      <c r="E576" s="36"/>
      <c r="F576" s="168"/>
      <c r="G576" s="169"/>
      <c r="H576" s="170"/>
      <c r="I576" s="57"/>
      <c r="J576" s="56"/>
      <c r="K576" s="171"/>
      <c r="L576" s="142"/>
      <c r="M576" s="172"/>
      <c r="N576" s="173"/>
      <c r="O576" s="174"/>
      <c r="P576" s="175"/>
      <c r="Q576" s="182"/>
      <c r="R576" s="182"/>
      <c r="S576" s="175"/>
      <c r="T576" s="173"/>
      <c r="U576" s="62"/>
      <c r="V576" s="177" t="s">
        <v>89</v>
      </c>
      <c r="W576" s="177" t="s">
        <v>89</v>
      </c>
      <c r="X576" s="230"/>
      <c r="Y576" s="177"/>
      <c r="Z576" s="178">
        <v>12</v>
      </c>
      <c r="AA576" s="297"/>
      <c r="AB576" s="21" t="s">
        <v>2</v>
      </c>
      <c r="AH576" s="63">
        <v>1</v>
      </c>
      <c r="AO576" s="10" t="s">
        <v>3</v>
      </c>
      <c r="AP576" s="238"/>
      <c r="AQ576" s="198">
        <v>12</v>
      </c>
      <c r="AR576" s="222"/>
      <c r="AS576" s="222"/>
      <c r="AT576" s="222" t="s">
        <v>89</v>
      </c>
      <c r="AU576" s="222" t="s">
        <v>89</v>
      </c>
      <c r="AV576" s="132"/>
      <c r="AW576" s="189"/>
      <c r="AX576" s="191"/>
      <c r="AY576" s="223"/>
      <c r="AZ576" s="223"/>
      <c r="BA576" s="191"/>
      <c r="BB576" s="192"/>
      <c r="BC576" s="188"/>
      <c r="BD576" s="188"/>
      <c r="BE576" s="224"/>
      <c r="BF576" s="187"/>
      <c r="BG576" s="135"/>
      <c r="BH576" s="136"/>
      <c r="BI576" s="186"/>
      <c r="BJ576" s="185"/>
      <c r="BK576" s="193"/>
      <c r="BL576" s="36"/>
      <c r="BM576" s="36" t="str">
        <f>IF('[1]V1 V2'!X575="","",'[1]V1 V2'!X575)</f>
        <v/>
      </c>
    </row>
    <row r="577" spans="1:65" ht="16" thickBot="1" x14ac:dyDescent="0.4">
      <c r="A577">
        <v>1</v>
      </c>
      <c r="B577" s="304" t="s">
        <v>1755</v>
      </c>
      <c r="C577" s="305"/>
      <c r="D577" s="306"/>
      <c r="E577" s="36">
        <f>VLOOKUP($B577,'[1]V1 V2'!$B$5:$BW$1894,74,0)</f>
        <v>0</v>
      </c>
      <c r="F577" s="168"/>
      <c r="G577" s="169"/>
      <c r="H577" s="170"/>
      <c r="I577" s="57"/>
      <c r="J577" s="56">
        <v>-20</v>
      </c>
      <c r="K577" s="171"/>
      <c r="L577" s="142">
        <v>3.8</v>
      </c>
      <c r="M577" s="172"/>
      <c r="N577" s="173"/>
      <c r="O577" s="174"/>
      <c r="P577" s="175"/>
      <c r="Q577" s="182" t="s">
        <v>100</v>
      </c>
      <c r="R577" s="182" t="s">
        <v>29</v>
      </c>
      <c r="S577" s="175"/>
      <c r="T577" s="173" t="s">
        <v>30</v>
      </c>
      <c r="U577" s="62">
        <v>-150</v>
      </c>
      <c r="V577" s="177" t="s">
        <v>1756</v>
      </c>
      <c r="W577" s="177" t="s">
        <v>1757</v>
      </c>
      <c r="X577" s="177">
        <v>30403.429000000011</v>
      </c>
      <c r="Y577" s="177">
        <v>4399.8099999999977</v>
      </c>
      <c r="Z577" s="178"/>
      <c r="AA577" s="297" t="s">
        <v>1755</v>
      </c>
      <c r="AB577" s="21" t="s">
        <v>2</v>
      </c>
      <c r="AH577" s="63">
        <v>1</v>
      </c>
      <c r="AO577" s="10" t="s">
        <v>3</v>
      </c>
      <c r="AP577" s="238" t="s">
        <v>1758</v>
      </c>
      <c r="AQ577" s="198"/>
      <c r="AR577" s="222">
        <v>4395.4100000000008</v>
      </c>
      <c r="AS577" s="222">
        <f>AS575-AR576</f>
        <v>30709.638999999996</v>
      </c>
      <c r="AT577" s="222" t="s">
        <v>1759</v>
      </c>
      <c r="AU577" s="222" t="s">
        <v>1760</v>
      </c>
      <c r="AV577" s="132">
        <v>-150</v>
      </c>
      <c r="AW577" s="189" t="s">
        <v>30</v>
      </c>
      <c r="AX577" s="191"/>
      <c r="AY577" s="223" t="s">
        <v>29</v>
      </c>
      <c r="AZ577" s="223" t="s">
        <v>100</v>
      </c>
      <c r="BA577" s="191"/>
      <c r="BB577" s="192"/>
      <c r="BC577" s="188"/>
      <c r="BD577" s="188"/>
      <c r="BE577" s="224">
        <v>3.8</v>
      </c>
      <c r="BF577" s="187"/>
      <c r="BG577" s="135">
        <v>-20</v>
      </c>
      <c r="BH577" s="136"/>
      <c r="BI577" s="186"/>
      <c r="BJ577" s="185"/>
      <c r="BK577" s="193"/>
      <c r="BL577" s="36">
        <f>VLOOKUP($AP577,'[1]V1 V2'!$B$5:$BW$1894,74,0)</f>
        <v>0</v>
      </c>
      <c r="BM577" s="36" t="str">
        <f>IF('[1]V1 V2'!X576="","",'[1]V1 V2'!X576)</f>
        <v/>
      </c>
    </row>
    <row r="578" spans="1:65" ht="16" thickBot="1" x14ac:dyDescent="0.4">
      <c r="A578">
        <v>1</v>
      </c>
      <c r="B578" s="304"/>
      <c r="C578" s="305"/>
      <c r="D578" s="306"/>
      <c r="E578" s="36"/>
      <c r="F578" s="168"/>
      <c r="G578" s="169"/>
      <c r="H578" s="170"/>
      <c r="I578" s="57"/>
      <c r="J578" s="56"/>
      <c r="K578" s="171"/>
      <c r="L578" s="142"/>
      <c r="M578" s="172"/>
      <c r="N578" s="173"/>
      <c r="O578" s="174"/>
      <c r="P578" s="175"/>
      <c r="Q578" s="182"/>
      <c r="R578" s="182"/>
      <c r="S578" s="175"/>
      <c r="T578" s="173"/>
      <c r="U578" s="62"/>
      <c r="V578" s="177" t="s">
        <v>89</v>
      </c>
      <c r="W578" s="177" t="s">
        <v>89</v>
      </c>
      <c r="X578" s="230"/>
      <c r="Y578" s="177"/>
      <c r="Z578" s="178">
        <v>12</v>
      </c>
      <c r="AA578" s="297"/>
      <c r="AB578" s="21" t="s">
        <v>2</v>
      </c>
      <c r="AH578" s="63">
        <v>1</v>
      </c>
      <c r="AO578" s="10" t="s">
        <v>3</v>
      </c>
      <c r="AP578" s="238"/>
      <c r="AQ578" s="198">
        <v>12</v>
      </c>
      <c r="AR578" s="222"/>
      <c r="AS578" s="222"/>
      <c r="AT578" s="222" t="s">
        <v>89</v>
      </c>
      <c r="AU578" s="222" t="s">
        <v>89</v>
      </c>
      <c r="AV578" s="132"/>
      <c r="AW578" s="189"/>
      <c r="AX578" s="191"/>
      <c r="AY578" s="223"/>
      <c r="AZ578" s="223"/>
      <c r="BA578" s="191"/>
      <c r="BB578" s="192"/>
      <c r="BC578" s="188"/>
      <c r="BD578" s="188"/>
      <c r="BE578" s="224"/>
      <c r="BF578" s="187"/>
      <c r="BG578" s="135"/>
      <c r="BH578" s="136"/>
      <c r="BI578" s="186"/>
      <c r="BJ578" s="185"/>
      <c r="BK578" s="193"/>
      <c r="BL578" s="36"/>
      <c r="BM578" s="36" t="str">
        <f>IF('[1]V1 V2'!X577="","",'[1]V1 V2'!X577)</f>
        <v/>
      </c>
    </row>
    <row r="579" spans="1:65" ht="16" thickBot="1" x14ac:dyDescent="0.4">
      <c r="A579">
        <v>1</v>
      </c>
      <c r="B579" s="304" t="s">
        <v>1761</v>
      </c>
      <c r="C579" s="305"/>
      <c r="D579" s="306"/>
      <c r="E579" s="36">
        <f>VLOOKUP($B579,'[1]V1 V2'!$B$5:$BW$1894,74,0)</f>
        <v>0</v>
      </c>
      <c r="F579" s="168"/>
      <c r="G579" s="169"/>
      <c r="H579" s="170"/>
      <c r="I579" s="57"/>
      <c r="J579" s="56">
        <v>-12</v>
      </c>
      <c r="K579" s="171"/>
      <c r="L579" s="142">
        <v>3.8</v>
      </c>
      <c r="M579" s="172"/>
      <c r="N579" s="173"/>
      <c r="O579" s="174"/>
      <c r="P579" s="175"/>
      <c r="Q579" s="182" t="s">
        <v>100</v>
      </c>
      <c r="R579" s="182" t="s">
        <v>29</v>
      </c>
      <c r="S579" s="175"/>
      <c r="T579" s="173" t="s">
        <v>30</v>
      </c>
      <c r="U579" s="62">
        <v>-150</v>
      </c>
      <c r="V579" s="177" t="s">
        <v>1762</v>
      </c>
      <c r="W579" s="177" t="s">
        <v>1763</v>
      </c>
      <c r="X579" s="177">
        <v>30391.429000000011</v>
      </c>
      <c r="Y579" s="177">
        <v>4411.8099999999977</v>
      </c>
      <c r="Z579" s="178"/>
      <c r="AA579" s="297" t="s">
        <v>1761</v>
      </c>
      <c r="AB579" s="21" t="s">
        <v>2</v>
      </c>
      <c r="AH579" s="63">
        <v>1</v>
      </c>
      <c r="AO579" s="10" t="s">
        <v>3</v>
      </c>
      <c r="AP579" s="238" t="s">
        <v>1764</v>
      </c>
      <c r="AQ579" s="198"/>
      <c r="AR579" s="222">
        <v>4407.4100000000008</v>
      </c>
      <c r="AS579" s="222">
        <f>AS577-AR578</f>
        <v>30709.638999999996</v>
      </c>
      <c r="AT579" s="222" t="s">
        <v>1765</v>
      </c>
      <c r="AU579" s="222" t="s">
        <v>1766</v>
      </c>
      <c r="AV579" s="132">
        <v>-150</v>
      </c>
      <c r="AW579" s="189" t="s">
        <v>30</v>
      </c>
      <c r="AX579" s="191"/>
      <c r="AY579" s="223" t="s">
        <v>29</v>
      </c>
      <c r="AZ579" s="223" t="s">
        <v>100</v>
      </c>
      <c r="BA579" s="191"/>
      <c r="BB579" s="192"/>
      <c r="BC579" s="188"/>
      <c r="BD579" s="188"/>
      <c r="BE579" s="224">
        <v>3.8</v>
      </c>
      <c r="BF579" s="187"/>
      <c r="BG579" s="135">
        <v>-12</v>
      </c>
      <c r="BH579" s="136"/>
      <c r="BI579" s="186"/>
      <c r="BJ579" s="185"/>
      <c r="BK579" s="193"/>
      <c r="BL579" s="36">
        <f>VLOOKUP($AP579,'[1]V1 V2'!$B$5:$BW$1894,74,0)</f>
        <v>0</v>
      </c>
      <c r="BM579" s="36" t="str">
        <f>IF('[1]V1 V2'!X578="","",'[1]V1 V2'!X578)</f>
        <v/>
      </c>
    </row>
    <row r="580" spans="1:65" ht="16" thickBot="1" x14ac:dyDescent="0.4">
      <c r="A580">
        <v>1</v>
      </c>
      <c r="B580" s="304"/>
      <c r="C580" s="305"/>
      <c r="D580" s="306"/>
      <c r="E580" s="36"/>
      <c r="F580" s="168"/>
      <c r="G580" s="169"/>
      <c r="H580" s="170"/>
      <c r="I580" s="57"/>
      <c r="J580" s="56"/>
      <c r="K580" s="171"/>
      <c r="L580" s="142"/>
      <c r="M580" s="172"/>
      <c r="N580" s="173"/>
      <c r="O580" s="174"/>
      <c r="P580" s="175"/>
      <c r="Q580" s="182"/>
      <c r="R580" s="182"/>
      <c r="S580" s="175"/>
      <c r="T580" s="173"/>
      <c r="U580" s="62"/>
      <c r="V580" s="177" t="s">
        <v>89</v>
      </c>
      <c r="W580" s="177" t="s">
        <v>89</v>
      </c>
      <c r="X580" s="230"/>
      <c r="Y580" s="177"/>
      <c r="Z580" s="178">
        <v>12</v>
      </c>
      <c r="AA580" s="297"/>
      <c r="AB580" s="21" t="s">
        <v>2</v>
      </c>
      <c r="AH580" s="63">
        <v>1</v>
      </c>
      <c r="AO580" s="10" t="s">
        <v>3</v>
      </c>
      <c r="AP580" s="238"/>
      <c r="AQ580" s="198">
        <v>12</v>
      </c>
      <c r="AR580" s="222"/>
      <c r="AS580" s="222"/>
      <c r="AT580" s="222" t="s">
        <v>89</v>
      </c>
      <c r="AU580" s="222" t="s">
        <v>89</v>
      </c>
      <c r="AV580" s="132"/>
      <c r="AW580" s="189"/>
      <c r="AX580" s="191"/>
      <c r="AY580" s="223"/>
      <c r="AZ580" s="223"/>
      <c r="BA580" s="191"/>
      <c r="BB580" s="192"/>
      <c r="BC580" s="188"/>
      <c r="BD580" s="188"/>
      <c r="BE580" s="224"/>
      <c r="BF580" s="187"/>
      <c r="BG580" s="135"/>
      <c r="BH580" s="136"/>
      <c r="BI580" s="186"/>
      <c r="BJ580" s="185"/>
      <c r="BK580" s="193"/>
      <c r="BL580" s="36"/>
      <c r="BM580" s="36" t="str">
        <f>IF('[1]V1 V2'!X579="","",'[1]V1 V2'!X579)</f>
        <v/>
      </c>
    </row>
    <row r="581" spans="1:65" ht="16" thickBot="1" x14ac:dyDescent="0.4">
      <c r="A581">
        <v>1</v>
      </c>
      <c r="B581" s="304" t="s">
        <v>1767</v>
      </c>
      <c r="C581" s="305"/>
      <c r="D581" s="306"/>
      <c r="E581" s="36">
        <f>VLOOKUP($B581,'[1]V1 V2'!$B$5:$BW$1894,74,0)</f>
        <v>0</v>
      </c>
      <c r="F581" s="168"/>
      <c r="G581" s="169"/>
      <c r="H581" s="170"/>
      <c r="I581" s="57"/>
      <c r="J581" s="56">
        <v>-4</v>
      </c>
      <c r="K581" s="171"/>
      <c r="L581" s="142">
        <v>3.8</v>
      </c>
      <c r="M581" s="172"/>
      <c r="N581" s="173"/>
      <c r="O581" s="174"/>
      <c r="P581" s="175"/>
      <c r="Q581" s="182" t="s">
        <v>100</v>
      </c>
      <c r="R581" s="182" t="s">
        <v>29</v>
      </c>
      <c r="S581" s="175"/>
      <c r="T581" s="173" t="s">
        <v>30</v>
      </c>
      <c r="U581" s="62">
        <v>-150</v>
      </c>
      <c r="V581" s="177" t="s">
        <v>1768</v>
      </c>
      <c r="W581" s="177" t="s">
        <v>1769</v>
      </c>
      <c r="X581" s="177">
        <v>30379.429000000011</v>
      </c>
      <c r="Y581" s="177">
        <v>4423.8099999999977</v>
      </c>
      <c r="Z581" s="178"/>
      <c r="AA581" s="297" t="s">
        <v>1767</v>
      </c>
      <c r="AB581" s="21" t="s">
        <v>2</v>
      </c>
      <c r="AH581" s="63">
        <v>1</v>
      </c>
      <c r="AO581" s="10" t="s">
        <v>3</v>
      </c>
      <c r="AP581" s="238" t="s">
        <v>1770</v>
      </c>
      <c r="AQ581" s="198"/>
      <c r="AR581" s="222">
        <v>4419.4100000000008</v>
      </c>
      <c r="AS581" s="222">
        <f>AS579-AR580</f>
        <v>30709.638999999996</v>
      </c>
      <c r="AT581" s="222" t="s">
        <v>1771</v>
      </c>
      <c r="AU581" s="222" t="s">
        <v>1772</v>
      </c>
      <c r="AV581" s="132">
        <v>-150</v>
      </c>
      <c r="AW581" s="189" t="s">
        <v>30</v>
      </c>
      <c r="AX581" s="191"/>
      <c r="AY581" s="223" t="s">
        <v>29</v>
      </c>
      <c r="AZ581" s="223" t="s">
        <v>100</v>
      </c>
      <c r="BA581" s="191"/>
      <c r="BB581" s="192"/>
      <c r="BC581" s="188"/>
      <c r="BD581" s="188"/>
      <c r="BE581" s="224">
        <v>3.8</v>
      </c>
      <c r="BF581" s="187"/>
      <c r="BG581" s="135">
        <v>-4</v>
      </c>
      <c r="BH581" s="136"/>
      <c r="BI581" s="186"/>
      <c r="BJ581" s="185"/>
      <c r="BK581" s="193"/>
      <c r="BL581" s="36">
        <f>VLOOKUP($AP581,'[1]V1 V2'!$B$5:$BW$1894,74,0)</f>
        <v>0</v>
      </c>
      <c r="BM581" s="36" t="str">
        <f>IF('[1]V1 V2'!X580="","",'[1]V1 V2'!X580)</f>
        <v/>
      </c>
    </row>
    <row r="582" spans="1:65" ht="16" thickBot="1" x14ac:dyDescent="0.4">
      <c r="A582">
        <v>1</v>
      </c>
      <c r="B582" s="304"/>
      <c r="C582" s="305"/>
      <c r="D582" s="306"/>
      <c r="E582" s="36"/>
      <c r="F582" s="168"/>
      <c r="G582" s="169"/>
      <c r="H582" s="170"/>
      <c r="I582" s="57"/>
      <c r="J582" s="56"/>
      <c r="K582" s="171"/>
      <c r="L582" s="142"/>
      <c r="M582" s="172"/>
      <c r="N582" s="173"/>
      <c r="O582" s="174"/>
      <c r="P582" s="175"/>
      <c r="Q582" s="182"/>
      <c r="R582" s="182"/>
      <c r="S582" s="175"/>
      <c r="T582" s="173"/>
      <c r="U582" s="62"/>
      <c r="V582" s="177" t="s">
        <v>89</v>
      </c>
      <c r="W582" s="177" t="s">
        <v>89</v>
      </c>
      <c r="X582" s="230"/>
      <c r="Y582" s="177"/>
      <c r="Z582" s="178">
        <v>12</v>
      </c>
      <c r="AA582" s="297"/>
      <c r="AB582" s="21" t="s">
        <v>2</v>
      </c>
      <c r="AH582" s="63">
        <v>1</v>
      </c>
      <c r="AO582" s="10" t="s">
        <v>3</v>
      </c>
      <c r="AP582" s="238"/>
      <c r="AQ582" s="198">
        <v>12</v>
      </c>
      <c r="AR582" s="222"/>
      <c r="AS582" s="222"/>
      <c r="AT582" s="222" t="s">
        <v>89</v>
      </c>
      <c r="AU582" s="222" t="s">
        <v>89</v>
      </c>
      <c r="AV582" s="132"/>
      <c r="AW582" s="189"/>
      <c r="AX582" s="191"/>
      <c r="AY582" s="223"/>
      <c r="AZ582" s="223"/>
      <c r="BA582" s="191"/>
      <c r="BB582" s="192"/>
      <c r="BC582" s="188"/>
      <c r="BD582" s="188"/>
      <c r="BE582" s="224"/>
      <c r="BF582" s="187"/>
      <c r="BG582" s="135"/>
      <c r="BH582" s="136"/>
      <c r="BI582" s="186"/>
      <c r="BJ582" s="185"/>
      <c r="BK582" s="193"/>
      <c r="BL582" s="36"/>
      <c r="BM582" s="36" t="str">
        <f>IF('[1]V1 V2'!X581="","",'[1]V1 V2'!X581)</f>
        <v/>
      </c>
    </row>
    <row r="583" spans="1:65" ht="16" thickBot="1" x14ac:dyDescent="0.4">
      <c r="A583">
        <v>1</v>
      </c>
      <c r="B583" s="304" t="s">
        <v>1773</v>
      </c>
      <c r="C583" s="305"/>
      <c r="D583" s="306"/>
      <c r="E583" s="36">
        <f>VLOOKUP($B583,'[1]V1 V2'!$B$5:$BW$1894,74,0)</f>
        <v>0</v>
      </c>
      <c r="F583" s="168"/>
      <c r="G583" s="169"/>
      <c r="H583" s="170"/>
      <c r="I583" s="57"/>
      <c r="J583" s="56" t="s">
        <v>113</v>
      </c>
      <c r="K583" s="171"/>
      <c r="L583" s="142">
        <v>3.8</v>
      </c>
      <c r="M583" s="172"/>
      <c r="N583" s="173"/>
      <c r="O583" s="174"/>
      <c r="P583" s="175"/>
      <c r="Q583" s="182" t="s">
        <v>100</v>
      </c>
      <c r="R583" s="182" t="s">
        <v>29</v>
      </c>
      <c r="S583" s="175"/>
      <c r="T583" s="173" t="s">
        <v>30</v>
      </c>
      <c r="U583" s="62" t="s">
        <v>48</v>
      </c>
      <c r="V583" s="177" t="s">
        <v>1774</v>
      </c>
      <c r="W583" s="177" t="s">
        <v>1775</v>
      </c>
      <c r="X583" s="177">
        <v>30367.429000000011</v>
      </c>
      <c r="Y583" s="177">
        <v>4435.8099999999977</v>
      </c>
      <c r="Z583" s="178"/>
      <c r="AA583" s="297" t="s">
        <v>1773</v>
      </c>
      <c r="AB583" s="21" t="s">
        <v>2</v>
      </c>
      <c r="AH583" s="63">
        <v>1</v>
      </c>
      <c r="AO583" s="10" t="s">
        <v>3</v>
      </c>
      <c r="AP583" s="238" t="s">
        <v>1776</v>
      </c>
      <c r="AQ583" s="198"/>
      <c r="AR583" s="222">
        <v>4431.4100000000008</v>
      </c>
      <c r="AS583" s="222">
        <f>AS581-AR582</f>
        <v>30709.638999999996</v>
      </c>
      <c r="AT583" s="222" t="s">
        <v>1777</v>
      </c>
      <c r="AU583" s="222" t="s">
        <v>1778</v>
      </c>
      <c r="AV583" s="132" t="s">
        <v>48</v>
      </c>
      <c r="AW583" s="189" t="s">
        <v>30</v>
      </c>
      <c r="AX583" s="191"/>
      <c r="AY583" s="223" t="s">
        <v>29</v>
      </c>
      <c r="AZ583" s="223" t="s">
        <v>100</v>
      </c>
      <c r="BA583" s="191"/>
      <c r="BB583" s="192"/>
      <c r="BC583" s="188"/>
      <c r="BD583" s="188"/>
      <c r="BE583" s="224">
        <v>3.8</v>
      </c>
      <c r="BF583" s="187"/>
      <c r="BG583" s="225" t="s">
        <v>113</v>
      </c>
      <c r="BH583" s="136"/>
      <c r="BI583" s="186"/>
      <c r="BJ583" s="185"/>
      <c r="BK583" s="193"/>
      <c r="BL583" s="36">
        <f>VLOOKUP($AP583,'[1]V1 V2'!$B$5:$BW$1894,74,0)</f>
        <v>0</v>
      </c>
      <c r="BM583" s="36" t="str">
        <f>IF('[1]V1 V2'!X582="","",'[1]V1 V2'!X582)</f>
        <v/>
      </c>
    </row>
    <row r="584" spans="1:65" ht="16" thickBot="1" x14ac:dyDescent="0.4">
      <c r="A584">
        <v>1</v>
      </c>
      <c r="B584" s="304"/>
      <c r="C584" s="305"/>
      <c r="D584" s="306"/>
      <c r="E584" s="36"/>
      <c r="F584" s="168"/>
      <c r="G584" s="169"/>
      <c r="H584" s="170"/>
      <c r="I584" s="57"/>
      <c r="J584" s="56"/>
      <c r="K584" s="171"/>
      <c r="L584" s="142"/>
      <c r="M584" s="172"/>
      <c r="N584" s="173"/>
      <c r="O584" s="174"/>
      <c r="P584" s="175"/>
      <c r="Q584" s="182"/>
      <c r="R584" s="182"/>
      <c r="S584" s="175"/>
      <c r="T584" s="173"/>
      <c r="U584" s="62"/>
      <c r="V584" s="177" t="s">
        <v>89</v>
      </c>
      <c r="W584" s="177" t="s">
        <v>89</v>
      </c>
      <c r="X584" s="230"/>
      <c r="Y584" s="177"/>
      <c r="Z584" s="178">
        <v>12</v>
      </c>
      <c r="AA584" s="297"/>
      <c r="AB584" s="21" t="s">
        <v>2</v>
      </c>
      <c r="AH584" s="63">
        <v>1</v>
      </c>
      <c r="AO584" s="10" t="s">
        <v>3</v>
      </c>
      <c r="AP584" s="238"/>
      <c r="AQ584" s="198">
        <v>12</v>
      </c>
      <c r="AR584" s="222"/>
      <c r="AS584" s="222"/>
      <c r="AT584" s="222" t="s">
        <v>89</v>
      </c>
      <c r="AU584" s="222" t="s">
        <v>89</v>
      </c>
      <c r="AV584" s="132"/>
      <c r="AW584" s="189"/>
      <c r="AX584" s="191"/>
      <c r="AY584" s="223"/>
      <c r="AZ584" s="223"/>
      <c r="BA584" s="191"/>
      <c r="BB584" s="192"/>
      <c r="BC584" s="188"/>
      <c r="BD584" s="188"/>
      <c r="BE584" s="224"/>
      <c r="BF584" s="187"/>
      <c r="BG584" s="135"/>
      <c r="BH584" s="136"/>
      <c r="BI584" s="186"/>
      <c r="BJ584" s="185"/>
      <c r="BK584" s="193"/>
      <c r="BL584" s="36"/>
      <c r="BM584" s="36" t="str">
        <f>IF('[1]V1 V2'!X583="","",'[1]V1 V2'!X583)</f>
        <v/>
      </c>
    </row>
    <row r="585" spans="1:65" ht="16" thickBot="1" x14ac:dyDescent="0.4">
      <c r="A585">
        <v>1</v>
      </c>
      <c r="B585" s="304" t="s">
        <v>1779</v>
      </c>
      <c r="C585" s="305"/>
      <c r="D585" s="306"/>
      <c r="E585" s="36">
        <f>VLOOKUP($B585,'[1]V1 V2'!$B$5:$BW$1894,74,0)</f>
        <v>0</v>
      </c>
      <c r="F585" s="168"/>
      <c r="G585" s="169"/>
      <c r="H585" s="170"/>
      <c r="I585" s="57"/>
      <c r="J585" s="56" t="s">
        <v>120</v>
      </c>
      <c r="K585" s="171"/>
      <c r="L585" s="142">
        <v>3.8</v>
      </c>
      <c r="M585" s="172"/>
      <c r="N585" s="173"/>
      <c r="O585" s="174"/>
      <c r="P585" s="175"/>
      <c r="Q585" s="182" t="s">
        <v>100</v>
      </c>
      <c r="R585" s="182" t="s">
        <v>29</v>
      </c>
      <c r="S585" s="175"/>
      <c r="T585" s="173" t="s">
        <v>30</v>
      </c>
      <c r="U585" s="62" t="s">
        <v>48</v>
      </c>
      <c r="V585" s="177" t="s">
        <v>1780</v>
      </c>
      <c r="W585" s="177" t="s">
        <v>1781</v>
      </c>
      <c r="X585" s="177">
        <v>30355.429000000011</v>
      </c>
      <c r="Y585" s="177">
        <v>4447.8099999999977</v>
      </c>
      <c r="Z585" s="178"/>
      <c r="AA585" s="297" t="s">
        <v>1779</v>
      </c>
      <c r="AB585" s="21" t="s">
        <v>2</v>
      </c>
      <c r="AH585" s="63">
        <v>1</v>
      </c>
      <c r="AO585" s="10" t="s">
        <v>3</v>
      </c>
      <c r="AP585" s="238" t="s">
        <v>1782</v>
      </c>
      <c r="AQ585" s="198"/>
      <c r="AR585" s="222">
        <v>4443.4100000000008</v>
      </c>
      <c r="AS585" s="222">
        <f>AS583-AR584</f>
        <v>30709.638999999996</v>
      </c>
      <c r="AT585" s="222" t="s">
        <v>1783</v>
      </c>
      <c r="AU585" s="222" t="s">
        <v>1784</v>
      </c>
      <c r="AV585" s="132" t="s">
        <v>48</v>
      </c>
      <c r="AW585" s="189" t="s">
        <v>30</v>
      </c>
      <c r="AX585" s="191"/>
      <c r="AY585" s="223" t="s">
        <v>29</v>
      </c>
      <c r="AZ585" s="223" t="s">
        <v>100</v>
      </c>
      <c r="BA585" s="191"/>
      <c r="BB585" s="192"/>
      <c r="BC585" s="188"/>
      <c r="BD585" s="188"/>
      <c r="BE585" s="224">
        <v>3.8</v>
      </c>
      <c r="BF585" s="187"/>
      <c r="BG585" s="225" t="s">
        <v>120</v>
      </c>
      <c r="BH585" s="136"/>
      <c r="BI585" s="186"/>
      <c r="BJ585" s="185"/>
      <c r="BK585" s="193"/>
      <c r="BL585" s="36">
        <f>VLOOKUP($AP585,'[1]V1 V2'!$B$5:$BW$1894,74,0)</f>
        <v>0</v>
      </c>
      <c r="BM585" s="36" t="str">
        <f>IF('[1]V1 V2'!X584="","",'[1]V1 V2'!X584)</f>
        <v/>
      </c>
    </row>
    <row r="586" spans="1:65" ht="16" thickBot="1" x14ac:dyDescent="0.4">
      <c r="A586">
        <v>1</v>
      </c>
      <c r="B586" s="304"/>
      <c r="C586" s="305"/>
      <c r="D586" s="306"/>
      <c r="E586" s="36"/>
      <c r="F586" s="168"/>
      <c r="G586" s="169"/>
      <c r="H586" s="170"/>
      <c r="I586" s="57"/>
      <c r="J586" s="56"/>
      <c r="K586" s="171"/>
      <c r="L586" s="142"/>
      <c r="M586" s="172"/>
      <c r="N586" s="173"/>
      <c r="O586" s="174"/>
      <c r="P586" s="175"/>
      <c r="Q586" s="182"/>
      <c r="R586" s="182"/>
      <c r="S586" s="175"/>
      <c r="T586" s="173"/>
      <c r="U586" s="62"/>
      <c r="V586" s="177" t="s">
        <v>89</v>
      </c>
      <c r="W586" s="177" t="s">
        <v>89</v>
      </c>
      <c r="X586" s="230"/>
      <c r="Y586" s="177"/>
      <c r="Z586" s="178">
        <v>9</v>
      </c>
      <c r="AA586" s="297"/>
      <c r="AB586" s="21" t="s">
        <v>2</v>
      </c>
      <c r="AH586" s="63">
        <v>1</v>
      </c>
      <c r="AO586" s="10" t="s">
        <v>3</v>
      </c>
      <c r="AP586" s="238"/>
      <c r="AQ586" s="198">
        <v>12</v>
      </c>
      <c r="AR586" s="222"/>
      <c r="AS586" s="222"/>
      <c r="AT586" s="222" t="s">
        <v>89</v>
      </c>
      <c r="AU586" s="222" t="s">
        <v>89</v>
      </c>
      <c r="AV586" s="132"/>
      <c r="AW586" s="189"/>
      <c r="AX586" s="191"/>
      <c r="AY586" s="223"/>
      <c r="AZ586" s="223"/>
      <c r="BA586" s="191"/>
      <c r="BB586" s="192"/>
      <c r="BC586" s="188"/>
      <c r="BD586" s="188"/>
      <c r="BE586" s="224"/>
      <c r="BF586" s="187"/>
      <c r="BG586" s="135"/>
      <c r="BH586" s="136"/>
      <c r="BI586" s="186"/>
      <c r="BJ586" s="185"/>
      <c r="BK586" s="193"/>
      <c r="BL586" s="36"/>
      <c r="BM586" s="36" t="str">
        <f>IF('[1]V1 V2'!X585="","",'[1]V1 V2'!X585)</f>
        <v/>
      </c>
    </row>
    <row r="587" spans="1:65" ht="16" thickBot="1" x14ac:dyDescent="0.4">
      <c r="A587">
        <v>1</v>
      </c>
      <c r="B587" s="304" t="s">
        <v>1785</v>
      </c>
      <c r="C587" s="305"/>
      <c r="D587" s="306"/>
      <c r="E587" s="36">
        <f>VLOOKUP($B587,'[1]V1 V2'!$B$5:$BW$1894,74,0)</f>
        <v>0</v>
      </c>
      <c r="F587" s="168"/>
      <c r="G587" s="169"/>
      <c r="H587" s="170"/>
      <c r="I587" s="57"/>
      <c r="J587" s="56" t="s">
        <v>127</v>
      </c>
      <c r="K587" s="171"/>
      <c r="L587" s="142">
        <v>3.8</v>
      </c>
      <c r="M587" s="172"/>
      <c r="N587" s="173"/>
      <c r="O587" s="174"/>
      <c r="P587" s="175"/>
      <c r="Q587" s="182" t="s">
        <v>100</v>
      </c>
      <c r="R587" s="182" t="s">
        <v>29</v>
      </c>
      <c r="S587" s="175"/>
      <c r="T587" s="173" t="s">
        <v>30</v>
      </c>
      <c r="U587" s="62" t="s">
        <v>48</v>
      </c>
      <c r="V587" s="177" t="s">
        <v>1786</v>
      </c>
      <c r="W587" s="177" t="s">
        <v>1787</v>
      </c>
      <c r="X587" s="177">
        <v>30346.429000000011</v>
      </c>
      <c r="Y587" s="177">
        <v>4456.8099999999977</v>
      </c>
      <c r="Z587" s="178"/>
      <c r="AA587" s="297" t="s">
        <v>1785</v>
      </c>
      <c r="AB587" s="21" t="s">
        <v>2</v>
      </c>
      <c r="AH587" s="63">
        <v>1</v>
      </c>
      <c r="AO587" s="10" t="s">
        <v>3</v>
      </c>
      <c r="AP587" s="238" t="s">
        <v>1788</v>
      </c>
      <c r="AQ587" s="198"/>
      <c r="AR587" s="222">
        <v>4455.4100000000008</v>
      </c>
      <c r="AS587" s="222">
        <f>AS585-AR586</f>
        <v>30709.638999999996</v>
      </c>
      <c r="AT587" s="222" t="s">
        <v>1789</v>
      </c>
      <c r="AU587" s="222" t="s">
        <v>1790</v>
      </c>
      <c r="AV587" s="132" t="s">
        <v>48</v>
      </c>
      <c r="AW587" s="189" t="s">
        <v>30</v>
      </c>
      <c r="AX587" s="191"/>
      <c r="AY587" s="223" t="s">
        <v>29</v>
      </c>
      <c r="AZ587" s="223" t="s">
        <v>100</v>
      </c>
      <c r="BA587" s="191"/>
      <c r="BB587" s="192"/>
      <c r="BC587" s="188"/>
      <c r="BD587" s="188"/>
      <c r="BE587" s="224">
        <v>3.8</v>
      </c>
      <c r="BF587" s="187"/>
      <c r="BG587" s="225" t="s">
        <v>127</v>
      </c>
      <c r="BH587" s="136"/>
      <c r="BI587" s="186"/>
      <c r="BJ587" s="185"/>
      <c r="BK587" s="193"/>
      <c r="BL587" s="36">
        <f>VLOOKUP($AP587,'[1]V1 V2'!$B$5:$BW$1894,74,0)</f>
        <v>0</v>
      </c>
      <c r="BM587" s="36" t="str">
        <f>IF('[1]V1 V2'!X586="","",'[1]V1 V2'!X586)</f>
        <v/>
      </c>
    </row>
    <row r="588" spans="1:65" ht="16" thickBot="1" x14ac:dyDescent="0.4">
      <c r="A588">
        <v>1</v>
      </c>
      <c r="B588" s="304"/>
      <c r="C588" s="305"/>
      <c r="D588" s="306"/>
      <c r="E588" s="36"/>
      <c r="F588" s="168"/>
      <c r="G588" s="169"/>
      <c r="H588" s="170"/>
      <c r="I588" s="57"/>
      <c r="J588" s="56"/>
      <c r="K588" s="171"/>
      <c r="L588" s="142"/>
      <c r="M588" s="172"/>
      <c r="N588" s="173"/>
      <c r="O588" s="174"/>
      <c r="P588" s="175"/>
      <c r="Q588" s="182"/>
      <c r="R588" s="182"/>
      <c r="S588" s="175"/>
      <c r="T588" s="173"/>
      <c r="U588" s="62"/>
      <c r="V588" s="177" t="s">
        <v>89</v>
      </c>
      <c r="W588" s="177" t="s">
        <v>89</v>
      </c>
      <c r="X588" s="230"/>
      <c r="Y588" s="177"/>
      <c r="Z588" s="178">
        <v>12</v>
      </c>
      <c r="AA588" s="297"/>
      <c r="AB588" s="21" t="s">
        <v>2</v>
      </c>
      <c r="AH588" s="63">
        <v>1</v>
      </c>
      <c r="AO588" s="10" t="s">
        <v>3</v>
      </c>
      <c r="AP588" s="238"/>
      <c r="AQ588" s="198">
        <v>12</v>
      </c>
      <c r="AR588" s="222"/>
      <c r="AS588" s="222"/>
      <c r="AT588" s="222" t="s">
        <v>89</v>
      </c>
      <c r="AU588" s="222" t="s">
        <v>89</v>
      </c>
      <c r="AV588" s="132"/>
      <c r="AW588" s="189"/>
      <c r="AX588" s="191"/>
      <c r="AY588" s="223"/>
      <c r="AZ588" s="223"/>
      <c r="BA588" s="191"/>
      <c r="BB588" s="192"/>
      <c r="BC588" s="188"/>
      <c r="BD588" s="188"/>
      <c r="BE588" s="224"/>
      <c r="BF588" s="187"/>
      <c r="BG588" s="135"/>
      <c r="BH588" s="136"/>
      <c r="BI588" s="186"/>
      <c r="BJ588" s="185"/>
      <c r="BK588" s="193"/>
      <c r="BL588" s="36"/>
      <c r="BM588" s="36" t="str">
        <f>IF('[1]V1 V2'!X587="","",'[1]V1 V2'!X587)</f>
        <v/>
      </c>
    </row>
    <row r="589" spans="1:65" ht="16" thickBot="1" x14ac:dyDescent="0.4">
      <c r="A589">
        <v>1</v>
      </c>
      <c r="B589" s="304" t="s">
        <v>1791</v>
      </c>
      <c r="C589" s="305"/>
      <c r="D589" s="306"/>
      <c r="E589" s="36">
        <f>VLOOKUP($B589,'[1]V1 V2'!$B$5:$BW$1894,74,0)</f>
        <v>0</v>
      </c>
      <c r="F589" s="168"/>
      <c r="G589" s="169"/>
      <c r="H589" s="170"/>
      <c r="I589" s="57"/>
      <c r="J589" s="56" t="s">
        <v>120</v>
      </c>
      <c r="K589" s="171"/>
      <c r="L589" s="142">
        <v>3.8</v>
      </c>
      <c r="M589" s="172"/>
      <c r="N589" s="173"/>
      <c r="O589" s="174"/>
      <c r="P589" s="175"/>
      <c r="Q589" s="182" t="s">
        <v>100</v>
      </c>
      <c r="R589" s="182" t="s">
        <v>29</v>
      </c>
      <c r="S589" s="175"/>
      <c r="T589" s="173" t="s">
        <v>30</v>
      </c>
      <c r="U589" s="62"/>
      <c r="V589" s="177" t="s">
        <v>1792</v>
      </c>
      <c r="W589" s="177" t="s">
        <v>1793</v>
      </c>
      <c r="X589" s="177">
        <v>30334.429000000011</v>
      </c>
      <c r="Y589" s="177">
        <v>4468.8099999999977</v>
      </c>
      <c r="Z589" s="178"/>
      <c r="AA589" s="297" t="s">
        <v>1791</v>
      </c>
      <c r="AB589" s="21" t="s">
        <v>2</v>
      </c>
      <c r="AH589" s="63">
        <v>1</v>
      </c>
      <c r="AO589" s="10" t="s">
        <v>3</v>
      </c>
      <c r="AP589" s="238" t="s">
        <v>1794</v>
      </c>
      <c r="AQ589" s="198"/>
      <c r="AR589" s="222">
        <v>4467.4100000000008</v>
      </c>
      <c r="AS589" s="222">
        <f>AS587-AR588</f>
        <v>30709.638999999996</v>
      </c>
      <c r="AT589" s="222" t="s">
        <v>1795</v>
      </c>
      <c r="AU589" s="222" t="s">
        <v>1796</v>
      </c>
      <c r="AV589" s="132"/>
      <c r="AW589" s="189" t="s">
        <v>30</v>
      </c>
      <c r="AX589" s="191"/>
      <c r="AY589" s="223" t="s">
        <v>29</v>
      </c>
      <c r="AZ589" s="223" t="s">
        <v>100</v>
      </c>
      <c r="BA589" s="191"/>
      <c r="BB589" s="192"/>
      <c r="BC589" s="188"/>
      <c r="BD589" s="188"/>
      <c r="BE589" s="224">
        <v>3.8</v>
      </c>
      <c r="BF589" s="187"/>
      <c r="BG589" s="225" t="s">
        <v>120</v>
      </c>
      <c r="BH589" s="136"/>
      <c r="BI589" s="186"/>
      <c r="BJ589" s="185"/>
      <c r="BK589" s="193"/>
      <c r="BL589" s="36">
        <f>VLOOKUP($AP589,'[1]V1 V2'!$B$5:$BW$1894,74,0)</f>
        <v>0</v>
      </c>
      <c r="BM589" s="36" t="str">
        <f>IF('[1]V1 V2'!X588="","",'[1]V1 V2'!X588)</f>
        <v/>
      </c>
    </row>
    <row r="590" spans="1:65" ht="16" thickBot="1" x14ac:dyDescent="0.4">
      <c r="A590">
        <v>1</v>
      </c>
      <c r="B590" s="304"/>
      <c r="C590" s="305"/>
      <c r="D590" s="306"/>
      <c r="E590" s="36"/>
      <c r="F590" s="168"/>
      <c r="G590" s="169"/>
      <c r="H590" s="170"/>
      <c r="I590" s="57"/>
      <c r="J590" s="56"/>
      <c r="K590" s="171"/>
      <c r="L590" s="142"/>
      <c r="M590" s="172"/>
      <c r="N590" s="173"/>
      <c r="O590" s="174"/>
      <c r="P590" s="175"/>
      <c r="Q590" s="182"/>
      <c r="R590" s="182"/>
      <c r="S590" s="175"/>
      <c r="T590" s="173"/>
      <c r="U590" s="62"/>
      <c r="V590" s="177" t="s">
        <v>89</v>
      </c>
      <c r="W590" s="177" t="s">
        <v>89</v>
      </c>
      <c r="X590" s="230"/>
      <c r="Y590" s="177"/>
      <c r="Z590" s="178">
        <v>12</v>
      </c>
      <c r="AA590" s="297"/>
      <c r="AB590" s="21" t="s">
        <v>2</v>
      </c>
      <c r="AH590" s="63">
        <v>1</v>
      </c>
      <c r="AO590" s="10" t="s">
        <v>3</v>
      </c>
      <c r="AP590" s="238"/>
      <c r="AQ590" s="198">
        <v>12</v>
      </c>
      <c r="AR590" s="222"/>
      <c r="AS590" s="222"/>
      <c r="AT590" s="222" t="s">
        <v>89</v>
      </c>
      <c r="AU590" s="222" t="s">
        <v>89</v>
      </c>
      <c r="AV590" s="132"/>
      <c r="AW590" s="189"/>
      <c r="AX590" s="191"/>
      <c r="AY590" s="223"/>
      <c r="AZ590" s="223"/>
      <c r="BA590" s="191"/>
      <c r="BB590" s="192"/>
      <c r="BC590" s="188"/>
      <c r="BD590" s="188"/>
      <c r="BE590" s="224"/>
      <c r="BF590" s="187"/>
      <c r="BG590" s="135"/>
      <c r="BH590" s="136"/>
      <c r="BI590" s="186"/>
      <c r="BJ590" s="185"/>
      <c r="BK590" s="193"/>
      <c r="BL590" s="36"/>
      <c r="BM590" s="36" t="str">
        <f>IF('[1]V1 V2'!X589="","",'[1]V1 V2'!X589)</f>
        <v/>
      </c>
    </row>
    <row r="591" spans="1:65" ht="16" thickBot="1" x14ac:dyDescent="0.4">
      <c r="A591">
        <v>1</v>
      </c>
      <c r="B591" s="304" t="s">
        <v>1797</v>
      </c>
      <c r="C591" s="305"/>
      <c r="D591" s="306"/>
      <c r="E591" s="36">
        <f>VLOOKUP($B591,'[1]V1 V2'!$B$5:$BW$1894,74,0)</f>
        <v>0</v>
      </c>
      <c r="F591" s="168"/>
      <c r="G591" s="169"/>
      <c r="H591" s="170"/>
      <c r="I591" s="57"/>
      <c r="J591" s="56" t="s">
        <v>113</v>
      </c>
      <c r="K591" s="171"/>
      <c r="L591" s="142">
        <v>3.8</v>
      </c>
      <c r="M591" s="172"/>
      <c r="N591" s="173"/>
      <c r="O591" s="174"/>
      <c r="P591" s="175"/>
      <c r="Q591" s="182" t="s">
        <v>100</v>
      </c>
      <c r="R591" s="182" t="s">
        <v>29</v>
      </c>
      <c r="S591" s="175"/>
      <c r="T591" s="173" t="s">
        <v>30</v>
      </c>
      <c r="U591" s="62"/>
      <c r="V591" s="177" t="s">
        <v>1798</v>
      </c>
      <c r="W591" s="177" t="s">
        <v>1799</v>
      </c>
      <c r="X591" s="177">
        <v>30322.429000000011</v>
      </c>
      <c r="Y591" s="177">
        <v>4480.8099999999977</v>
      </c>
      <c r="Z591" s="178"/>
      <c r="AA591" s="297" t="s">
        <v>1797</v>
      </c>
      <c r="AB591" s="21" t="s">
        <v>2</v>
      </c>
      <c r="AH591" s="63">
        <v>1</v>
      </c>
      <c r="AO591" s="10" t="s">
        <v>3</v>
      </c>
      <c r="AP591" s="238" t="s">
        <v>1800</v>
      </c>
      <c r="AQ591" s="198"/>
      <c r="AR591" s="222">
        <v>4479.4100000000008</v>
      </c>
      <c r="AS591" s="222">
        <f>AS589-AR590</f>
        <v>30709.638999999996</v>
      </c>
      <c r="AT591" s="222" t="s">
        <v>1801</v>
      </c>
      <c r="AU591" s="222" t="s">
        <v>1802</v>
      </c>
      <c r="AV591" s="132"/>
      <c r="AW591" s="189" t="s">
        <v>30</v>
      </c>
      <c r="AX591" s="191"/>
      <c r="AY591" s="223" t="s">
        <v>29</v>
      </c>
      <c r="AZ591" s="223" t="s">
        <v>100</v>
      </c>
      <c r="BA591" s="191"/>
      <c r="BB591" s="192"/>
      <c r="BC591" s="188"/>
      <c r="BD591" s="188"/>
      <c r="BE591" s="224">
        <v>3.8</v>
      </c>
      <c r="BF591" s="187"/>
      <c r="BG591" s="225" t="s">
        <v>113</v>
      </c>
      <c r="BH591" s="136"/>
      <c r="BI591" s="186"/>
      <c r="BJ591" s="185"/>
      <c r="BK591" s="193"/>
      <c r="BL591" s="36">
        <f>VLOOKUP($AP591,'[1]V1 V2'!$B$5:$BW$1894,74,0)</f>
        <v>0</v>
      </c>
      <c r="BM591" s="36" t="str">
        <f>IF('[1]V1 V2'!X590="","",'[1]V1 V2'!X590)</f>
        <v/>
      </c>
    </row>
    <row r="592" spans="1:65" ht="16" thickBot="1" x14ac:dyDescent="0.4">
      <c r="A592">
        <v>1</v>
      </c>
      <c r="B592" s="304"/>
      <c r="C592" s="305"/>
      <c r="D592" s="306"/>
      <c r="E592" s="36"/>
      <c r="F592" s="168"/>
      <c r="G592" s="169"/>
      <c r="H592" s="170"/>
      <c r="I592" s="57"/>
      <c r="J592" s="56"/>
      <c r="K592" s="171"/>
      <c r="L592" s="142"/>
      <c r="M592" s="172"/>
      <c r="N592" s="173"/>
      <c r="O592" s="174"/>
      <c r="P592" s="175"/>
      <c r="Q592" s="182"/>
      <c r="R592" s="182"/>
      <c r="S592" s="175"/>
      <c r="T592" s="173"/>
      <c r="U592" s="62"/>
      <c r="V592" s="177" t="s">
        <v>89</v>
      </c>
      <c r="W592" s="177" t="s">
        <v>89</v>
      </c>
      <c r="X592" s="230"/>
      <c r="Y592" s="177"/>
      <c r="Z592" s="178">
        <v>12</v>
      </c>
      <c r="AA592" s="297"/>
      <c r="AB592" s="21" t="s">
        <v>2</v>
      </c>
      <c r="AH592" s="63">
        <v>1</v>
      </c>
      <c r="AO592" s="10" t="s">
        <v>3</v>
      </c>
      <c r="AP592" s="238"/>
      <c r="AQ592" s="198">
        <v>12</v>
      </c>
      <c r="AR592" s="222"/>
      <c r="AS592" s="222"/>
      <c r="AT592" s="222" t="s">
        <v>89</v>
      </c>
      <c r="AU592" s="222" t="s">
        <v>89</v>
      </c>
      <c r="AV592" s="132"/>
      <c r="AW592" s="189"/>
      <c r="AX592" s="191"/>
      <c r="AY592" s="223"/>
      <c r="AZ592" s="223"/>
      <c r="BA592" s="191"/>
      <c r="BB592" s="192"/>
      <c r="BC592" s="188"/>
      <c r="BD592" s="188"/>
      <c r="BE592" s="224"/>
      <c r="BF592" s="187"/>
      <c r="BG592" s="135"/>
      <c r="BH592" s="136"/>
      <c r="BI592" s="186"/>
      <c r="BJ592" s="185"/>
      <c r="BK592" s="193"/>
      <c r="BL592" s="36"/>
      <c r="BM592" s="36" t="str">
        <f>IF('[1]V1 V2'!X591="","",'[1]V1 V2'!X591)</f>
        <v/>
      </c>
    </row>
    <row r="593" spans="1:65" ht="16" thickBot="1" x14ac:dyDescent="0.4">
      <c r="A593">
        <v>1</v>
      </c>
      <c r="B593" s="304" t="s">
        <v>1803</v>
      </c>
      <c r="C593" s="305"/>
      <c r="D593" s="306"/>
      <c r="E593" s="36">
        <f>VLOOKUP($B593,'[1]V1 V2'!$B$5:$BW$1894,74,0)</f>
        <v>0</v>
      </c>
      <c r="F593" s="168"/>
      <c r="G593" s="169"/>
      <c r="H593" s="170"/>
      <c r="I593" s="57"/>
      <c r="J593" s="56">
        <v>-4</v>
      </c>
      <c r="K593" s="171"/>
      <c r="L593" s="142">
        <v>3.8</v>
      </c>
      <c r="M593" s="172"/>
      <c r="N593" s="173"/>
      <c r="O593" s="174"/>
      <c r="P593" s="175"/>
      <c r="Q593" s="182" t="s">
        <v>100</v>
      </c>
      <c r="R593" s="182" t="s">
        <v>29</v>
      </c>
      <c r="S593" s="175"/>
      <c r="T593" s="173" t="s">
        <v>30</v>
      </c>
      <c r="U593" s="62"/>
      <c r="V593" s="177" t="s">
        <v>1804</v>
      </c>
      <c r="W593" s="177" t="s">
        <v>1805</v>
      </c>
      <c r="X593" s="177">
        <v>30310.429000000011</v>
      </c>
      <c r="Y593" s="177">
        <v>4492.8099999999977</v>
      </c>
      <c r="Z593" s="178"/>
      <c r="AA593" s="297" t="s">
        <v>1803</v>
      </c>
      <c r="AB593" s="21" t="s">
        <v>2</v>
      </c>
      <c r="AH593" s="63">
        <v>1</v>
      </c>
      <c r="AO593" s="10" t="s">
        <v>3</v>
      </c>
      <c r="AP593" s="238" t="s">
        <v>1806</v>
      </c>
      <c r="AQ593" s="198"/>
      <c r="AR593" s="222">
        <v>4491.4100000000008</v>
      </c>
      <c r="AS593" s="222">
        <f>AS591-AR592</f>
        <v>30709.638999999996</v>
      </c>
      <c r="AT593" s="222" t="s">
        <v>1807</v>
      </c>
      <c r="AU593" s="222" t="s">
        <v>1808</v>
      </c>
      <c r="AV593" s="132"/>
      <c r="AW593" s="189" t="s">
        <v>30</v>
      </c>
      <c r="AX593" s="191"/>
      <c r="AY593" s="223" t="s">
        <v>29</v>
      </c>
      <c r="AZ593" s="223" t="s">
        <v>100</v>
      </c>
      <c r="BA593" s="191"/>
      <c r="BB593" s="192"/>
      <c r="BC593" s="188"/>
      <c r="BD593" s="188"/>
      <c r="BE593" s="224">
        <v>3.8</v>
      </c>
      <c r="BF593" s="187"/>
      <c r="BG593" s="135">
        <v>-4</v>
      </c>
      <c r="BH593" s="136"/>
      <c r="BI593" s="186"/>
      <c r="BJ593" s="185"/>
      <c r="BK593" s="193"/>
      <c r="BL593" s="36">
        <f>VLOOKUP($AP593,'[1]V1 V2'!$B$5:$BW$1894,74,0)</f>
        <v>0</v>
      </c>
      <c r="BM593" s="36" t="str">
        <f>IF('[1]V1 V2'!X592="","",'[1]V1 V2'!X592)</f>
        <v/>
      </c>
    </row>
    <row r="594" spans="1:65" ht="16" thickBot="1" x14ac:dyDescent="0.4">
      <c r="A594">
        <v>1</v>
      </c>
      <c r="B594" s="304"/>
      <c r="C594" s="305"/>
      <c r="D594" s="306"/>
      <c r="E594" s="36"/>
      <c r="F594" s="168"/>
      <c r="G594" s="169"/>
      <c r="H594" s="170"/>
      <c r="I594" s="57"/>
      <c r="J594" s="56"/>
      <c r="K594" s="171"/>
      <c r="L594" s="142"/>
      <c r="M594" s="172"/>
      <c r="N594" s="173"/>
      <c r="O594" s="174"/>
      <c r="P594" s="175"/>
      <c r="Q594" s="182"/>
      <c r="R594" s="182"/>
      <c r="S594" s="175"/>
      <c r="T594" s="173"/>
      <c r="U594" s="62"/>
      <c r="V594" s="177" t="s">
        <v>89</v>
      </c>
      <c r="W594" s="177" t="s">
        <v>89</v>
      </c>
      <c r="X594" s="230"/>
      <c r="Y594" s="177"/>
      <c r="Z594" s="178">
        <v>12</v>
      </c>
      <c r="AA594" s="297"/>
      <c r="AB594" s="21" t="s">
        <v>2</v>
      </c>
      <c r="AH594" s="63">
        <v>1</v>
      </c>
      <c r="AO594" s="10" t="s">
        <v>3</v>
      </c>
      <c r="AP594" s="238"/>
      <c r="AQ594" s="198">
        <v>12</v>
      </c>
      <c r="AR594" s="222"/>
      <c r="AS594" s="222"/>
      <c r="AT594" s="222" t="s">
        <v>89</v>
      </c>
      <c r="AU594" s="222" t="s">
        <v>89</v>
      </c>
      <c r="AV594" s="132"/>
      <c r="AW594" s="189"/>
      <c r="AX594" s="191"/>
      <c r="AY594" s="223"/>
      <c r="AZ594" s="223"/>
      <c r="BA594" s="191"/>
      <c r="BB594" s="192"/>
      <c r="BC594" s="188"/>
      <c r="BD594" s="188"/>
      <c r="BE594" s="224"/>
      <c r="BF594" s="187"/>
      <c r="BG594" s="135"/>
      <c r="BH594" s="136"/>
      <c r="BI594" s="186"/>
      <c r="BJ594" s="185"/>
      <c r="BK594" s="193"/>
      <c r="BL594" s="36"/>
      <c r="BM594" s="36" t="str">
        <f>IF('[1]V1 V2'!X593="","",'[1]V1 V2'!X593)</f>
        <v/>
      </c>
    </row>
    <row r="595" spans="1:65" ht="16" thickBot="1" x14ac:dyDescent="0.4">
      <c r="A595">
        <v>1</v>
      </c>
      <c r="B595" s="304" t="s">
        <v>1809</v>
      </c>
      <c r="C595" s="305"/>
      <c r="D595" s="306"/>
      <c r="E595" s="36">
        <f>VLOOKUP($B595,'[1]V1 V2'!$B$5:$BW$1894,74,0)</f>
        <v>0</v>
      </c>
      <c r="F595" s="168"/>
      <c r="G595" s="169"/>
      <c r="H595" s="170"/>
      <c r="I595" s="57"/>
      <c r="J595" s="56">
        <v>-12</v>
      </c>
      <c r="K595" s="171"/>
      <c r="L595" s="142">
        <v>3.8</v>
      </c>
      <c r="M595" s="172"/>
      <c r="N595" s="173"/>
      <c r="O595" s="174"/>
      <c r="P595" s="175"/>
      <c r="Q595" s="182" t="s">
        <v>100</v>
      </c>
      <c r="R595" s="182" t="s">
        <v>29</v>
      </c>
      <c r="S595" s="175"/>
      <c r="T595" s="173" t="s">
        <v>30</v>
      </c>
      <c r="U595" s="62"/>
      <c r="V595" s="177" t="s">
        <v>1810</v>
      </c>
      <c r="W595" s="177" t="s">
        <v>1811</v>
      </c>
      <c r="X595" s="177">
        <v>30298.429000000011</v>
      </c>
      <c r="Y595" s="177">
        <v>4504.8099999999977</v>
      </c>
      <c r="Z595" s="178"/>
      <c r="AA595" s="297" t="s">
        <v>1809</v>
      </c>
      <c r="AB595" s="21" t="s">
        <v>2</v>
      </c>
      <c r="AH595" s="63">
        <v>1</v>
      </c>
      <c r="AO595" s="10" t="s">
        <v>3</v>
      </c>
      <c r="AP595" s="238" t="s">
        <v>1812</v>
      </c>
      <c r="AQ595" s="198"/>
      <c r="AR595" s="222">
        <v>4503.4100000000008</v>
      </c>
      <c r="AS595" s="222">
        <f>AS593-AR594</f>
        <v>30709.638999999996</v>
      </c>
      <c r="AT595" s="222" t="s">
        <v>1813</v>
      </c>
      <c r="AU595" s="222" t="s">
        <v>1814</v>
      </c>
      <c r="AV595" s="132"/>
      <c r="AW595" s="189" t="s">
        <v>30</v>
      </c>
      <c r="AX595" s="191"/>
      <c r="AY595" s="223" t="s">
        <v>29</v>
      </c>
      <c r="AZ595" s="223" t="s">
        <v>100</v>
      </c>
      <c r="BA595" s="191"/>
      <c r="BB595" s="192"/>
      <c r="BC595" s="188"/>
      <c r="BD595" s="188"/>
      <c r="BE595" s="224">
        <v>3.8</v>
      </c>
      <c r="BF595" s="187"/>
      <c r="BG595" s="135">
        <v>-12</v>
      </c>
      <c r="BH595" s="136"/>
      <c r="BI595" s="186"/>
      <c r="BJ595" s="185"/>
      <c r="BK595" s="193"/>
      <c r="BL595" s="36">
        <f>VLOOKUP($AP595,'[1]V1 V2'!$B$5:$BW$1894,74,0)</f>
        <v>0</v>
      </c>
      <c r="BM595" s="36" t="str">
        <f>IF('[1]V1 V2'!X594="","",'[1]V1 V2'!X594)</f>
        <v/>
      </c>
    </row>
    <row r="596" spans="1:65" ht="16" thickBot="1" x14ac:dyDescent="0.4">
      <c r="A596">
        <v>1</v>
      </c>
      <c r="B596" s="304"/>
      <c r="C596" s="305"/>
      <c r="D596" s="306"/>
      <c r="E596" s="36"/>
      <c r="F596" s="168"/>
      <c r="G596" s="169"/>
      <c r="H596" s="170"/>
      <c r="I596" s="57"/>
      <c r="J596" s="56"/>
      <c r="K596" s="171"/>
      <c r="L596" s="142"/>
      <c r="M596" s="172"/>
      <c r="N596" s="173"/>
      <c r="O596" s="174"/>
      <c r="P596" s="175"/>
      <c r="Q596" s="182"/>
      <c r="R596" s="182"/>
      <c r="S596" s="175"/>
      <c r="T596" s="173"/>
      <c r="U596" s="62"/>
      <c r="V596" s="177" t="s">
        <v>89</v>
      </c>
      <c r="W596" s="177" t="s">
        <v>89</v>
      </c>
      <c r="X596" s="230"/>
      <c r="Y596" s="177"/>
      <c r="Z596" s="178">
        <v>12</v>
      </c>
      <c r="AA596" s="297"/>
      <c r="AB596" s="21" t="s">
        <v>2</v>
      </c>
      <c r="AH596" s="63">
        <v>1</v>
      </c>
      <c r="AO596" s="10" t="s">
        <v>3</v>
      </c>
      <c r="AP596" s="238"/>
      <c r="AQ596" s="198">
        <v>12</v>
      </c>
      <c r="AR596" s="222"/>
      <c r="AS596" s="222"/>
      <c r="AT596" s="222" t="s">
        <v>89</v>
      </c>
      <c r="AU596" s="222" t="s">
        <v>89</v>
      </c>
      <c r="AV596" s="132"/>
      <c r="AW596" s="189"/>
      <c r="AX596" s="191"/>
      <c r="AY596" s="223"/>
      <c r="AZ596" s="223"/>
      <c r="BA596" s="191"/>
      <c r="BB596" s="192"/>
      <c r="BC596" s="188"/>
      <c r="BD596" s="188"/>
      <c r="BE596" s="224"/>
      <c r="BF596" s="187"/>
      <c r="BG596" s="135"/>
      <c r="BH596" s="136"/>
      <c r="BI596" s="186"/>
      <c r="BJ596" s="185"/>
      <c r="BK596" s="193"/>
      <c r="BL596" s="36"/>
      <c r="BM596" s="36" t="str">
        <f>IF('[1]V1 V2'!X595="","",'[1]V1 V2'!X595)</f>
        <v/>
      </c>
    </row>
    <row r="597" spans="1:65" ht="16" thickBot="1" x14ac:dyDescent="0.4">
      <c r="A597">
        <v>1</v>
      </c>
      <c r="B597" s="304" t="s">
        <v>1815</v>
      </c>
      <c r="C597" s="305"/>
      <c r="D597" s="306"/>
      <c r="E597" s="36">
        <f>VLOOKUP($B597,'[1]V1 V2'!$B$5:$BW$1894,74,0)</f>
        <v>0</v>
      </c>
      <c r="F597" s="168"/>
      <c r="G597" s="169"/>
      <c r="H597" s="170"/>
      <c r="I597" s="57"/>
      <c r="J597" s="56">
        <v>-20</v>
      </c>
      <c r="K597" s="171"/>
      <c r="L597" s="142">
        <v>3.8</v>
      </c>
      <c r="M597" s="172"/>
      <c r="N597" s="173"/>
      <c r="O597" s="174"/>
      <c r="P597" s="175"/>
      <c r="Q597" s="182" t="s">
        <v>100</v>
      </c>
      <c r="R597" s="182" t="s">
        <v>29</v>
      </c>
      <c r="S597" s="175"/>
      <c r="T597" s="173" t="s">
        <v>30</v>
      </c>
      <c r="U597" s="62"/>
      <c r="V597" s="177" t="s">
        <v>1816</v>
      </c>
      <c r="W597" s="177" t="s">
        <v>1817</v>
      </c>
      <c r="X597" s="177">
        <v>30286.429000000011</v>
      </c>
      <c r="Y597" s="177">
        <v>4516.8099999999977</v>
      </c>
      <c r="Z597" s="178"/>
      <c r="AA597" s="297" t="s">
        <v>1815</v>
      </c>
      <c r="AB597" s="21" t="s">
        <v>2</v>
      </c>
      <c r="AH597" s="63">
        <v>1</v>
      </c>
      <c r="AO597" s="10" t="s">
        <v>3</v>
      </c>
      <c r="AP597" s="238" t="s">
        <v>1818</v>
      </c>
      <c r="AQ597" s="198"/>
      <c r="AR597" s="222">
        <v>4515.4100000000008</v>
      </c>
      <c r="AS597" s="222">
        <f>AS595-AR596</f>
        <v>30709.638999999996</v>
      </c>
      <c r="AT597" s="222" t="s">
        <v>1819</v>
      </c>
      <c r="AU597" s="222" t="s">
        <v>1820</v>
      </c>
      <c r="AV597" s="132"/>
      <c r="AW597" s="189" t="s">
        <v>30</v>
      </c>
      <c r="AX597" s="191"/>
      <c r="AY597" s="223" t="s">
        <v>29</v>
      </c>
      <c r="AZ597" s="223" t="s">
        <v>100</v>
      </c>
      <c r="BA597" s="191"/>
      <c r="BB597" s="192"/>
      <c r="BC597" s="188"/>
      <c r="BD597" s="188"/>
      <c r="BE597" s="224">
        <v>3.8</v>
      </c>
      <c r="BF597" s="187"/>
      <c r="BG597" s="135">
        <v>-20</v>
      </c>
      <c r="BH597" s="136"/>
      <c r="BI597" s="186"/>
      <c r="BJ597" s="185"/>
      <c r="BK597" s="193"/>
      <c r="BL597" s="36">
        <f>VLOOKUP($AP597,'[1]V1 V2'!$B$5:$BW$1894,74,0)</f>
        <v>0</v>
      </c>
      <c r="BM597" s="36" t="str">
        <f>IF('[1]V1 V2'!X596="","",'[1]V1 V2'!X596)</f>
        <v/>
      </c>
    </row>
    <row r="598" spans="1:65" ht="16" thickBot="1" x14ac:dyDescent="0.4">
      <c r="A598">
        <v>1</v>
      </c>
      <c r="B598" s="304"/>
      <c r="C598" s="305"/>
      <c r="D598" s="306"/>
      <c r="E598" s="36"/>
      <c r="F598" s="168"/>
      <c r="G598" s="169"/>
      <c r="H598" s="170"/>
      <c r="I598" s="57"/>
      <c r="J598" s="56"/>
      <c r="K598" s="171"/>
      <c r="L598" s="142"/>
      <c r="M598" s="172"/>
      <c r="N598" s="173"/>
      <c r="O598" s="174"/>
      <c r="P598" s="175"/>
      <c r="Q598" s="182"/>
      <c r="R598" s="182"/>
      <c r="S598" s="175"/>
      <c r="T598" s="173"/>
      <c r="U598" s="62"/>
      <c r="V598" s="177" t="s">
        <v>89</v>
      </c>
      <c r="W598" s="177" t="s">
        <v>89</v>
      </c>
      <c r="X598" s="230"/>
      <c r="Y598" s="177"/>
      <c r="Z598" s="178">
        <v>12</v>
      </c>
      <c r="AA598" s="297"/>
      <c r="AB598" s="21" t="s">
        <v>2</v>
      </c>
      <c r="AH598" s="63">
        <v>1</v>
      </c>
      <c r="AO598" s="10" t="s">
        <v>3</v>
      </c>
      <c r="AP598" s="238"/>
      <c r="AQ598" s="198">
        <v>12</v>
      </c>
      <c r="AR598" s="222"/>
      <c r="AS598" s="222"/>
      <c r="AT598" s="222" t="s">
        <v>89</v>
      </c>
      <c r="AU598" s="222" t="s">
        <v>89</v>
      </c>
      <c r="AV598" s="132"/>
      <c r="AW598" s="189"/>
      <c r="AX598" s="191"/>
      <c r="AY598" s="223"/>
      <c r="AZ598" s="223"/>
      <c r="BA598" s="191"/>
      <c r="BB598" s="192"/>
      <c r="BC598" s="188"/>
      <c r="BD598" s="188"/>
      <c r="BE598" s="224"/>
      <c r="BF598" s="187"/>
      <c r="BG598" s="135"/>
      <c r="BH598" s="136"/>
      <c r="BI598" s="186"/>
      <c r="BJ598" s="185"/>
      <c r="BK598" s="193"/>
      <c r="BL598" s="36"/>
      <c r="BM598" s="36" t="str">
        <f>IF('[1]V1 V2'!X597="","",'[1]V1 V2'!X597)</f>
        <v/>
      </c>
    </row>
    <row r="599" spans="1:65" ht="16" thickBot="1" x14ac:dyDescent="0.4">
      <c r="A599">
        <v>1</v>
      </c>
      <c r="B599" s="304" t="s">
        <v>1821</v>
      </c>
      <c r="C599" s="305"/>
      <c r="D599" s="306"/>
      <c r="E599" s="36">
        <f>VLOOKUP($B599,'[1]V1 V2'!$B$5:$BW$1894,74,0)</f>
        <v>0</v>
      </c>
      <c r="F599" s="168"/>
      <c r="G599" s="169"/>
      <c r="H599" s="170"/>
      <c r="I599" s="57"/>
      <c r="J599" s="56">
        <v>-12</v>
      </c>
      <c r="K599" s="171"/>
      <c r="L599" s="142">
        <v>3.8</v>
      </c>
      <c r="M599" s="172"/>
      <c r="N599" s="173"/>
      <c r="O599" s="174"/>
      <c r="P599" s="175"/>
      <c r="Q599" s="182" t="s">
        <v>100</v>
      </c>
      <c r="R599" s="182" t="s">
        <v>29</v>
      </c>
      <c r="S599" s="175"/>
      <c r="T599" s="173" t="s">
        <v>30</v>
      </c>
      <c r="U599" s="62"/>
      <c r="V599" s="177" t="s">
        <v>1822</v>
      </c>
      <c r="W599" s="177" t="s">
        <v>1823</v>
      </c>
      <c r="X599" s="177">
        <v>30274.429000000011</v>
      </c>
      <c r="Y599" s="177">
        <v>4528.8099999999977</v>
      </c>
      <c r="Z599" s="178"/>
      <c r="AA599" s="297" t="s">
        <v>1821</v>
      </c>
      <c r="AB599" s="21" t="s">
        <v>2</v>
      </c>
      <c r="AH599" s="63">
        <v>1</v>
      </c>
      <c r="AO599" s="10" t="s">
        <v>3</v>
      </c>
      <c r="AP599" s="238" t="s">
        <v>1824</v>
      </c>
      <c r="AQ599" s="198"/>
      <c r="AR599" s="222">
        <v>4527.4100000000008</v>
      </c>
      <c r="AS599" s="222">
        <f>AS597-AR598</f>
        <v>30709.638999999996</v>
      </c>
      <c r="AT599" s="222" t="s">
        <v>1825</v>
      </c>
      <c r="AU599" s="222" t="s">
        <v>1826</v>
      </c>
      <c r="AV599" s="132"/>
      <c r="AW599" s="189" t="s">
        <v>30</v>
      </c>
      <c r="AX599" s="191"/>
      <c r="AY599" s="223" t="s">
        <v>29</v>
      </c>
      <c r="AZ599" s="223" t="s">
        <v>100</v>
      </c>
      <c r="BA599" s="191"/>
      <c r="BB599" s="192"/>
      <c r="BC599" s="188"/>
      <c r="BD599" s="188"/>
      <c r="BE599" s="224">
        <v>3.8</v>
      </c>
      <c r="BF599" s="187"/>
      <c r="BG599" s="135">
        <v>-12</v>
      </c>
      <c r="BH599" s="136"/>
      <c r="BI599" s="186"/>
      <c r="BJ599" s="185"/>
      <c r="BK599" s="193"/>
      <c r="BL599" s="36">
        <f>VLOOKUP($AP599,'[1]V1 V2'!$B$5:$BW$1894,74,0)</f>
        <v>0</v>
      </c>
      <c r="BM599" s="36" t="str">
        <f>IF('[1]V1 V2'!X598="","",'[1]V1 V2'!X598)</f>
        <v/>
      </c>
    </row>
    <row r="600" spans="1:65" ht="16" thickBot="1" x14ac:dyDescent="0.4">
      <c r="A600">
        <v>1</v>
      </c>
      <c r="B600" s="304"/>
      <c r="C600" s="305"/>
      <c r="D600" s="306"/>
      <c r="E600" s="36"/>
      <c r="F600" s="168"/>
      <c r="G600" s="169"/>
      <c r="H600" s="170"/>
      <c r="I600" s="57"/>
      <c r="J600" s="56"/>
      <c r="K600" s="171"/>
      <c r="L600" s="142"/>
      <c r="M600" s="172"/>
      <c r="N600" s="173"/>
      <c r="O600" s="174"/>
      <c r="P600" s="175"/>
      <c r="Q600" s="182"/>
      <c r="R600" s="182"/>
      <c r="S600" s="175"/>
      <c r="T600" s="173"/>
      <c r="U600" s="62"/>
      <c r="V600" s="177" t="s">
        <v>89</v>
      </c>
      <c r="W600" s="177" t="s">
        <v>89</v>
      </c>
      <c r="X600" s="230"/>
      <c r="Y600" s="177"/>
      <c r="Z600" s="178">
        <v>12</v>
      </c>
      <c r="AA600" s="297"/>
      <c r="AB600" s="21" t="s">
        <v>2</v>
      </c>
      <c r="AH600" s="63">
        <v>1</v>
      </c>
      <c r="AO600" s="10" t="s">
        <v>3</v>
      </c>
      <c r="AP600" s="238"/>
      <c r="AQ600" s="198">
        <v>12</v>
      </c>
      <c r="AR600" s="222"/>
      <c r="AS600" s="222"/>
      <c r="AT600" s="222" t="s">
        <v>89</v>
      </c>
      <c r="AU600" s="222" t="s">
        <v>89</v>
      </c>
      <c r="AV600" s="132"/>
      <c r="AW600" s="189"/>
      <c r="AX600" s="191"/>
      <c r="AY600" s="223"/>
      <c r="AZ600" s="223"/>
      <c r="BA600" s="191"/>
      <c r="BB600" s="192"/>
      <c r="BC600" s="188"/>
      <c r="BD600" s="188"/>
      <c r="BE600" s="224"/>
      <c r="BF600" s="187"/>
      <c r="BG600" s="135"/>
      <c r="BH600" s="136"/>
      <c r="BI600" s="186"/>
      <c r="BJ600" s="185"/>
      <c r="BK600" s="193"/>
      <c r="BL600" s="36"/>
      <c r="BM600" s="36" t="str">
        <f>IF('[1]V1 V2'!X599="","",'[1]V1 V2'!X599)</f>
        <v/>
      </c>
    </row>
    <row r="601" spans="1:65" ht="16" thickBot="1" x14ac:dyDescent="0.4">
      <c r="A601">
        <v>1</v>
      </c>
      <c r="B601" s="304" t="s">
        <v>1827</v>
      </c>
      <c r="C601" s="305"/>
      <c r="D601" s="306"/>
      <c r="E601" s="36">
        <f>VLOOKUP($B601,'[1]V1 V2'!$B$5:$BW$1894,74,0)</f>
        <v>0</v>
      </c>
      <c r="F601" s="168"/>
      <c r="G601" s="169"/>
      <c r="H601" s="170"/>
      <c r="I601" s="57"/>
      <c r="J601" s="56">
        <v>-4</v>
      </c>
      <c r="K601" s="171"/>
      <c r="L601" s="142">
        <v>3.8</v>
      </c>
      <c r="M601" s="172"/>
      <c r="N601" s="173"/>
      <c r="O601" s="174"/>
      <c r="P601" s="175"/>
      <c r="Q601" s="182" t="s">
        <v>100</v>
      </c>
      <c r="R601" s="182" t="s">
        <v>29</v>
      </c>
      <c r="S601" s="175"/>
      <c r="T601" s="173" t="s">
        <v>30</v>
      </c>
      <c r="U601" s="62"/>
      <c r="V601" s="177" t="s">
        <v>1828</v>
      </c>
      <c r="W601" s="177" t="s">
        <v>1829</v>
      </c>
      <c r="X601" s="177">
        <v>30262.429000000011</v>
      </c>
      <c r="Y601" s="177">
        <v>4540.8099999999977</v>
      </c>
      <c r="Z601" s="178"/>
      <c r="AA601" s="297" t="s">
        <v>1827</v>
      </c>
      <c r="AB601" s="21" t="s">
        <v>2</v>
      </c>
      <c r="AH601" s="63">
        <v>1</v>
      </c>
      <c r="AO601" s="10" t="s">
        <v>3</v>
      </c>
      <c r="AP601" s="238" t="s">
        <v>1830</v>
      </c>
      <c r="AQ601" s="198"/>
      <c r="AR601" s="222">
        <v>4539.4100000000008</v>
      </c>
      <c r="AS601" s="222">
        <f>AS599-AR600</f>
        <v>30709.638999999996</v>
      </c>
      <c r="AT601" s="222" t="s">
        <v>1831</v>
      </c>
      <c r="AU601" s="222" t="s">
        <v>1832</v>
      </c>
      <c r="AV601" s="132"/>
      <c r="AW601" s="189" t="s">
        <v>30</v>
      </c>
      <c r="AX601" s="191"/>
      <c r="AY601" s="223" t="s">
        <v>29</v>
      </c>
      <c r="AZ601" s="223" t="s">
        <v>100</v>
      </c>
      <c r="BA601" s="191"/>
      <c r="BB601" s="192"/>
      <c r="BC601" s="188"/>
      <c r="BD601" s="188"/>
      <c r="BE601" s="224">
        <v>3.8</v>
      </c>
      <c r="BF601" s="187"/>
      <c r="BG601" s="135">
        <v>-4</v>
      </c>
      <c r="BH601" s="136"/>
      <c r="BI601" s="186"/>
      <c r="BJ601" s="185"/>
      <c r="BK601" s="193"/>
      <c r="BL601" s="36">
        <f>VLOOKUP($AP601,'[1]V1 V2'!$B$5:$BW$1894,74,0)</f>
        <v>0</v>
      </c>
      <c r="BM601" s="36" t="str">
        <f>IF('[1]V1 V2'!X600="","",'[1]V1 V2'!X600)</f>
        <v/>
      </c>
    </row>
    <row r="602" spans="1:65" ht="16" thickBot="1" x14ac:dyDescent="0.4">
      <c r="A602">
        <v>1</v>
      </c>
      <c r="B602" s="304"/>
      <c r="C602" s="305"/>
      <c r="D602" s="306"/>
      <c r="E602" s="36"/>
      <c r="F602" s="168"/>
      <c r="G602" s="169"/>
      <c r="H602" s="170"/>
      <c r="I602" s="57"/>
      <c r="J602" s="56"/>
      <c r="K602" s="171"/>
      <c r="L602" s="142"/>
      <c r="M602" s="172"/>
      <c r="N602" s="173"/>
      <c r="O602" s="174"/>
      <c r="P602" s="175"/>
      <c r="Q602" s="182"/>
      <c r="R602" s="182"/>
      <c r="S602" s="175"/>
      <c r="T602" s="173"/>
      <c r="U602" s="62"/>
      <c r="V602" s="177" t="s">
        <v>89</v>
      </c>
      <c r="W602" s="177" t="s">
        <v>89</v>
      </c>
      <c r="X602" s="230"/>
      <c r="Y602" s="177"/>
      <c r="Z602" s="178">
        <v>12</v>
      </c>
      <c r="AA602" s="297"/>
      <c r="AB602" s="21" t="s">
        <v>2</v>
      </c>
      <c r="AH602" s="63">
        <v>1</v>
      </c>
      <c r="AO602" s="10" t="s">
        <v>3</v>
      </c>
      <c r="AP602" s="238"/>
      <c r="AQ602" s="198">
        <v>12</v>
      </c>
      <c r="AR602" s="222"/>
      <c r="AS602" s="222"/>
      <c r="AT602" s="222" t="s">
        <v>89</v>
      </c>
      <c r="AU602" s="222" t="s">
        <v>89</v>
      </c>
      <c r="AV602" s="132"/>
      <c r="AW602" s="189"/>
      <c r="AX602" s="191"/>
      <c r="AY602" s="223"/>
      <c r="AZ602" s="223"/>
      <c r="BA602" s="191"/>
      <c r="BB602" s="192"/>
      <c r="BC602" s="188"/>
      <c r="BD602" s="188"/>
      <c r="BE602" s="224"/>
      <c r="BF602" s="187"/>
      <c r="BG602" s="135"/>
      <c r="BH602" s="136"/>
      <c r="BI602" s="186"/>
      <c r="BJ602" s="185"/>
      <c r="BK602" s="193"/>
      <c r="BL602" s="36"/>
      <c r="BM602" s="36" t="str">
        <f>IF('[1]V1 V2'!X601="","",'[1]V1 V2'!X601)</f>
        <v/>
      </c>
    </row>
    <row r="603" spans="1:65" ht="16" thickBot="1" x14ac:dyDescent="0.4">
      <c r="A603">
        <v>1</v>
      </c>
      <c r="B603" s="304" t="s">
        <v>1833</v>
      </c>
      <c r="C603" s="305"/>
      <c r="D603" s="306"/>
      <c r="E603" s="36">
        <f>VLOOKUP($B603,'[1]V1 V2'!$B$5:$BW$1894,74,0)</f>
        <v>0</v>
      </c>
      <c r="F603" s="168"/>
      <c r="G603" s="169"/>
      <c r="H603" s="170"/>
      <c r="I603" s="57"/>
      <c r="J603" s="56" t="s">
        <v>113</v>
      </c>
      <c r="K603" s="171"/>
      <c r="L603" s="142">
        <v>3.8</v>
      </c>
      <c r="M603" s="172"/>
      <c r="N603" s="173"/>
      <c r="O603" s="174"/>
      <c r="P603" s="175"/>
      <c r="Q603" s="182" t="s">
        <v>100</v>
      </c>
      <c r="R603" s="182" t="s">
        <v>29</v>
      </c>
      <c r="S603" s="175"/>
      <c r="T603" s="173" t="s">
        <v>30</v>
      </c>
      <c r="U603" s="62"/>
      <c r="V603" s="177" t="s">
        <v>1834</v>
      </c>
      <c r="W603" s="177" t="s">
        <v>1835</v>
      </c>
      <c r="X603" s="177">
        <v>30250.429000000011</v>
      </c>
      <c r="Y603" s="177">
        <v>4552.8099999999977</v>
      </c>
      <c r="Z603" s="178"/>
      <c r="AA603" s="297" t="s">
        <v>1833</v>
      </c>
      <c r="AB603" s="21" t="s">
        <v>2</v>
      </c>
      <c r="AH603" s="63">
        <v>1</v>
      </c>
      <c r="AO603" s="10" t="s">
        <v>3</v>
      </c>
      <c r="AP603" s="238" t="s">
        <v>1836</v>
      </c>
      <c r="AQ603" s="198"/>
      <c r="AR603" s="222">
        <v>4551.4100000000008</v>
      </c>
      <c r="AS603" s="222">
        <f>AS601-AR602</f>
        <v>30709.638999999996</v>
      </c>
      <c r="AT603" s="222" t="s">
        <v>1837</v>
      </c>
      <c r="AU603" s="222" t="s">
        <v>1838</v>
      </c>
      <c r="AV603" s="132"/>
      <c r="AW603" s="189" t="s">
        <v>30</v>
      </c>
      <c r="AX603" s="191"/>
      <c r="AY603" s="223" t="s">
        <v>29</v>
      </c>
      <c r="AZ603" s="223" t="s">
        <v>100</v>
      </c>
      <c r="BA603" s="191"/>
      <c r="BB603" s="192"/>
      <c r="BC603" s="188"/>
      <c r="BD603" s="188"/>
      <c r="BE603" s="224">
        <v>3.8</v>
      </c>
      <c r="BF603" s="187"/>
      <c r="BG603" s="225" t="s">
        <v>113</v>
      </c>
      <c r="BH603" s="136"/>
      <c r="BI603" s="186"/>
      <c r="BJ603" s="185"/>
      <c r="BK603" s="193"/>
      <c r="BL603" s="36">
        <f>VLOOKUP($AP603,'[1]V1 V2'!$B$5:$BW$1894,74,0)</f>
        <v>0</v>
      </c>
      <c r="BM603" s="36" t="str">
        <f>IF('[1]V1 V2'!X602="","",'[1]V1 V2'!X602)</f>
        <v/>
      </c>
    </row>
    <row r="604" spans="1:65" ht="16" thickBot="1" x14ac:dyDescent="0.4">
      <c r="A604">
        <v>1</v>
      </c>
      <c r="B604" s="304"/>
      <c r="C604" s="305"/>
      <c r="D604" s="306"/>
      <c r="E604" s="36"/>
      <c r="F604" s="168"/>
      <c r="G604" s="169"/>
      <c r="H604" s="170"/>
      <c r="I604" s="57"/>
      <c r="J604" s="56"/>
      <c r="K604" s="171"/>
      <c r="L604" s="142"/>
      <c r="M604" s="172"/>
      <c r="N604" s="173"/>
      <c r="O604" s="174"/>
      <c r="P604" s="175"/>
      <c r="Q604" s="182"/>
      <c r="R604" s="182"/>
      <c r="S604" s="175"/>
      <c r="T604" s="173"/>
      <c r="U604" s="62"/>
      <c r="V604" s="177" t="s">
        <v>89</v>
      </c>
      <c r="W604" s="177" t="s">
        <v>89</v>
      </c>
      <c r="X604" s="230"/>
      <c r="Y604" s="177"/>
      <c r="Z604" s="178">
        <v>12</v>
      </c>
      <c r="AA604" s="297"/>
      <c r="AB604" s="21" t="s">
        <v>2</v>
      </c>
      <c r="AH604" s="63">
        <v>1</v>
      </c>
      <c r="AO604" s="10" t="s">
        <v>3</v>
      </c>
      <c r="AP604" s="297"/>
      <c r="AQ604" s="178">
        <v>12</v>
      </c>
      <c r="AR604" s="177"/>
      <c r="AS604" s="222"/>
      <c r="AT604" s="177"/>
      <c r="AU604" s="177"/>
      <c r="AV604" s="62"/>
      <c r="AW604" s="173"/>
      <c r="AX604" s="175"/>
      <c r="AY604" s="182"/>
      <c r="AZ604" s="182"/>
      <c r="BA604" s="175"/>
      <c r="BB604" s="180"/>
      <c r="BC604" s="172"/>
      <c r="BD604" s="172"/>
      <c r="BE604" s="142"/>
      <c r="BF604" s="171"/>
      <c r="BG604" s="56"/>
      <c r="BH604" s="57"/>
      <c r="BI604" s="170"/>
      <c r="BJ604" s="169"/>
      <c r="BK604" s="181"/>
      <c r="BL604" s="36"/>
      <c r="BM604" s="36" t="str">
        <f>IF('[1]V1 V2'!X603="","",'[1]V1 V2'!X603)</f>
        <v/>
      </c>
    </row>
    <row r="605" spans="1:65" ht="16" thickBot="1" x14ac:dyDescent="0.4">
      <c r="A605">
        <v>1</v>
      </c>
      <c r="B605" s="310" t="s">
        <v>1839</v>
      </c>
      <c r="C605" s="311"/>
      <c r="D605" s="312"/>
      <c r="E605" s="36">
        <f>VLOOKUP($B605,'[1]V1 V2'!$B$5:$BW$1894,74,0)</f>
        <v>0</v>
      </c>
      <c r="F605" s="144"/>
      <c r="G605" s="145"/>
      <c r="H605" s="144" t="s">
        <v>1646</v>
      </c>
      <c r="I605" s="87" t="s">
        <v>120</v>
      </c>
      <c r="J605" s="86">
        <v>-20</v>
      </c>
      <c r="K605" s="147"/>
      <c r="L605" s="148">
        <v>3.8</v>
      </c>
      <c r="M605" s="149"/>
      <c r="N605" s="150"/>
      <c r="O605" s="151"/>
      <c r="P605" s="152"/>
      <c r="Q605" s="153" t="s">
        <v>83</v>
      </c>
      <c r="R605" s="153" t="s">
        <v>29</v>
      </c>
      <c r="S605" s="152"/>
      <c r="T605" s="150" t="s">
        <v>33</v>
      </c>
      <c r="U605" s="80"/>
      <c r="V605" s="154" t="s">
        <v>1840</v>
      </c>
      <c r="W605" s="154" t="s">
        <v>1841</v>
      </c>
      <c r="X605" s="355">
        <v>30238.429000000011</v>
      </c>
      <c r="Y605" s="154">
        <v>4564.8099999999977</v>
      </c>
      <c r="Z605" s="155"/>
      <c r="AA605" s="315" t="s">
        <v>1839</v>
      </c>
      <c r="AB605" s="21" t="s">
        <v>2</v>
      </c>
      <c r="AH605" s="63">
        <v>1</v>
      </c>
      <c r="AO605" s="10" t="s">
        <v>3</v>
      </c>
      <c r="AP605" s="315" t="s">
        <v>1842</v>
      </c>
      <c r="AQ605" s="155"/>
      <c r="AR605" s="154">
        <v>4563.4100000000008</v>
      </c>
      <c r="AS605" s="154">
        <f>AS603-AQ604</f>
        <v>30697.638999999996</v>
      </c>
      <c r="AT605" s="154" t="s">
        <v>1843</v>
      </c>
      <c r="AU605" s="154" t="s">
        <v>1844</v>
      </c>
      <c r="AV605" s="80"/>
      <c r="AW605" s="150" t="s">
        <v>33</v>
      </c>
      <c r="AX605" s="152"/>
      <c r="AY605" s="153" t="s">
        <v>29</v>
      </c>
      <c r="AZ605" s="153" t="s">
        <v>83</v>
      </c>
      <c r="BA605" s="152"/>
      <c r="BB605" s="157"/>
      <c r="BC605" s="149"/>
      <c r="BD605" s="149"/>
      <c r="BE605" s="148">
        <v>3.8</v>
      </c>
      <c r="BF605" s="147"/>
      <c r="BG605" s="86">
        <v>-20</v>
      </c>
      <c r="BH605" s="201" t="s">
        <v>120</v>
      </c>
      <c r="BI605" s="69" t="s">
        <v>1646</v>
      </c>
      <c r="BJ605" s="145"/>
      <c r="BK605" s="160"/>
      <c r="BL605" s="36">
        <f>VLOOKUP($AP605,'[1]V1 V2'!$B$5:$BW$1894,74,0)</f>
        <v>0</v>
      </c>
      <c r="BM605" s="36" t="str">
        <f>IF('[1]V1 V2'!X604="","",'[1]V1 V2'!X604)</f>
        <v/>
      </c>
    </row>
    <row r="606" spans="1:65" ht="16" thickBot="1" x14ac:dyDescent="0.4">
      <c r="A606">
        <v>1</v>
      </c>
      <c r="B606" s="310"/>
      <c r="C606" s="311"/>
      <c r="D606" s="312"/>
      <c r="E606" s="36"/>
      <c r="F606" s="144"/>
      <c r="G606" s="145"/>
      <c r="H606" s="92" t="s">
        <v>8</v>
      </c>
      <c r="I606" s="87"/>
      <c r="J606" s="86"/>
      <c r="K606" s="147"/>
      <c r="L606" s="148"/>
      <c r="M606" s="149"/>
      <c r="N606" s="150"/>
      <c r="O606" s="151"/>
      <c r="P606" s="152"/>
      <c r="Q606" s="153"/>
      <c r="R606" s="153"/>
      <c r="S606" s="152"/>
      <c r="T606" s="150"/>
      <c r="U606" s="80"/>
      <c r="V606" s="154" t="s">
        <v>89</v>
      </c>
      <c r="W606" s="154" t="s">
        <v>89</v>
      </c>
      <c r="X606" s="356"/>
      <c r="Y606" s="154"/>
      <c r="Z606" s="155">
        <v>6.2</v>
      </c>
      <c r="AA606" s="315"/>
      <c r="AB606" s="21" t="s">
        <v>2</v>
      </c>
      <c r="AH606" s="63">
        <v>1</v>
      </c>
      <c r="AO606" s="10" t="s">
        <v>3</v>
      </c>
      <c r="AP606" s="315"/>
      <c r="AQ606" s="155">
        <v>6.2</v>
      </c>
      <c r="AR606" s="154"/>
      <c r="AS606" s="154"/>
      <c r="AT606" s="154" t="s">
        <v>89</v>
      </c>
      <c r="AU606" s="154" t="s">
        <v>89</v>
      </c>
      <c r="AV606" s="80"/>
      <c r="AW606" s="150"/>
      <c r="AX606" s="152"/>
      <c r="AY606" s="153"/>
      <c r="AZ606" s="153"/>
      <c r="BA606" s="152"/>
      <c r="BB606" s="157"/>
      <c r="BC606" s="149"/>
      <c r="BD606" s="149"/>
      <c r="BE606" s="148"/>
      <c r="BF606" s="147"/>
      <c r="BG606" s="86"/>
      <c r="BH606" s="87"/>
      <c r="BI606" s="92" t="s">
        <v>8</v>
      </c>
      <c r="BJ606" s="145"/>
      <c r="BK606" s="160"/>
      <c r="BL606" s="36"/>
      <c r="BM606" s="36" t="str">
        <f>IF('[1]V1 V2'!X605="","",'[1]V1 V2'!X605)</f>
        <v/>
      </c>
    </row>
    <row r="607" spans="1:65" ht="16" thickBot="1" x14ac:dyDescent="0.4">
      <c r="A607">
        <v>1</v>
      </c>
      <c r="B607" s="310" t="s">
        <v>1845</v>
      </c>
      <c r="C607" s="311"/>
      <c r="D607" s="312"/>
      <c r="E607" s="36">
        <f>VLOOKUP($B607,'[1]V1 V2'!$B$5:$BW$1894,74,0)</f>
        <v>0</v>
      </c>
      <c r="F607" s="144"/>
      <c r="G607" s="145"/>
      <c r="H607" s="98" t="s">
        <v>197</v>
      </c>
      <c r="I607" s="257" t="s">
        <v>127</v>
      </c>
      <c r="J607" s="158">
        <v>-12</v>
      </c>
      <c r="K607" s="147"/>
      <c r="L607" s="148">
        <v>3.8</v>
      </c>
      <c r="M607" s="149"/>
      <c r="N607" s="150"/>
      <c r="O607" s="151"/>
      <c r="P607" s="152"/>
      <c r="Q607" s="153" t="s">
        <v>83</v>
      </c>
      <c r="R607" s="153" t="s">
        <v>29</v>
      </c>
      <c r="S607" s="152"/>
      <c r="T607" s="150" t="s">
        <v>33</v>
      </c>
      <c r="U607" s="80"/>
      <c r="V607" s="154" t="s">
        <v>1846</v>
      </c>
      <c r="W607" s="154" t="s">
        <v>1847</v>
      </c>
      <c r="X607" s="355">
        <v>30232.22900000001</v>
      </c>
      <c r="Y607" s="154">
        <v>4571.0099999999975</v>
      </c>
      <c r="Z607" s="155"/>
      <c r="AA607" s="315" t="s">
        <v>1845</v>
      </c>
      <c r="AB607" s="21" t="s">
        <v>2</v>
      </c>
      <c r="AH607" s="63">
        <v>1</v>
      </c>
      <c r="AO607" s="10" t="s">
        <v>3</v>
      </c>
      <c r="AP607" s="315" t="s">
        <v>1848</v>
      </c>
      <c r="AQ607" s="155"/>
      <c r="AR607" s="154">
        <v>4569.6100000000006</v>
      </c>
      <c r="AS607" s="154">
        <f>AS605-AQ606</f>
        <v>30691.438999999995</v>
      </c>
      <c r="AT607" s="154" t="s">
        <v>1849</v>
      </c>
      <c r="AU607" s="154" t="s">
        <v>1850</v>
      </c>
      <c r="AV607" s="80"/>
      <c r="AW607" s="150" t="s">
        <v>33</v>
      </c>
      <c r="AX607" s="152"/>
      <c r="AY607" s="153" t="s">
        <v>29</v>
      </c>
      <c r="AZ607" s="153" t="s">
        <v>83</v>
      </c>
      <c r="BA607" s="152"/>
      <c r="BB607" s="157"/>
      <c r="BC607" s="149"/>
      <c r="BD607" s="149"/>
      <c r="BE607" s="148">
        <v>3.8</v>
      </c>
      <c r="BF607" s="147"/>
      <c r="BG607" s="158">
        <v>-12</v>
      </c>
      <c r="BH607" s="402" t="s">
        <v>127</v>
      </c>
      <c r="BI607" s="98" t="s">
        <v>197</v>
      </c>
      <c r="BJ607" s="145"/>
      <c r="BK607" s="160"/>
      <c r="BL607" s="36">
        <f>VLOOKUP($AP607,'[1]V1 V2'!$B$5:$BW$1894,74,0)</f>
        <v>0</v>
      </c>
      <c r="BM607" s="36" t="str">
        <f>IF('[1]V1 V2'!X606="","",'[1]V1 V2'!X606)</f>
        <v/>
      </c>
    </row>
    <row r="608" spans="1:65" ht="16" thickBot="1" x14ac:dyDescent="0.4">
      <c r="A608">
        <v>1</v>
      </c>
      <c r="B608" s="304"/>
      <c r="C608" s="305"/>
      <c r="D608" s="306"/>
      <c r="E608" s="36"/>
      <c r="F608" s="168"/>
      <c r="G608" s="169"/>
      <c r="H608" s="170"/>
      <c r="I608" s="57"/>
      <c r="J608" s="56"/>
      <c r="K608" s="171"/>
      <c r="L608" s="142"/>
      <c r="M608" s="172"/>
      <c r="N608" s="173"/>
      <c r="O608" s="174"/>
      <c r="P608" s="175"/>
      <c r="Q608" s="182"/>
      <c r="R608" s="182"/>
      <c r="S608" s="175"/>
      <c r="T608" s="173"/>
      <c r="U608" s="62"/>
      <c r="V608" s="177" t="s">
        <v>89</v>
      </c>
      <c r="W608" s="177" t="s">
        <v>89</v>
      </c>
      <c r="X608" s="230"/>
      <c r="Y608" s="177"/>
      <c r="Z608" s="178">
        <v>12</v>
      </c>
      <c r="AA608" s="297"/>
      <c r="AB608" s="21" t="s">
        <v>2</v>
      </c>
      <c r="AH608" s="63">
        <v>1</v>
      </c>
      <c r="AO608" s="10" t="s">
        <v>3</v>
      </c>
      <c r="AP608" s="297"/>
      <c r="AQ608" s="178">
        <v>12</v>
      </c>
      <c r="AR608" s="177"/>
      <c r="AS608" s="222"/>
      <c r="AT608" s="177" t="s">
        <v>89</v>
      </c>
      <c r="AU608" s="177" t="s">
        <v>89</v>
      </c>
      <c r="AV608" s="62"/>
      <c r="AW608" s="173"/>
      <c r="AX608" s="175"/>
      <c r="AY608" s="182"/>
      <c r="AZ608" s="182"/>
      <c r="BA608" s="175"/>
      <c r="BB608" s="180"/>
      <c r="BC608" s="172"/>
      <c r="BD608" s="172"/>
      <c r="BE608" s="142"/>
      <c r="BF608" s="171"/>
      <c r="BG608" s="56"/>
      <c r="BH608" s="57"/>
      <c r="BI608" s="170"/>
      <c r="BJ608" s="169"/>
      <c r="BK608" s="181"/>
      <c r="BL608" s="36"/>
      <c r="BM608" s="36" t="str">
        <f>IF('[1]V1 V2'!X607="","",'[1]V1 V2'!X607)</f>
        <v/>
      </c>
    </row>
    <row r="609" spans="1:65" ht="16" thickBot="1" x14ac:dyDescent="0.4">
      <c r="A609">
        <v>1</v>
      </c>
      <c r="B609" s="304" t="s">
        <v>1851</v>
      </c>
      <c r="C609" s="305"/>
      <c r="D609" s="306"/>
      <c r="E609" s="36">
        <f>VLOOKUP($B609,'[1]V1 V2'!$B$5:$BW$1894,74,0)</f>
        <v>0</v>
      </c>
      <c r="F609" s="168"/>
      <c r="G609" s="169"/>
      <c r="H609" s="170"/>
      <c r="I609" s="57"/>
      <c r="J609" s="56">
        <v>-4</v>
      </c>
      <c r="K609" s="171"/>
      <c r="L609" s="142">
        <v>3.8</v>
      </c>
      <c r="M609" s="172"/>
      <c r="N609" s="173"/>
      <c r="O609" s="174"/>
      <c r="P609" s="175"/>
      <c r="Q609" s="182" t="s">
        <v>100</v>
      </c>
      <c r="R609" s="182" t="s">
        <v>29</v>
      </c>
      <c r="S609" s="175"/>
      <c r="T609" s="173" t="s">
        <v>30</v>
      </c>
      <c r="U609" s="62"/>
      <c r="V609" s="177" t="s">
        <v>1852</v>
      </c>
      <c r="W609" s="177" t="s">
        <v>1853</v>
      </c>
      <c r="X609" s="177">
        <v>30220.22900000001</v>
      </c>
      <c r="Y609" s="177">
        <v>4583.0099999999975</v>
      </c>
      <c r="Z609" s="178"/>
      <c r="AA609" s="297" t="s">
        <v>1851</v>
      </c>
      <c r="AB609" s="21" t="s">
        <v>2</v>
      </c>
      <c r="AH609" s="63">
        <v>1</v>
      </c>
      <c r="AO609" s="10" t="s">
        <v>3</v>
      </c>
      <c r="AP609" s="297" t="s">
        <v>1854</v>
      </c>
      <c r="AQ609" s="178"/>
      <c r="AR609" s="177">
        <v>4581.6100000000006</v>
      </c>
      <c r="AS609" s="222">
        <f>AS607-AQ608</f>
        <v>30679.438999999995</v>
      </c>
      <c r="AT609" s="177" t="s">
        <v>1855</v>
      </c>
      <c r="AU609" s="177" t="s">
        <v>1856</v>
      </c>
      <c r="AV609" s="62"/>
      <c r="AW609" s="173" t="s">
        <v>30</v>
      </c>
      <c r="AX609" s="175"/>
      <c r="AY609" s="182" t="s">
        <v>29</v>
      </c>
      <c r="AZ609" s="182" t="s">
        <v>100</v>
      </c>
      <c r="BA609" s="175"/>
      <c r="BB609" s="180"/>
      <c r="BC609" s="172"/>
      <c r="BD609" s="172"/>
      <c r="BE609" s="142">
        <v>3.8</v>
      </c>
      <c r="BF609" s="171"/>
      <c r="BG609" s="56">
        <v>-4</v>
      </c>
      <c r="BH609" s="57"/>
      <c r="BI609" s="170"/>
      <c r="BJ609" s="169"/>
      <c r="BK609" s="181"/>
      <c r="BL609" s="36">
        <f>VLOOKUP($AP609,'[1]V1 V2'!$B$5:$BW$1894,74,0)</f>
        <v>0</v>
      </c>
      <c r="BM609" s="36" t="str">
        <f>IF('[1]V1 V2'!X608="","",'[1]V1 V2'!X608)</f>
        <v/>
      </c>
    </row>
    <row r="610" spans="1:65" ht="16" thickBot="1" x14ac:dyDescent="0.4">
      <c r="A610">
        <v>1</v>
      </c>
      <c r="B610" s="304"/>
      <c r="C610" s="305"/>
      <c r="D610" s="306"/>
      <c r="E610" s="36"/>
      <c r="F610" s="168"/>
      <c r="G610" s="169"/>
      <c r="H610" s="170"/>
      <c r="I610" s="57"/>
      <c r="J610" s="56"/>
      <c r="K610" s="171"/>
      <c r="L610" s="142"/>
      <c r="M610" s="172"/>
      <c r="N610" s="173"/>
      <c r="O610" s="174"/>
      <c r="P610" s="175"/>
      <c r="Q610" s="182"/>
      <c r="R610" s="182"/>
      <c r="S610" s="175"/>
      <c r="T610" s="173"/>
      <c r="U610" s="62"/>
      <c r="V610" s="177" t="s">
        <v>89</v>
      </c>
      <c r="W610" s="177" t="s">
        <v>89</v>
      </c>
      <c r="X610" s="230"/>
      <c r="Y610" s="177"/>
      <c r="Z610" s="178">
        <v>12</v>
      </c>
      <c r="AA610" s="297"/>
      <c r="AB610" s="21" t="s">
        <v>2</v>
      </c>
      <c r="AH610" s="63">
        <v>1</v>
      </c>
      <c r="AO610" s="10" t="s">
        <v>3</v>
      </c>
      <c r="AP610" s="297"/>
      <c r="AQ610" s="178">
        <v>12</v>
      </c>
      <c r="AR610" s="177"/>
      <c r="AS610" s="222"/>
      <c r="AT610" s="177" t="s">
        <v>89</v>
      </c>
      <c r="AU610" s="177" t="s">
        <v>89</v>
      </c>
      <c r="AV610" s="62"/>
      <c r="AW610" s="173"/>
      <c r="AX610" s="175"/>
      <c r="AY610" s="182"/>
      <c r="AZ610" s="182"/>
      <c r="BA610" s="175"/>
      <c r="BB610" s="180"/>
      <c r="BC610" s="172"/>
      <c r="BD610" s="172"/>
      <c r="BE610" s="142"/>
      <c r="BF610" s="171"/>
      <c r="BG610" s="56"/>
      <c r="BH610" s="57"/>
      <c r="BI610" s="170"/>
      <c r="BJ610" s="169"/>
      <c r="BK610" s="181"/>
      <c r="BL610" s="36"/>
      <c r="BM610" s="36" t="str">
        <f>IF('[1]V1 V2'!X609="","",'[1]V1 V2'!X609)</f>
        <v/>
      </c>
    </row>
    <row r="611" spans="1:65" ht="16" thickBot="1" x14ac:dyDescent="0.4">
      <c r="A611">
        <v>1</v>
      </c>
      <c r="B611" s="304" t="s">
        <v>1857</v>
      </c>
      <c r="C611" s="305"/>
      <c r="D611" s="306"/>
      <c r="E611" s="36">
        <f>VLOOKUP($B611,'[1]V1 V2'!$B$5:$BW$1894,74,0)</f>
        <v>0</v>
      </c>
      <c r="F611" s="168"/>
      <c r="G611" s="169"/>
      <c r="H611" s="170"/>
      <c r="I611" s="57"/>
      <c r="J611" s="56" t="s">
        <v>113</v>
      </c>
      <c r="K611" s="171"/>
      <c r="L611" s="142">
        <v>3.8</v>
      </c>
      <c r="M611" s="172"/>
      <c r="N611" s="173"/>
      <c r="O611" s="174"/>
      <c r="P611" s="175"/>
      <c r="Q611" s="182" t="s">
        <v>100</v>
      </c>
      <c r="R611" s="182" t="s">
        <v>29</v>
      </c>
      <c r="S611" s="175"/>
      <c r="T611" s="173" t="s">
        <v>30</v>
      </c>
      <c r="U611" s="62"/>
      <c r="V611" s="177" t="s">
        <v>1858</v>
      </c>
      <c r="W611" s="177" t="s">
        <v>1859</v>
      </c>
      <c r="X611" s="177">
        <v>30208.22900000001</v>
      </c>
      <c r="Y611" s="177">
        <v>4595.0099999999975</v>
      </c>
      <c r="Z611" s="178"/>
      <c r="AA611" s="297" t="s">
        <v>1857</v>
      </c>
      <c r="AB611" s="21" t="s">
        <v>2</v>
      </c>
      <c r="AH611" s="63">
        <v>1</v>
      </c>
      <c r="AO611" s="10" t="s">
        <v>3</v>
      </c>
      <c r="AP611" s="297" t="s">
        <v>1860</v>
      </c>
      <c r="AQ611" s="178"/>
      <c r="AR611" s="177">
        <v>4593.6100000000006</v>
      </c>
      <c r="AS611" s="222">
        <f>AS609-AQ610</f>
        <v>30667.438999999995</v>
      </c>
      <c r="AT611" s="177" t="s">
        <v>1861</v>
      </c>
      <c r="AU611" s="177" t="s">
        <v>1862</v>
      </c>
      <c r="AV611" s="62"/>
      <c r="AW611" s="173" t="s">
        <v>30</v>
      </c>
      <c r="AX611" s="175"/>
      <c r="AY611" s="182" t="s">
        <v>29</v>
      </c>
      <c r="AZ611" s="182" t="s">
        <v>100</v>
      </c>
      <c r="BA611" s="175"/>
      <c r="BB611" s="180"/>
      <c r="BC611" s="172"/>
      <c r="BD611" s="172"/>
      <c r="BE611" s="142">
        <v>3.8</v>
      </c>
      <c r="BF611" s="171"/>
      <c r="BG611" s="183" t="s">
        <v>113</v>
      </c>
      <c r="BH611" s="57"/>
      <c r="BI611" s="170"/>
      <c r="BJ611" s="169"/>
      <c r="BK611" s="181"/>
      <c r="BL611" s="36">
        <f>VLOOKUP($AP611,'[1]V1 V2'!$B$5:$BW$1894,74,0)</f>
        <v>0</v>
      </c>
      <c r="BM611" s="36" t="str">
        <f>IF('[1]V1 V2'!X610="","",'[1]V1 V2'!X610)</f>
        <v/>
      </c>
    </row>
    <row r="612" spans="1:65" ht="16" thickBot="1" x14ac:dyDescent="0.4">
      <c r="A612">
        <v>1</v>
      </c>
      <c r="B612" s="304"/>
      <c r="C612" s="305"/>
      <c r="D612" s="306"/>
      <c r="E612" s="36"/>
      <c r="F612" s="168"/>
      <c r="G612" s="169"/>
      <c r="H612" s="170"/>
      <c r="I612" s="57"/>
      <c r="J612" s="56"/>
      <c r="K612" s="171"/>
      <c r="L612" s="142"/>
      <c r="M612" s="172"/>
      <c r="N612" s="173"/>
      <c r="O612" s="174"/>
      <c r="P612" s="175"/>
      <c r="Q612" s="182"/>
      <c r="R612" s="182"/>
      <c r="S612" s="175"/>
      <c r="T612" s="173"/>
      <c r="U612" s="62"/>
      <c r="V612" s="177" t="s">
        <v>89</v>
      </c>
      <c r="W612" s="177" t="s">
        <v>89</v>
      </c>
      <c r="X612" s="230"/>
      <c r="Y612" s="177"/>
      <c r="Z612" s="178">
        <v>12</v>
      </c>
      <c r="AA612" s="297"/>
      <c r="AB612" s="21" t="s">
        <v>2</v>
      </c>
      <c r="AH612" s="63">
        <v>1</v>
      </c>
      <c r="AO612" s="10" t="s">
        <v>3</v>
      </c>
      <c r="AP612" s="297"/>
      <c r="AQ612" s="178">
        <v>12</v>
      </c>
      <c r="AR612" s="177"/>
      <c r="AS612" s="222"/>
      <c r="AT612" s="177" t="s">
        <v>89</v>
      </c>
      <c r="AU612" s="177" t="s">
        <v>89</v>
      </c>
      <c r="AV612" s="62"/>
      <c r="AW612" s="173"/>
      <c r="AX612" s="175"/>
      <c r="AY612" s="182"/>
      <c r="AZ612" s="182"/>
      <c r="BA612" s="175"/>
      <c r="BB612" s="180"/>
      <c r="BC612" s="172"/>
      <c r="BD612" s="172"/>
      <c r="BE612" s="142"/>
      <c r="BF612" s="171"/>
      <c r="BG612" s="56"/>
      <c r="BH612" s="57"/>
      <c r="BI612" s="170"/>
      <c r="BJ612" s="169"/>
      <c r="BK612" s="181"/>
      <c r="BL612" s="36"/>
      <c r="BM612" s="36" t="str">
        <f>IF('[1]V1 V2'!X611="","",'[1]V1 V2'!X611)</f>
        <v/>
      </c>
    </row>
    <row r="613" spans="1:65" ht="16" thickBot="1" x14ac:dyDescent="0.4">
      <c r="A613">
        <v>1</v>
      </c>
      <c r="B613" s="304" t="s">
        <v>1863</v>
      </c>
      <c r="C613" s="305"/>
      <c r="D613" s="306"/>
      <c r="E613" s="36">
        <f>VLOOKUP($B613,'[1]V1 V2'!$B$5:$BW$1894,74,0)</f>
        <v>0</v>
      </c>
      <c r="F613" s="168"/>
      <c r="G613" s="169"/>
      <c r="H613" s="170"/>
      <c r="I613" s="57"/>
      <c r="J613" s="56" t="s">
        <v>120</v>
      </c>
      <c r="K613" s="171"/>
      <c r="L613" s="142">
        <v>3.8</v>
      </c>
      <c r="M613" s="172"/>
      <c r="N613" s="173"/>
      <c r="O613" s="174"/>
      <c r="P613" s="175"/>
      <c r="Q613" s="182" t="s">
        <v>100</v>
      </c>
      <c r="R613" s="182" t="s">
        <v>29</v>
      </c>
      <c r="S613" s="175"/>
      <c r="T613" s="173" t="s">
        <v>30</v>
      </c>
      <c r="U613" s="62"/>
      <c r="V613" s="177" t="s">
        <v>1864</v>
      </c>
      <c r="W613" s="177" t="s">
        <v>1865</v>
      </c>
      <c r="X613" s="177">
        <v>30196.22900000001</v>
      </c>
      <c r="Y613" s="177">
        <v>4607.0099999999975</v>
      </c>
      <c r="Z613" s="178"/>
      <c r="AA613" s="297" t="s">
        <v>1863</v>
      </c>
      <c r="AB613" s="21" t="s">
        <v>2</v>
      </c>
      <c r="AH613" s="63">
        <v>1</v>
      </c>
      <c r="AO613" s="10" t="s">
        <v>3</v>
      </c>
      <c r="AP613" s="297" t="s">
        <v>1866</v>
      </c>
      <c r="AQ613" s="178"/>
      <c r="AR613" s="177">
        <v>4605.6100000000006</v>
      </c>
      <c r="AS613" s="222">
        <f>AS611-AQ612</f>
        <v>30655.438999999995</v>
      </c>
      <c r="AT613" s="177" t="s">
        <v>1867</v>
      </c>
      <c r="AU613" s="177" t="s">
        <v>1868</v>
      </c>
      <c r="AV613" s="62"/>
      <c r="AW613" s="173" t="s">
        <v>30</v>
      </c>
      <c r="AX613" s="175"/>
      <c r="AY613" s="182" t="s">
        <v>29</v>
      </c>
      <c r="AZ613" s="182" t="s">
        <v>100</v>
      </c>
      <c r="BA613" s="175"/>
      <c r="BB613" s="180"/>
      <c r="BC613" s="172"/>
      <c r="BD613" s="172"/>
      <c r="BE613" s="142">
        <v>3.8</v>
      </c>
      <c r="BF613" s="171"/>
      <c r="BG613" s="183" t="s">
        <v>120</v>
      </c>
      <c r="BH613" s="57"/>
      <c r="BI613" s="170"/>
      <c r="BJ613" s="169"/>
      <c r="BK613" s="181"/>
      <c r="BL613" s="36">
        <f>VLOOKUP($AP613,'[1]V1 V2'!$B$5:$BW$1894,74,0)</f>
        <v>0</v>
      </c>
      <c r="BM613" s="36" t="str">
        <f>IF('[1]V1 V2'!X612="","",'[1]V1 V2'!X612)</f>
        <v/>
      </c>
    </row>
    <row r="614" spans="1:65" ht="16" thickBot="1" x14ac:dyDescent="0.4">
      <c r="A614">
        <v>1</v>
      </c>
      <c r="B614" s="304"/>
      <c r="C614" s="305"/>
      <c r="D614" s="306"/>
      <c r="E614" s="36"/>
      <c r="F614" s="168"/>
      <c r="G614" s="169"/>
      <c r="H614" s="170"/>
      <c r="I614" s="57"/>
      <c r="J614" s="56"/>
      <c r="K614" s="171"/>
      <c r="L614" s="142"/>
      <c r="M614" s="172"/>
      <c r="N614" s="173"/>
      <c r="O614" s="174"/>
      <c r="P614" s="175"/>
      <c r="Q614" s="182"/>
      <c r="R614" s="182"/>
      <c r="S614" s="175"/>
      <c r="T614" s="173"/>
      <c r="U614" s="62"/>
      <c r="V614" s="177" t="s">
        <v>89</v>
      </c>
      <c r="W614" s="177" t="s">
        <v>89</v>
      </c>
      <c r="X614" s="230"/>
      <c r="Y614" s="177"/>
      <c r="Z614" s="178">
        <v>12</v>
      </c>
      <c r="AA614" s="297"/>
      <c r="AB614" s="21" t="s">
        <v>2</v>
      </c>
      <c r="AH614" s="63">
        <v>1</v>
      </c>
      <c r="AO614" s="10" t="s">
        <v>3</v>
      </c>
      <c r="AP614" s="297"/>
      <c r="AQ614" s="178">
        <v>12</v>
      </c>
      <c r="AR614" s="177"/>
      <c r="AS614" s="222"/>
      <c r="AT614" s="177" t="s">
        <v>89</v>
      </c>
      <c r="AU614" s="177" t="s">
        <v>89</v>
      </c>
      <c r="AV614" s="62"/>
      <c r="AW614" s="173"/>
      <c r="AX614" s="175"/>
      <c r="AY614" s="182"/>
      <c r="AZ614" s="182"/>
      <c r="BA614" s="175"/>
      <c r="BB614" s="180"/>
      <c r="BC614" s="172"/>
      <c r="BD614" s="172"/>
      <c r="BE614" s="142"/>
      <c r="BF614" s="171"/>
      <c r="BG614" s="56"/>
      <c r="BH614" s="57"/>
      <c r="BI614" s="170"/>
      <c r="BJ614" s="169"/>
      <c r="BK614" s="181"/>
      <c r="BL614" s="36"/>
      <c r="BM614" s="36" t="str">
        <f>IF('[1]V1 V2'!X613="","",'[1]V1 V2'!X613)</f>
        <v/>
      </c>
    </row>
    <row r="615" spans="1:65" ht="16" thickBot="1" x14ac:dyDescent="0.4">
      <c r="A615">
        <v>1</v>
      </c>
      <c r="B615" s="304" t="s">
        <v>1869</v>
      </c>
      <c r="C615" s="305"/>
      <c r="D615" s="306"/>
      <c r="E615" s="36">
        <f>VLOOKUP($B615,'[1]V1 V2'!$B$5:$BW$1894,74,0)</f>
        <v>0</v>
      </c>
      <c r="F615" s="168"/>
      <c r="G615" s="169"/>
      <c r="H615" s="170"/>
      <c r="I615" s="57"/>
      <c r="J615" s="56" t="s">
        <v>127</v>
      </c>
      <c r="K615" s="171"/>
      <c r="L615" s="142">
        <v>3.8</v>
      </c>
      <c r="M615" s="172"/>
      <c r="N615" s="173"/>
      <c r="O615" s="174"/>
      <c r="P615" s="175"/>
      <c r="Q615" s="182" t="s">
        <v>100</v>
      </c>
      <c r="R615" s="182" t="s">
        <v>29</v>
      </c>
      <c r="S615" s="175"/>
      <c r="T615" s="173" t="s">
        <v>30</v>
      </c>
      <c r="U615" s="62"/>
      <c r="V615" s="177" t="s">
        <v>1870</v>
      </c>
      <c r="W615" s="177" t="s">
        <v>1871</v>
      </c>
      <c r="X615" s="177">
        <v>30184.22900000001</v>
      </c>
      <c r="Y615" s="177">
        <v>4619.0099999999975</v>
      </c>
      <c r="Z615" s="178"/>
      <c r="AA615" s="297" t="s">
        <v>1869</v>
      </c>
      <c r="AB615" s="21" t="s">
        <v>2</v>
      </c>
      <c r="AH615" s="63">
        <v>1</v>
      </c>
      <c r="AO615" s="10" t="s">
        <v>3</v>
      </c>
      <c r="AP615" s="297" t="s">
        <v>1872</v>
      </c>
      <c r="AQ615" s="178"/>
      <c r="AR615" s="177">
        <v>4617.6100000000006</v>
      </c>
      <c r="AS615" s="222">
        <f>AS613-AQ614</f>
        <v>30643.438999999995</v>
      </c>
      <c r="AT615" s="177" t="s">
        <v>1873</v>
      </c>
      <c r="AU615" s="177" t="s">
        <v>1874</v>
      </c>
      <c r="AV615" s="62"/>
      <c r="AW615" s="173" t="s">
        <v>30</v>
      </c>
      <c r="AX615" s="175"/>
      <c r="AY615" s="182" t="s">
        <v>29</v>
      </c>
      <c r="AZ615" s="182" t="s">
        <v>100</v>
      </c>
      <c r="BA615" s="175"/>
      <c r="BB615" s="180"/>
      <c r="BC615" s="172"/>
      <c r="BD615" s="172"/>
      <c r="BE615" s="142">
        <v>3.8</v>
      </c>
      <c r="BF615" s="171"/>
      <c r="BG615" s="183" t="s">
        <v>127</v>
      </c>
      <c r="BH615" s="57"/>
      <c r="BI615" s="170"/>
      <c r="BJ615" s="169"/>
      <c r="BK615" s="181"/>
      <c r="BL615" s="36">
        <f>VLOOKUP($AP615,'[1]V1 V2'!$B$5:$BW$1894,74,0)</f>
        <v>0</v>
      </c>
      <c r="BM615" s="36" t="str">
        <f>IF('[1]V1 V2'!X614="","",'[1]V1 V2'!X614)</f>
        <v/>
      </c>
    </row>
    <row r="616" spans="1:65" ht="16" thickBot="1" x14ac:dyDescent="0.4">
      <c r="A616">
        <v>1</v>
      </c>
      <c r="B616" s="304"/>
      <c r="C616" s="305"/>
      <c r="D616" s="306"/>
      <c r="E616" s="36"/>
      <c r="F616" s="168"/>
      <c r="G616" s="169"/>
      <c r="H616" s="170"/>
      <c r="I616" s="57"/>
      <c r="J616" s="56"/>
      <c r="K616" s="171"/>
      <c r="L616" s="142"/>
      <c r="M616" s="172"/>
      <c r="N616" s="173"/>
      <c r="O616" s="174"/>
      <c r="P616" s="175"/>
      <c r="Q616" s="182"/>
      <c r="R616" s="182"/>
      <c r="S616" s="175"/>
      <c r="T616" s="173"/>
      <c r="U616" s="62"/>
      <c r="V616" s="177" t="s">
        <v>89</v>
      </c>
      <c r="W616" s="177" t="s">
        <v>89</v>
      </c>
      <c r="X616" s="230"/>
      <c r="Y616" s="177"/>
      <c r="Z616" s="178">
        <v>12</v>
      </c>
      <c r="AA616" s="297"/>
      <c r="AB616" s="21" t="s">
        <v>2</v>
      </c>
      <c r="AH616" s="63">
        <v>1</v>
      </c>
      <c r="AO616" s="10" t="s">
        <v>3</v>
      </c>
      <c r="AP616" s="297"/>
      <c r="AQ616" s="178">
        <v>12</v>
      </c>
      <c r="AR616" s="177"/>
      <c r="AS616" s="222"/>
      <c r="AT616" s="177" t="s">
        <v>89</v>
      </c>
      <c r="AU616" s="177" t="s">
        <v>89</v>
      </c>
      <c r="AV616" s="62"/>
      <c r="AW616" s="173"/>
      <c r="AX616" s="175"/>
      <c r="AY616" s="182"/>
      <c r="AZ616" s="182"/>
      <c r="BA616" s="175"/>
      <c r="BB616" s="180"/>
      <c r="BC616" s="172"/>
      <c r="BD616" s="172"/>
      <c r="BE616" s="142"/>
      <c r="BF616" s="171"/>
      <c r="BG616" s="56"/>
      <c r="BH616" s="57"/>
      <c r="BI616" s="170"/>
      <c r="BJ616" s="169"/>
      <c r="BK616" s="181"/>
      <c r="BL616" s="36"/>
      <c r="BM616" s="36" t="str">
        <f>IF('[1]V1 V2'!X615="","",'[1]V1 V2'!X615)</f>
        <v/>
      </c>
    </row>
    <row r="617" spans="1:65" ht="16" thickBot="1" x14ac:dyDescent="0.4">
      <c r="A617">
        <v>1</v>
      </c>
      <c r="B617" s="304" t="s">
        <v>1875</v>
      </c>
      <c r="C617" s="305"/>
      <c r="D617" s="306"/>
      <c r="E617" s="36">
        <f>VLOOKUP($B617,'[1]V1 V2'!$B$5:$BW$1894,74,0)</f>
        <v>0</v>
      </c>
      <c r="F617" s="168"/>
      <c r="G617" s="169"/>
      <c r="H617" s="170"/>
      <c r="I617" s="57"/>
      <c r="J617" s="56" t="s">
        <v>120</v>
      </c>
      <c r="K617" s="171"/>
      <c r="L617" s="142">
        <v>3.8</v>
      </c>
      <c r="M617" s="172"/>
      <c r="N617" s="173"/>
      <c r="O617" s="174"/>
      <c r="P617" s="175"/>
      <c r="Q617" s="182" t="s">
        <v>100</v>
      </c>
      <c r="R617" s="182" t="s">
        <v>29</v>
      </c>
      <c r="S617" s="175"/>
      <c r="T617" s="173" t="s">
        <v>30</v>
      </c>
      <c r="U617" s="62"/>
      <c r="V617" s="177" t="s">
        <v>1876</v>
      </c>
      <c r="W617" s="177" t="s">
        <v>1877</v>
      </c>
      <c r="X617" s="177">
        <v>30172.22900000001</v>
      </c>
      <c r="Y617" s="177">
        <v>4631.0099999999975</v>
      </c>
      <c r="Z617" s="178"/>
      <c r="AA617" s="297" t="s">
        <v>1875</v>
      </c>
      <c r="AB617" s="21" t="s">
        <v>2</v>
      </c>
      <c r="AH617" s="63">
        <v>1</v>
      </c>
      <c r="AO617" s="10" t="s">
        <v>3</v>
      </c>
      <c r="AP617" s="297" t="s">
        <v>1878</v>
      </c>
      <c r="AQ617" s="178"/>
      <c r="AR617" s="177">
        <v>4629.6100000000006</v>
      </c>
      <c r="AS617" s="222">
        <f>AS615-AQ616</f>
        <v>30631.438999999995</v>
      </c>
      <c r="AT617" s="177" t="s">
        <v>1879</v>
      </c>
      <c r="AU617" s="177" t="s">
        <v>1880</v>
      </c>
      <c r="AV617" s="62"/>
      <c r="AW617" s="173" t="s">
        <v>30</v>
      </c>
      <c r="AX617" s="175"/>
      <c r="AY617" s="182" t="s">
        <v>29</v>
      </c>
      <c r="AZ617" s="182" t="s">
        <v>100</v>
      </c>
      <c r="BA617" s="175"/>
      <c r="BB617" s="180"/>
      <c r="BC617" s="172"/>
      <c r="BD617" s="172"/>
      <c r="BE617" s="142">
        <v>3.8</v>
      </c>
      <c r="BF617" s="171"/>
      <c r="BG617" s="183" t="s">
        <v>120</v>
      </c>
      <c r="BH617" s="57"/>
      <c r="BI617" s="170"/>
      <c r="BJ617" s="169"/>
      <c r="BK617" s="181"/>
      <c r="BL617" s="36">
        <f>VLOOKUP($AP617,'[1]V1 V2'!$B$5:$BW$1894,74,0)</f>
        <v>0</v>
      </c>
      <c r="BM617" s="36" t="str">
        <f>IF('[1]V1 V2'!X616="","",'[1]V1 V2'!X616)</f>
        <v/>
      </c>
    </row>
    <row r="618" spans="1:65" ht="16" thickBot="1" x14ac:dyDescent="0.4">
      <c r="A618">
        <v>1</v>
      </c>
      <c r="B618" s="304"/>
      <c r="C618" s="305"/>
      <c r="D618" s="306"/>
      <c r="E618" s="36"/>
      <c r="F618" s="168"/>
      <c r="G618" s="169"/>
      <c r="H618" s="170"/>
      <c r="I618" s="57"/>
      <c r="J618" s="56"/>
      <c r="K618" s="171"/>
      <c r="L618" s="142"/>
      <c r="M618" s="172"/>
      <c r="N618" s="173"/>
      <c r="O618" s="174"/>
      <c r="P618" s="175"/>
      <c r="Q618" s="182"/>
      <c r="R618" s="182"/>
      <c r="S618" s="175"/>
      <c r="T618" s="173"/>
      <c r="U618" s="62"/>
      <c r="V618" s="177" t="s">
        <v>89</v>
      </c>
      <c r="W618" s="177" t="s">
        <v>89</v>
      </c>
      <c r="X618" s="230"/>
      <c r="Y618" s="177"/>
      <c r="Z618" s="178">
        <v>12</v>
      </c>
      <c r="AA618" s="297"/>
      <c r="AB618" s="21" t="s">
        <v>2</v>
      </c>
      <c r="AH618" s="63">
        <v>1</v>
      </c>
      <c r="AO618" s="10" t="s">
        <v>3</v>
      </c>
      <c r="AP618" s="297"/>
      <c r="AQ618" s="178">
        <v>12</v>
      </c>
      <c r="AR618" s="177"/>
      <c r="AS618" s="222"/>
      <c r="AT618" s="177" t="s">
        <v>89</v>
      </c>
      <c r="AU618" s="177" t="s">
        <v>89</v>
      </c>
      <c r="AV618" s="62"/>
      <c r="AW618" s="173"/>
      <c r="AX618" s="175"/>
      <c r="AY618" s="182"/>
      <c r="AZ618" s="182"/>
      <c r="BA618" s="175"/>
      <c r="BB618" s="180"/>
      <c r="BC618" s="172"/>
      <c r="BD618" s="172"/>
      <c r="BE618" s="142"/>
      <c r="BF618" s="171"/>
      <c r="BG618" s="56"/>
      <c r="BH618" s="57"/>
      <c r="BI618" s="170"/>
      <c r="BJ618" s="169"/>
      <c r="BK618" s="181"/>
      <c r="BL618" s="36"/>
      <c r="BM618" s="36" t="str">
        <f>IF('[1]V1 V2'!X617="","",'[1]V1 V2'!X617)</f>
        <v/>
      </c>
    </row>
    <row r="619" spans="1:65" ht="16" thickBot="1" x14ac:dyDescent="0.4">
      <c r="A619">
        <v>1</v>
      </c>
      <c r="B619" s="304" t="s">
        <v>1881</v>
      </c>
      <c r="C619" s="305"/>
      <c r="D619" s="306"/>
      <c r="E619" s="36">
        <f>VLOOKUP($B619,'[1]V1 V2'!$B$5:$BW$1894,74,0)</f>
        <v>0</v>
      </c>
      <c r="F619" s="168"/>
      <c r="G619" s="169"/>
      <c r="H619" s="170"/>
      <c r="I619" s="57"/>
      <c r="J619" s="56" t="s">
        <v>113</v>
      </c>
      <c r="K619" s="171"/>
      <c r="L619" s="142">
        <v>3.8</v>
      </c>
      <c r="M619" s="172"/>
      <c r="N619" s="173"/>
      <c r="O619" s="174"/>
      <c r="P619" s="175"/>
      <c r="Q619" s="182" t="s">
        <v>100</v>
      </c>
      <c r="R619" s="182" t="s">
        <v>29</v>
      </c>
      <c r="S619" s="175"/>
      <c r="T619" s="173" t="s">
        <v>30</v>
      </c>
      <c r="U619" s="62"/>
      <c r="V619" s="177" t="s">
        <v>1882</v>
      </c>
      <c r="W619" s="177" t="s">
        <v>1883</v>
      </c>
      <c r="X619" s="177">
        <v>30160.22900000001</v>
      </c>
      <c r="Y619" s="177">
        <v>4643.0099999999975</v>
      </c>
      <c r="Z619" s="178"/>
      <c r="AA619" s="297" t="s">
        <v>1881</v>
      </c>
      <c r="AB619" s="21" t="s">
        <v>2</v>
      </c>
      <c r="AH619" s="63">
        <v>1</v>
      </c>
      <c r="AO619" s="10" t="s">
        <v>3</v>
      </c>
      <c r="AP619" s="297" t="s">
        <v>1884</v>
      </c>
      <c r="AQ619" s="178"/>
      <c r="AR619" s="177">
        <v>4641.6100000000006</v>
      </c>
      <c r="AS619" s="222">
        <f>AS617-AQ618</f>
        <v>30619.438999999995</v>
      </c>
      <c r="AT619" s="177" t="s">
        <v>1885</v>
      </c>
      <c r="AU619" s="177" t="s">
        <v>1886</v>
      </c>
      <c r="AV619" s="62"/>
      <c r="AW619" s="173" t="s">
        <v>30</v>
      </c>
      <c r="AX619" s="175"/>
      <c r="AY619" s="182" t="s">
        <v>29</v>
      </c>
      <c r="AZ619" s="182" t="s">
        <v>100</v>
      </c>
      <c r="BA619" s="175"/>
      <c r="BB619" s="180"/>
      <c r="BC619" s="172"/>
      <c r="BD619" s="172"/>
      <c r="BE619" s="142">
        <v>3.8</v>
      </c>
      <c r="BF619" s="171"/>
      <c r="BG619" s="183" t="s">
        <v>113</v>
      </c>
      <c r="BH619" s="57"/>
      <c r="BI619" s="170"/>
      <c r="BJ619" s="169"/>
      <c r="BK619" s="181"/>
      <c r="BL619" s="36">
        <f>VLOOKUP($AP619,'[1]V1 V2'!$B$5:$BW$1894,74,0)</f>
        <v>0</v>
      </c>
      <c r="BM619" s="36" t="str">
        <f>IF('[1]V1 V2'!X618="","",'[1]V1 V2'!X618)</f>
        <v/>
      </c>
    </row>
    <row r="620" spans="1:65" ht="16" thickBot="1" x14ac:dyDescent="0.4">
      <c r="A620">
        <v>1</v>
      </c>
      <c r="B620" s="304"/>
      <c r="C620" s="305"/>
      <c r="D620" s="306"/>
      <c r="E620" s="36"/>
      <c r="F620" s="168"/>
      <c r="G620" s="169"/>
      <c r="H620" s="170"/>
      <c r="I620" s="57"/>
      <c r="J620" s="56"/>
      <c r="K620" s="171"/>
      <c r="L620" s="142"/>
      <c r="M620" s="172"/>
      <c r="N620" s="173"/>
      <c r="O620" s="174"/>
      <c r="P620" s="175"/>
      <c r="Q620" s="182"/>
      <c r="R620" s="182"/>
      <c r="S620" s="175"/>
      <c r="T620" s="173"/>
      <c r="U620" s="62"/>
      <c r="V620" s="177" t="s">
        <v>89</v>
      </c>
      <c r="W620" s="177" t="s">
        <v>89</v>
      </c>
      <c r="X620" s="230"/>
      <c r="Y620" s="177"/>
      <c r="Z620" s="178">
        <v>12</v>
      </c>
      <c r="AA620" s="297"/>
      <c r="AB620" s="21" t="s">
        <v>2</v>
      </c>
      <c r="AC620" s="163"/>
      <c r="AD620" s="163"/>
      <c r="AE620" s="163"/>
      <c r="AF620" s="163"/>
      <c r="AG620" s="163"/>
      <c r="AH620" s="164">
        <v>1</v>
      </c>
      <c r="AI620" s="163"/>
      <c r="AJ620" s="163"/>
      <c r="AK620" s="163"/>
      <c r="AL620" s="163"/>
      <c r="AM620" s="163"/>
      <c r="AN620" s="163"/>
      <c r="AO620" s="10" t="s">
        <v>3</v>
      </c>
      <c r="AP620" s="297"/>
      <c r="AQ620" s="178">
        <v>12</v>
      </c>
      <c r="AR620" s="177"/>
      <c r="AS620" s="222"/>
      <c r="AT620" s="177" t="s">
        <v>89</v>
      </c>
      <c r="AU620" s="177" t="s">
        <v>89</v>
      </c>
      <c r="AV620" s="62"/>
      <c r="AW620" s="173"/>
      <c r="AX620" s="175"/>
      <c r="AY620" s="182"/>
      <c r="AZ620" s="182"/>
      <c r="BA620" s="175"/>
      <c r="BB620" s="180"/>
      <c r="BC620" s="172"/>
      <c r="BD620" s="172"/>
      <c r="BE620" s="142"/>
      <c r="BF620" s="171"/>
      <c r="BG620" s="56"/>
      <c r="BH620" s="57"/>
      <c r="BI620" s="170"/>
      <c r="BJ620" s="169"/>
      <c r="BK620" s="181"/>
      <c r="BL620" s="36"/>
      <c r="BM620" s="36" t="str">
        <f>IF('[1]V1 V2'!X619="","",'[1]V1 V2'!X619)</f>
        <v/>
      </c>
    </row>
    <row r="621" spans="1:65" ht="16" thickBot="1" x14ac:dyDescent="0.4">
      <c r="A621">
        <v>1</v>
      </c>
      <c r="B621" s="304" t="s">
        <v>1887</v>
      </c>
      <c r="C621" s="305"/>
      <c r="D621" s="306"/>
      <c r="E621" s="36">
        <f>VLOOKUP($B621,'[1]V1 V2'!$B$5:$BW$1894,74,0)</f>
        <v>0</v>
      </c>
      <c r="F621" s="168"/>
      <c r="G621" s="169"/>
      <c r="H621" s="170"/>
      <c r="I621" s="57"/>
      <c r="J621" s="56">
        <v>-4</v>
      </c>
      <c r="K621" s="171"/>
      <c r="L621" s="142">
        <v>3.8</v>
      </c>
      <c r="M621" s="172"/>
      <c r="N621" s="173"/>
      <c r="O621" s="174"/>
      <c r="P621" s="175"/>
      <c r="Q621" s="182" t="s">
        <v>100</v>
      </c>
      <c r="R621" s="182" t="s">
        <v>29</v>
      </c>
      <c r="S621" s="175"/>
      <c r="T621" s="173" t="s">
        <v>30</v>
      </c>
      <c r="U621" s="62"/>
      <c r="V621" s="177" t="s">
        <v>1888</v>
      </c>
      <c r="W621" s="177" t="s">
        <v>1889</v>
      </c>
      <c r="X621" s="177">
        <v>30148.22900000001</v>
      </c>
      <c r="Y621" s="177">
        <v>4655.0099999999975</v>
      </c>
      <c r="Z621" s="178"/>
      <c r="AA621" s="297" t="s">
        <v>1887</v>
      </c>
      <c r="AB621" s="21" t="s">
        <v>2</v>
      </c>
      <c r="AC621" s="113"/>
      <c r="AD621" s="113"/>
      <c r="AE621" s="113"/>
      <c r="AF621" s="113"/>
      <c r="AG621" s="113"/>
      <c r="AH621" s="166">
        <f>Y620</f>
        <v>0</v>
      </c>
      <c r="AI621" s="113"/>
      <c r="AJ621" s="113"/>
      <c r="AK621" s="113"/>
      <c r="AL621" s="113"/>
      <c r="AM621" s="113"/>
      <c r="AN621" s="113"/>
      <c r="AO621" s="10" t="s">
        <v>3</v>
      </c>
      <c r="AP621" s="297" t="s">
        <v>1890</v>
      </c>
      <c r="AQ621" s="178"/>
      <c r="AR621" s="177">
        <v>4653.6100000000006</v>
      </c>
      <c r="AS621" s="222">
        <f>AS619-AQ620</f>
        <v>30607.438999999995</v>
      </c>
      <c r="AT621" s="177" t="s">
        <v>1891</v>
      </c>
      <c r="AU621" s="177" t="s">
        <v>1892</v>
      </c>
      <c r="AV621" s="62"/>
      <c r="AW621" s="173" t="s">
        <v>30</v>
      </c>
      <c r="AX621" s="175"/>
      <c r="AY621" s="182" t="s">
        <v>29</v>
      </c>
      <c r="AZ621" s="182" t="s">
        <v>100</v>
      </c>
      <c r="BA621" s="175"/>
      <c r="BB621" s="180"/>
      <c r="BC621" s="172"/>
      <c r="BD621" s="172"/>
      <c r="BE621" s="142">
        <v>3.8</v>
      </c>
      <c r="BF621" s="171"/>
      <c r="BG621" s="56">
        <v>-4</v>
      </c>
      <c r="BH621" s="57"/>
      <c r="BI621" s="170"/>
      <c r="BJ621" s="169"/>
      <c r="BK621" s="181"/>
      <c r="BL621" s="36">
        <f>VLOOKUP($AP621,'[1]V1 V2'!$B$5:$BW$1894,74,0)</f>
        <v>0</v>
      </c>
      <c r="BM621" s="36" t="str">
        <f>IF('[1]V1 V2'!X620="","",'[1]V1 V2'!X620)</f>
        <v/>
      </c>
    </row>
    <row r="622" spans="1:65" ht="16" thickBot="1" x14ac:dyDescent="0.4">
      <c r="A622">
        <v>1</v>
      </c>
      <c r="B622" s="304"/>
      <c r="C622" s="305"/>
      <c r="D622" s="306"/>
      <c r="E622" s="36"/>
      <c r="F622" s="168"/>
      <c r="G622" s="169"/>
      <c r="H622" s="170"/>
      <c r="I622" s="57"/>
      <c r="J622" s="56"/>
      <c r="K622" s="171"/>
      <c r="L622" s="142"/>
      <c r="M622" s="172"/>
      <c r="N622" s="173"/>
      <c r="O622" s="174"/>
      <c r="P622" s="175"/>
      <c r="Q622" s="182"/>
      <c r="R622" s="182"/>
      <c r="S622" s="175"/>
      <c r="T622" s="173"/>
      <c r="U622" s="62"/>
      <c r="V622" s="177" t="s">
        <v>89</v>
      </c>
      <c r="W622" s="177" t="s">
        <v>89</v>
      </c>
      <c r="X622" s="230"/>
      <c r="Y622" s="177"/>
      <c r="Z622" s="178">
        <v>12</v>
      </c>
      <c r="AA622" s="297"/>
      <c r="AB622" s="21" t="s">
        <v>2</v>
      </c>
      <c r="AH622" s="63">
        <v>1</v>
      </c>
      <c r="AO622" s="10" t="s">
        <v>3</v>
      </c>
      <c r="AP622" s="297"/>
      <c r="AQ622" s="178">
        <v>12</v>
      </c>
      <c r="AR622" s="177"/>
      <c r="AS622" s="222"/>
      <c r="AT622" s="177" t="s">
        <v>89</v>
      </c>
      <c r="AU622" s="177" t="s">
        <v>89</v>
      </c>
      <c r="AV622" s="62"/>
      <c r="AW622" s="173"/>
      <c r="AX622" s="175"/>
      <c r="AY622" s="182"/>
      <c r="AZ622" s="182"/>
      <c r="BA622" s="175"/>
      <c r="BB622" s="180"/>
      <c r="BC622" s="172"/>
      <c r="BD622" s="172"/>
      <c r="BE622" s="142"/>
      <c r="BF622" s="171"/>
      <c r="BG622" s="56"/>
      <c r="BH622" s="57"/>
      <c r="BI622" s="170"/>
      <c r="BJ622" s="169"/>
      <c r="BK622" s="181"/>
      <c r="BL622" s="36"/>
      <c r="BM622" s="36" t="str">
        <f>IF('[1]V1 V2'!X621="","",'[1]V1 V2'!X621)</f>
        <v/>
      </c>
    </row>
    <row r="623" spans="1:65" ht="16" thickBot="1" x14ac:dyDescent="0.4">
      <c r="A623">
        <v>1</v>
      </c>
      <c r="B623" s="304" t="s">
        <v>1893</v>
      </c>
      <c r="C623" s="305"/>
      <c r="D623" s="306"/>
      <c r="E623" s="36">
        <f>VLOOKUP($B623,'[1]V1 V2'!$B$5:$BW$1894,74,0)</f>
        <v>0</v>
      </c>
      <c r="F623" s="168"/>
      <c r="G623" s="169"/>
      <c r="H623" s="170"/>
      <c r="I623" s="57"/>
      <c r="J623" s="56">
        <v>-12</v>
      </c>
      <c r="K623" s="171"/>
      <c r="L623" s="142">
        <v>3.8</v>
      </c>
      <c r="M623" s="172"/>
      <c r="N623" s="173"/>
      <c r="O623" s="174"/>
      <c r="P623" s="175"/>
      <c r="Q623" s="182" t="s">
        <v>100</v>
      </c>
      <c r="R623" s="182" t="s">
        <v>29</v>
      </c>
      <c r="S623" s="175"/>
      <c r="T623" s="173" t="s">
        <v>30</v>
      </c>
      <c r="U623" s="62"/>
      <c r="V623" s="177" t="s">
        <v>1894</v>
      </c>
      <c r="W623" s="177" t="s">
        <v>1895</v>
      </c>
      <c r="X623" s="177">
        <v>30136.22900000001</v>
      </c>
      <c r="Y623" s="177">
        <v>4667.0099999999975</v>
      </c>
      <c r="Z623" s="178"/>
      <c r="AA623" s="297" t="s">
        <v>1893</v>
      </c>
      <c r="AB623" s="21" t="s">
        <v>2</v>
      </c>
      <c r="AH623" s="63">
        <v>1</v>
      </c>
      <c r="AO623" s="10" t="s">
        <v>3</v>
      </c>
      <c r="AP623" s="297" t="s">
        <v>1896</v>
      </c>
      <c r="AQ623" s="178"/>
      <c r="AR623" s="177">
        <v>4665.6100000000006</v>
      </c>
      <c r="AS623" s="222">
        <f>AS621-AQ622</f>
        <v>30595.438999999995</v>
      </c>
      <c r="AT623" s="177" t="s">
        <v>1897</v>
      </c>
      <c r="AU623" s="177" t="s">
        <v>1898</v>
      </c>
      <c r="AV623" s="62"/>
      <c r="AW623" s="173" t="s">
        <v>30</v>
      </c>
      <c r="AX623" s="175"/>
      <c r="AY623" s="182" t="s">
        <v>29</v>
      </c>
      <c r="AZ623" s="182" t="s">
        <v>100</v>
      </c>
      <c r="BA623" s="175"/>
      <c r="BB623" s="180"/>
      <c r="BC623" s="172"/>
      <c r="BD623" s="172"/>
      <c r="BE623" s="142">
        <v>3.8</v>
      </c>
      <c r="BF623" s="171"/>
      <c r="BG623" s="56">
        <v>-12</v>
      </c>
      <c r="BH623" s="57"/>
      <c r="BI623" s="170"/>
      <c r="BJ623" s="169"/>
      <c r="BK623" s="181"/>
      <c r="BL623" s="36">
        <f>VLOOKUP($AP623,'[1]V1 V2'!$B$5:$BW$1894,74,0)</f>
        <v>0</v>
      </c>
      <c r="BM623" s="36" t="str">
        <f>IF('[1]V1 V2'!X622="","",'[1]V1 V2'!X622)</f>
        <v/>
      </c>
    </row>
    <row r="624" spans="1:65" ht="16" thickBot="1" x14ac:dyDescent="0.4">
      <c r="A624">
        <v>1</v>
      </c>
      <c r="B624" s="304"/>
      <c r="C624" s="305"/>
      <c r="D624" s="306"/>
      <c r="E624" s="36"/>
      <c r="F624" s="168"/>
      <c r="G624" s="169"/>
      <c r="H624" s="170"/>
      <c r="I624" s="57"/>
      <c r="J624" s="56"/>
      <c r="K624" s="171"/>
      <c r="L624" s="142"/>
      <c r="M624" s="172"/>
      <c r="N624" s="173"/>
      <c r="O624" s="174"/>
      <c r="P624" s="175"/>
      <c r="Q624" s="182"/>
      <c r="R624" s="182"/>
      <c r="S624" s="175"/>
      <c r="T624" s="173"/>
      <c r="U624" s="62"/>
      <c r="V624" s="177" t="s">
        <v>89</v>
      </c>
      <c r="W624" s="177" t="s">
        <v>89</v>
      </c>
      <c r="X624" s="230"/>
      <c r="Y624" s="177"/>
      <c r="Z624" s="178">
        <v>12</v>
      </c>
      <c r="AA624" s="297"/>
      <c r="AB624" s="21" t="s">
        <v>2</v>
      </c>
      <c r="AH624" s="63">
        <v>1</v>
      </c>
      <c r="AO624" s="10" t="s">
        <v>3</v>
      </c>
      <c r="AP624" s="297"/>
      <c r="AQ624" s="178">
        <v>12</v>
      </c>
      <c r="AR624" s="177"/>
      <c r="AS624" s="222"/>
      <c r="AT624" s="177" t="s">
        <v>89</v>
      </c>
      <c r="AU624" s="177" t="s">
        <v>89</v>
      </c>
      <c r="AV624" s="62"/>
      <c r="AW624" s="173"/>
      <c r="AX624" s="175"/>
      <c r="AY624" s="182"/>
      <c r="AZ624" s="182"/>
      <c r="BA624" s="175"/>
      <c r="BB624" s="180"/>
      <c r="BC624" s="172"/>
      <c r="BD624" s="172"/>
      <c r="BE624" s="142"/>
      <c r="BF624" s="171"/>
      <c r="BG624" s="56"/>
      <c r="BH624" s="57"/>
      <c r="BI624" s="170"/>
      <c r="BJ624" s="169"/>
      <c r="BK624" s="181"/>
      <c r="BL624" s="36"/>
      <c r="BM624" s="36" t="str">
        <f>IF('[1]V1 V2'!X623="","",'[1]V1 V2'!X623)</f>
        <v/>
      </c>
    </row>
    <row r="625" spans="1:65" ht="16" thickBot="1" x14ac:dyDescent="0.4">
      <c r="A625">
        <v>1</v>
      </c>
      <c r="B625" s="304" t="s">
        <v>1899</v>
      </c>
      <c r="C625" s="305"/>
      <c r="D625" s="306"/>
      <c r="E625" s="36">
        <f>VLOOKUP($B625,'[1]V1 V2'!$B$5:$BW$1894,74,0)</f>
        <v>0</v>
      </c>
      <c r="F625" s="168"/>
      <c r="G625" s="169"/>
      <c r="H625" s="170"/>
      <c r="I625" s="57"/>
      <c r="J625" s="56">
        <v>-20</v>
      </c>
      <c r="K625" s="171"/>
      <c r="L625" s="142">
        <v>3.8</v>
      </c>
      <c r="M625" s="172"/>
      <c r="N625" s="173"/>
      <c r="O625" s="174"/>
      <c r="P625" s="175"/>
      <c r="Q625" s="182" t="s">
        <v>100</v>
      </c>
      <c r="R625" s="182" t="s">
        <v>29</v>
      </c>
      <c r="S625" s="175"/>
      <c r="T625" s="173" t="s">
        <v>30</v>
      </c>
      <c r="U625" s="62"/>
      <c r="V625" s="177" t="s">
        <v>1900</v>
      </c>
      <c r="W625" s="177" t="s">
        <v>1901</v>
      </c>
      <c r="X625" s="177">
        <v>30124.22900000001</v>
      </c>
      <c r="Y625" s="177">
        <v>4679.0099999999975</v>
      </c>
      <c r="Z625" s="178"/>
      <c r="AA625" s="297" t="s">
        <v>1899</v>
      </c>
      <c r="AB625" s="21" t="s">
        <v>2</v>
      </c>
      <c r="AH625" s="63">
        <v>1</v>
      </c>
      <c r="AO625" s="10" t="s">
        <v>3</v>
      </c>
      <c r="AP625" s="297" t="s">
        <v>1902</v>
      </c>
      <c r="AQ625" s="178"/>
      <c r="AR625" s="177">
        <v>4677.6100000000006</v>
      </c>
      <c r="AS625" s="222">
        <f>AS623-AQ624</f>
        <v>30583.438999999995</v>
      </c>
      <c r="AT625" s="177" t="s">
        <v>1903</v>
      </c>
      <c r="AU625" s="177" t="s">
        <v>1904</v>
      </c>
      <c r="AV625" s="62"/>
      <c r="AW625" s="173" t="s">
        <v>30</v>
      </c>
      <c r="AX625" s="175"/>
      <c r="AY625" s="182" t="s">
        <v>29</v>
      </c>
      <c r="AZ625" s="182" t="s">
        <v>100</v>
      </c>
      <c r="BA625" s="175"/>
      <c r="BB625" s="180"/>
      <c r="BC625" s="172"/>
      <c r="BD625" s="172"/>
      <c r="BE625" s="142">
        <v>3.8</v>
      </c>
      <c r="BF625" s="171"/>
      <c r="BG625" s="56">
        <v>-20</v>
      </c>
      <c r="BH625" s="57"/>
      <c r="BI625" s="170"/>
      <c r="BJ625" s="169"/>
      <c r="BK625" s="181"/>
      <c r="BL625" s="36">
        <f>VLOOKUP($AP625,'[1]V1 V2'!$B$5:$BW$1894,74,0)</f>
        <v>0</v>
      </c>
      <c r="BM625" s="36" t="str">
        <f>IF('[1]V1 V2'!X624="","",'[1]V1 V2'!X624)</f>
        <v/>
      </c>
    </row>
    <row r="626" spans="1:65" ht="16" thickBot="1" x14ac:dyDescent="0.4">
      <c r="A626">
        <v>1</v>
      </c>
      <c r="B626" s="304"/>
      <c r="C626" s="305"/>
      <c r="D626" s="306"/>
      <c r="E626" s="36"/>
      <c r="F626" s="168"/>
      <c r="G626" s="169"/>
      <c r="H626" s="170"/>
      <c r="I626" s="57"/>
      <c r="J626" s="56"/>
      <c r="K626" s="171"/>
      <c r="L626" s="142"/>
      <c r="M626" s="172"/>
      <c r="N626" s="173"/>
      <c r="O626" s="174"/>
      <c r="P626" s="175"/>
      <c r="Q626" s="182"/>
      <c r="R626" s="182"/>
      <c r="S626" s="175"/>
      <c r="T626" s="173"/>
      <c r="U626" s="62"/>
      <c r="V626" s="177" t="s">
        <v>89</v>
      </c>
      <c r="W626" s="177" t="s">
        <v>89</v>
      </c>
      <c r="X626" s="230"/>
      <c r="Y626" s="177"/>
      <c r="Z626" s="178">
        <v>12</v>
      </c>
      <c r="AA626" s="297"/>
      <c r="AB626" s="21" t="s">
        <v>2</v>
      </c>
      <c r="AH626" s="63">
        <v>1</v>
      </c>
      <c r="AO626" s="10" t="s">
        <v>3</v>
      </c>
      <c r="AP626" s="297"/>
      <c r="AQ626" s="178">
        <v>12</v>
      </c>
      <c r="AR626" s="177"/>
      <c r="AS626" s="222"/>
      <c r="AT626" s="177" t="s">
        <v>89</v>
      </c>
      <c r="AU626" s="177" t="s">
        <v>89</v>
      </c>
      <c r="AV626" s="62"/>
      <c r="AW626" s="173"/>
      <c r="AX626" s="175"/>
      <c r="AY626" s="182"/>
      <c r="AZ626" s="182"/>
      <c r="BA626" s="175"/>
      <c r="BB626" s="180"/>
      <c r="BC626" s="172"/>
      <c r="BD626" s="172"/>
      <c r="BE626" s="142"/>
      <c r="BF626" s="171"/>
      <c r="BG626" s="56"/>
      <c r="BH626" s="57"/>
      <c r="BI626" s="170"/>
      <c r="BJ626" s="169"/>
      <c r="BK626" s="181"/>
      <c r="BL626" s="36"/>
      <c r="BM626" s="36" t="str">
        <f>IF('[1]V1 V2'!X625="","",'[1]V1 V2'!X625)</f>
        <v/>
      </c>
    </row>
    <row r="627" spans="1:65" ht="16" thickBot="1" x14ac:dyDescent="0.4">
      <c r="A627">
        <v>1</v>
      </c>
      <c r="B627" s="304" t="s">
        <v>1905</v>
      </c>
      <c r="C627" s="305"/>
      <c r="D627" s="306"/>
      <c r="E627" s="36">
        <f>VLOOKUP($B627,'[1]V1 V2'!$B$5:$BW$1894,74,0)</f>
        <v>0</v>
      </c>
      <c r="F627" s="168"/>
      <c r="G627" s="169"/>
      <c r="H627" s="170"/>
      <c r="I627" s="57"/>
      <c r="J627" s="56">
        <v>-12</v>
      </c>
      <c r="K627" s="171"/>
      <c r="L627" s="142">
        <v>3.8</v>
      </c>
      <c r="M627" s="172"/>
      <c r="N627" s="173"/>
      <c r="O627" s="174"/>
      <c r="P627" s="175"/>
      <c r="Q627" s="182" t="s">
        <v>100</v>
      </c>
      <c r="R627" s="182" t="s">
        <v>29</v>
      </c>
      <c r="S627" s="175"/>
      <c r="T627" s="173" t="s">
        <v>30</v>
      </c>
      <c r="U627" s="62"/>
      <c r="V627" s="177" t="s">
        <v>1906</v>
      </c>
      <c r="W627" s="177" t="s">
        <v>1907</v>
      </c>
      <c r="X627" s="177">
        <v>30112.22900000001</v>
      </c>
      <c r="Y627" s="177">
        <v>4691.0099999999975</v>
      </c>
      <c r="Z627" s="178"/>
      <c r="AA627" s="297" t="s">
        <v>1905</v>
      </c>
      <c r="AB627" s="21" t="s">
        <v>2</v>
      </c>
      <c r="AH627" s="63">
        <v>1</v>
      </c>
      <c r="AO627" s="10" t="s">
        <v>3</v>
      </c>
      <c r="AP627" s="297" t="s">
        <v>1908</v>
      </c>
      <c r="AQ627" s="178"/>
      <c r="AR627" s="177">
        <v>4689.6100000000006</v>
      </c>
      <c r="AS627" s="222">
        <f>AS625-AQ626</f>
        <v>30571.438999999995</v>
      </c>
      <c r="AT627" s="177" t="s">
        <v>1909</v>
      </c>
      <c r="AU627" s="177" t="s">
        <v>1910</v>
      </c>
      <c r="AV627" s="62"/>
      <c r="AW627" s="173" t="s">
        <v>30</v>
      </c>
      <c r="AX627" s="175"/>
      <c r="AY627" s="182" t="s">
        <v>29</v>
      </c>
      <c r="AZ627" s="182" t="s">
        <v>100</v>
      </c>
      <c r="BA627" s="175"/>
      <c r="BB627" s="180"/>
      <c r="BC627" s="172"/>
      <c r="BD627" s="172"/>
      <c r="BE627" s="142">
        <v>3.8</v>
      </c>
      <c r="BF627" s="171"/>
      <c r="BG627" s="56">
        <v>-12</v>
      </c>
      <c r="BH627" s="57"/>
      <c r="BI627" s="170"/>
      <c r="BJ627" s="169"/>
      <c r="BK627" s="181"/>
      <c r="BL627" s="36">
        <f>VLOOKUP($AP627,'[1]V1 V2'!$B$5:$BW$1894,74,0)</f>
        <v>0</v>
      </c>
      <c r="BM627" s="36" t="str">
        <f>IF('[1]V1 V2'!X626="","",'[1]V1 V2'!X626)</f>
        <v/>
      </c>
    </row>
    <row r="628" spans="1:65" ht="16" thickBot="1" x14ac:dyDescent="0.4">
      <c r="A628">
        <v>1</v>
      </c>
      <c r="B628" s="304"/>
      <c r="C628" s="305"/>
      <c r="D628" s="306"/>
      <c r="E628" s="36"/>
      <c r="F628" s="168"/>
      <c r="G628" s="169"/>
      <c r="H628" s="170"/>
      <c r="I628" s="57"/>
      <c r="J628" s="56"/>
      <c r="K628" s="171"/>
      <c r="L628" s="142"/>
      <c r="M628" s="172"/>
      <c r="N628" s="173"/>
      <c r="O628" s="174"/>
      <c r="P628" s="175"/>
      <c r="Q628" s="182"/>
      <c r="R628" s="182"/>
      <c r="S628" s="175"/>
      <c r="T628" s="173"/>
      <c r="U628" s="62"/>
      <c r="V628" s="177" t="s">
        <v>89</v>
      </c>
      <c r="W628" s="177" t="s">
        <v>89</v>
      </c>
      <c r="X628" s="230"/>
      <c r="Y628" s="177"/>
      <c r="Z628" s="178">
        <v>12</v>
      </c>
      <c r="AA628" s="297"/>
      <c r="AB628" s="21" t="s">
        <v>2</v>
      </c>
      <c r="AH628" s="63">
        <v>1</v>
      </c>
      <c r="AO628" s="10" t="s">
        <v>3</v>
      </c>
      <c r="AP628" s="297"/>
      <c r="AQ628" s="178">
        <v>12</v>
      </c>
      <c r="AR628" s="177"/>
      <c r="AS628" s="222"/>
      <c r="AT628" s="177" t="s">
        <v>89</v>
      </c>
      <c r="AU628" s="177" t="s">
        <v>89</v>
      </c>
      <c r="AV628" s="62"/>
      <c r="AW628" s="173"/>
      <c r="AX628" s="175"/>
      <c r="AY628" s="182"/>
      <c r="AZ628" s="182"/>
      <c r="BA628" s="175"/>
      <c r="BB628" s="180"/>
      <c r="BC628" s="172"/>
      <c r="BD628" s="172"/>
      <c r="BE628" s="142"/>
      <c r="BF628" s="171"/>
      <c r="BG628" s="56"/>
      <c r="BH628" s="57"/>
      <c r="BI628" s="170"/>
      <c r="BJ628" s="169"/>
      <c r="BK628" s="181"/>
      <c r="BL628" s="36"/>
      <c r="BM628" s="36" t="str">
        <f>IF('[1]V1 V2'!X627="","",'[1]V1 V2'!X627)</f>
        <v/>
      </c>
    </row>
    <row r="629" spans="1:65" ht="16" thickBot="1" x14ac:dyDescent="0.4">
      <c r="A629">
        <v>1</v>
      </c>
      <c r="B629" s="304" t="s">
        <v>1911</v>
      </c>
      <c r="C629" s="305"/>
      <c r="D629" s="306"/>
      <c r="E629" s="36">
        <f>VLOOKUP($B629,'[1]V1 V2'!$B$5:$BW$1894,74,0)</f>
        <v>0</v>
      </c>
      <c r="F629" s="168"/>
      <c r="G629" s="169"/>
      <c r="H629" s="170"/>
      <c r="I629" s="57"/>
      <c r="J629" s="56">
        <v>-4</v>
      </c>
      <c r="K629" s="171"/>
      <c r="L629" s="142">
        <v>3.8</v>
      </c>
      <c r="M629" s="172"/>
      <c r="N629" s="173"/>
      <c r="O629" s="174"/>
      <c r="P629" s="175"/>
      <c r="Q629" s="182" t="s">
        <v>100</v>
      </c>
      <c r="R629" s="182" t="s">
        <v>29</v>
      </c>
      <c r="S629" s="175"/>
      <c r="T629" s="173" t="s">
        <v>30</v>
      </c>
      <c r="U629" s="62"/>
      <c r="V629" s="177" t="s">
        <v>1912</v>
      </c>
      <c r="W629" s="177" t="s">
        <v>1913</v>
      </c>
      <c r="X629" s="177">
        <v>30100.22900000001</v>
      </c>
      <c r="Y629" s="177">
        <v>4703.0099999999975</v>
      </c>
      <c r="Z629" s="178"/>
      <c r="AA629" s="297" t="s">
        <v>1911</v>
      </c>
      <c r="AB629" s="21" t="s">
        <v>2</v>
      </c>
      <c r="AH629" s="63">
        <v>1</v>
      </c>
      <c r="AO629" s="10" t="s">
        <v>3</v>
      </c>
      <c r="AP629" s="297" t="s">
        <v>1914</v>
      </c>
      <c r="AQ629" s="178"/>
      <c r="AR629" s="177">
        <v>4701.6100000000006</v>
      </c>
      <c r="AS629" s="222">
        <f>AS627-AQ628</f>
        <v>30559.438999999995</v>
      </c>
      <c r="AT629" s="177" t="s">
        <v>1915</v>
      </c>
      <c r="AU629" s="177" t="s">
        <v>1916</v>
      </c>
      <c r="AV629" s="62"/>
      <c r="AW629" s="173" t="s">
        <v>30</v>
      </c>
      <c r="AX629" s="175"/>
      <c r="AY629" s="182" t="s">
        <v>29</v>
      </c>
      <c r="AZ629" s="182" t="s">
        <v>100</v>
      </c>
      <c r="BA629" s="175"/>
      <c r="BB629" s="180"/>
      <c r="BC629" s="172"/>
      <c r="BD629" s="172"/>
      <c r="BE629" s="142">
        <v>3.8</v>
      </c>
      <c r="BF629" s="171"/>
      <c r="BG629" s="56">
        <v>-4</v>
      </c>
      <c r="BH629" s="57"/>
      <c r="BI629" s="170"/>
      <c r="BJ629" s="169"/>
      <c r="BK629" s="181"/>
      <c r="BL629" s="36">
        <f>VLOOKUP($AP629,'[1]V1 V2'!$B$5:$BW$1894,74,0)</f>
        <v>0</v>
      </c>
      <c r="BM629" s="36" t="str">
        <f>IF('[1]V1 V2'!X628="","",'[1]V1 V2'!X628)</f>
        <v/>
      </c>
    </row>
    <row r="630" spans="1:65" ht="16" thickBot="1" x14ac:dyDescent="0.4">
      <c r="A630">
        <v>1</v>
      </c>
      <c r="B630" s="304"/>
      <c r="C630" s="305"/>
      <c r="D630" s="306"/>
      <c r="E630" s="36"/>
      <c r="F630" s="168"/>
      <c r="G630" s="169"/>
      <c r="H630" s="170"/>
      <c r="I630" s="57"/>
      <c r="J630" s="56"/>
      <c r="K630" s="171"/>
      <c r="L630" s="142"/>
      <c r="M630" s="172"/>
      <c r="N630" s="173"/>
      <c r="O630" s="174"/>
      <c r="P630" s="175"/>
      <c r="Q630" s="182"/>
      <c r="R630" s="182"/>
      <c r="S630" s="175"/>
      <c r="T630" s="173"/>
      <c r="U630" s="62"/>
      <c r="V630" s="177" t="s">
        <v>89</v>
      </c>
      <c r="W630" s="177" t="s">
        <v>89</v>
      </c>
      <c r="X630" s="230"/>
      <c r="Y630" s="177"/>
      <c r="Z630" s="178">
        <v>12</v>
      </c>
      <c r="AA630" s="297"/>
      <c r="AB630" s="21" t="s">
        <v>2</v>
      </c>
      <c r="AH630" s="63">
        <v>1</v>
      </c>
      <c r="AO630" s="10" t="s">
        <v>3</v>
      </c>
      <c r="AP630" s="297"/>
      <c r="AQ630" s="178">
        <v>12</v>
      </c>
      <c r="AR630" s="177"/>
      <c r="AS630" s="222"/>
      <c r="AT630" s="177" t="s">
        <v>89</v>
      </c>
      <c r="AU630" s="177" t="s">
        <v>89</v>
      </c>
      <c r="AV630" s="62"/>
      <c r="AW630" s="173"/>
      <c r="AX630" s="175"/>
      <c r="AY630" s="182"/>
      <c r="AZ630" s="182"/>
      <c r="BA630" s="175"/>
      <c r="BB630" s="180"/>
      <c r="BC630" s="172"/>
      <c r="BD630" s="172"/>
      <c r="BE630" s="142"/>
      <c r="BF630" s="171"/>
      <c r="BG630" s="56"/>
      <c r="BH630" s="57"/>
      <c r="BI630" s="170"/>
      <c r="BJ630" s="169"/>
      <c r="BK630" s="181"/>
      <c r="BL630" s="36"/>
      <c r="BM630" s="36" t="str">
        <f>IF('[1]V1 V2'!X629="","",'[1]V1 V2'!X629)</f>
        <v/>
      </c>
    </row>
    <row r="631" spans="1:65" ht="16" thickBot="1" x14ac:dyDescent="0.4">
      <c r="A631">
        <v>1</v>
      </c>
      <c r="B631" s="304" t="s">
        <v>1917</v>
      </c>
      <c r="C631" s="305"/>
      <c r="D631" s="306"/>
      <c r="E631" s="36">
        <f>VLOOKUP($B631,'[1]V1 V2'!$B$5:$BW$1894,74,0)</f>
        <v>0</v>
      </c>
      <c r="F631" s="168"/>
      <c r="G631" s="169"/>
      <c r="H631" s="170"/>
      <c r="I631" s="57"/>
      <c r="J631" s="56" t="s">
        <v>113</v>
      </c>
      <c r="K631" s="171"/>
      <c r="L631" s="142">
        <v>3.8</v>
      </c>
      <c r="M631" s="172"/>
      <c r="N631" s="173"/>
      <c r="O631" s="174"/>
      <c r="P631" s="175"/>
      <c r="Q631" s="182" t="s">
        <v>100</v>
      </c>
      <c r="R631" s="182" t="s">
        <v>29</v>
      </c>
      <c r="S631" s="175"/>
      <c r="T631" s="173" t="s">
        <v>30</v>
      </c>
      <c r="U631" s="62"/>
      <c r="V631" s="177" t="s">
        <v>1918</v>
      </c>
      <c r="W631" s="177" t="s">
        <v>1919</v>
      </c>
      <c r="X631" s="177">
        <v>30088.22900000001</v>
      </c>
      <c r="Y631" s="177">
        <v>4715.0099999999975</v>
      </c>
      <c r="Z631" s="178"/>
      <c r="AA631" s="297" t="s">
        <v>1917</v>
      </c>
      <c r="AB631" s="21" t="s">
        <v>2</v>
      </c>
      <c r="AH631" s="63">
        <v>1</v>
      </c>
      <c r="AO631" s="10" t="s">
        <v>3</v>
      </c>
      <c r="AP631" s="297" t="s">
        <v>1920</v>
      </c>
      <c r="AQ631" s="178"/>
      <c r="AR631" s="177">
        <v>4713.6100000000006</v>
      </c>
      <c r="AS631" s="222">
        <f>AS629-AQ630</f>
        <v>30547.438999999995</v>
      </c>
      <c r="AT631" s="177" t="s">
        <v>1921</v>
      </c>
      <c r="AU631" s="177" t="s">
        <v>1922</v>
      </c>
      <c r="AV631" s="62"/>
      <c r="AW631" s="173" t="s">
        <v>30</v>
      </c>
      <c r="AX631" s="175"/>
      <c r="AY631" s="182" t="s">
        <v>29</v>
      </c>
      <c r="AZ631" s="182" t="s">
        <v>100</v>
      </c>
      <c r="BA631" s="175"/>
      <c r="BB631" s="180"/>
      <c r="BC631" s="172"/>
      <c r="BD631" s="172"/>
      <c r="BE631" s="142">
        <v>3.8</v>
      </c>
      <c r="BF631" s="171"/>
      <c r="BG631" s="183" t="s">
        <v>113</v>
      </c>
      <c r="BH631" s="57"/>
      <c r="BI631" s="170"/>
      <c r="BJ631" s="169"/>
      <c r="BK631" s="181"/>
      <c r="BL631" s="36">
        <f>VLOOKUP($AP631,'[1]V1 V2'!$B$5:$BW$1894,74,0)</f>
        <v>0</v>
      </c>
      <c r="BM631" s="36" t="str">
        <f>IF('[1]V1 V2'!X630="","",'[1]V1 V2'!X630)</f>
        <v/>
      </c>
    </row>
    <row r="632" spans="1:65" ht="16" thickBot="1" x14ac:dyDescent="0.4">
      <c r="A632">
        <v>1</v>
      </c>
      <c r="B632" s="304"/>
      <c r="C632" s="305"/>
      <c r="D632" s="306"/>
      <c r="E632" s="36"/>
      <c r="F632" s="168"/>
      <c r="G632" s="169"/>
      <c r="H632" s="170"/>
      <c r="I632" s="57"/>
      <c r="J632" s="56"/>
      <c r="K632" s="171"/>
      <c r="L632" s="142"/>
      <c r="M632" s="172"/>
      <c r="N632" s="173"/>
      <c r="O632" s="174"/>
      <c r="P632" s="175"/>
      <c r="Q632" s="182"/>
      <c r="R632" s="182"/>
      <c r="S632" s="175"/>
      <c r="T632" s="173"/>
      <c r="U632" s="62"/>
      <c r="V632" s="177" t="s">
        <v>89</v>
      </c>
      <c r="W632" s="177" t="s">
        <v>89</v>
      </c>
      <c r="X632" s="230"/>
      <c r="Y632" s="177"/>
      <c r="Z632" s="178">
        <v>12</v>
      </c>
      <c r="AA632" s="297"/>
      <c r="AB632" s="21" t="s">
        <v>2</v>
      </c>
      <c r="AH632" s="63">
        <v>1</v>
      </c>
      <c r="AO632" s="10" t="s">
        <v>3</v>
      </c>
      <c r="AP632" s="297"/>
      <c r="AQ632" s="178">
        <v>12</v>
      </c>
      <c r="AR632" s="177"/>
      <c r="AS632" s="222"/>
      <c r="AT632" s="177" t="s">
        <v>89</v>
      </c>
      <c r="AU632" s="177" t="s">
        <v>89</v>
      </c>
      <c r="AV632" s="62"/>
      <c r="AW632" s="173"/>
      <c r="AX632" s="175"/>
      <c r="AY632" s="182"/>
      <c r="AZ632" s="182"/>
      <c r="BA632" s="175"/>
      <c r="BB632" s="180"/>
      <c r="BC632" s="172"/>
      <c r="BD632" s="172"/>
      <c r="BE632" s="142"/>
      <c r="BF632" s="171"/>
      <c r="BG632" s="56"/>
      <c r="BH632" s="57"/>
      <c r="BI632" s="170"/>
      <c r="BJ632" s="169"/>
      <c r="BK632" s="181"/>
      <c r="BL632" s="36"/>
      <c r="BM632" s="36" t="str">
        <f>IF('[1]V1 V2'!X631="","",'[1]V1 V2'!X631)</f>
        <v/>
      </c>
    </row>
    <row r="633" spans="1:65" ht="16" thickBot="1" x14ac:dyDescent="0.4">
      <c r="A633">
        <v>1</v>
      </c>
      <c r="B633" s="304" t="s">
        <v>1923</v>
      </c>
      <c r="C633" s="305"/>
      <c r="D633" s="306"/>
      <c r="E633" s="36">
        <f>VLOOKUP($B633,'[1]V1 V2'!$B$5:$BW$1894,74,0)</f>
        <v>0</v>
      </c>
      <c r="F633" s="168"/>
      <c r="G633" s="169"/>
      <c r="H633" s="170"/>
      <c r="I633" s="57"/>
      <c r="J633" s="56" t="s">
        <v>120</v>
      </c>
      <c r="K633" s="171"/>
      <c r="L633" s="142">
        <v>3.8</v>
      </c>
      <c r="M633" s="172"/>
      <c r="N633" s="173"/>
      <c r="O633" s="174"/>
      <c r="P633" s="175"/>
      <c r="Q633" s="182" t="s">
        <v>100</v>
      </c>
      <c r="R633" s="182" t="s">
        <v>29</v>
      </c>
      <c r="S633" s="175"/>
      <c r="T633" s="173" t="s">
        <v>30</v>
      </c>
      <c r="U633" s="62"/>
      <c r="V633" s="177" t="s">
        <v>1924</v>
      </c>
      <c r="W633" s="177" t="s">
        <v>1925</v>
      </c>
      <c r="X633" s="177">
        <v>30076.22900000001</v>
      </c>
      <c r="Y633" s="177">
        <v>4727.0099999999975</v>
      </c>
      <c r="Z633" s="178"/>
      <c r="AA633" s="297" t="s">
        <v>1923</v>
      </c>
      <c r="AB633" s="21" t="s">
        <v>2</v>
      </c>
      <c r="AH633" s="63">
        <v>1</v>
      </c>
      <c r="AO633" s="10" t="s">
        <v>3</v>
      </c>
      <c r="AP633" s="297" t="s">
        <v>1926</v>
      </c>
      <c r="AQ633" s="178"/>
      <c r="AR633" s="177">
        <v>4725.6100000000006</v>
      </c>
      <c r="AS633" s="222">
        <f>AS631-AQ632</f>
        <v>30535.438999999995</v>
      </c>
      <c r="AT633" s="177" t="s">
        <v>1927</v>
      </c>
      <c r="AU633" s="177" t="s">
        <v>1928</v>
      </c>
      <c r="AV633" s="62"/>
      <c r="AW633" s="173" t="s">
        <v>30</v>
      </c>
      <c r="AX633" s="175"/>
      <c r="AY633" s="182" t="s">
        <v>29</v>
      </c>
      <c r="AZ633" s="182" t="s">
        <v>100</v>
      </c>
      <c r="BA633" s="175"/>
      <c r="BB633" s="180"/>
      <c r="BC633" s="172"/>
      <c r="BD633" s="172"/>
      <c r="BE633" s="142">
        <v>3.8</v>
      </c>
      <c r="BF633" s="171"/>
      <c r="BG633" s="183" t="s">
        <v>120</v>
      </c>
      <c r="BH633" s="57"/>
      <c r="BI633" s="170"/>
      <c r="BJ633" s="169"/>
      <c r="BK633" s="181"/>
      <c r="BL633" s="36">
        <f>VLOOKUP($AP633,'[1]V1 V2'!$B$5:$BW$1894,74,0)</f>
        <v>0</v>
      </c>
      <c r="BM633" s="36" t="str">
        <f>IF('[1]V1 V2'!X632="","",'[1]V1 V2'!X632)</f>
        <v/>
      </c>
    </row>
    <row r="634" spans="1:65" ht="16" thickBot="1" x14ac:dyDescent="0.4">
      <c r="A634">
        <v>1</v>
      </c>
      <c r="B634" s="304"/>
      <c r="C634" s="305"/>
      <c r="D634" s="306"/>
      <c r="E634" s="36"/>
      <c r="F634" s="168"/>
      <c r="G634" s="169"/>
      <c r="H634" s="170"/>
      <c r="I634" s="57"/>
      <c r="J634" s="56"/>
      <c r="K634" s="171"/>
      <c r="L634" s="142"/>
      <c r="M634" s="172"/>
      <c r="N634" s="173"/>
      <c r="O634" s="174"/>
      <c r="P634" s="175"/>
      <c r="Q634" s="182"/>
      <c r="R634" s="182"/>
      <c r="S634" s="175"/>
      <c r="T634" s="173"/>
      <c r="U634" s="62"/>
      <c r="V634" s="177" t="s">
        <v>89</v>
      </c>
      <c r="W634" s="177" t="s">
        <v>89</v>
      </c>
      <c r="X634" s="230"/>
      <c r="Y634" s="177"/>
      <c r="Z634" s="178">
        <v>12</v>
      </c>
      <c r="AA634" s="297"/>
      <c r="AB634" s="21" t="s">
        <v>2</v>
      </c>
      <c r="AH634" s="63">
        <v>1</v>
      </c>
      <c r="AO634" s="10" t="s">
        <v>3</v>
      </c>
      <c r="AP634" s="297"/>
      <c r="AQ634" s="178">
        <v>12</v>
      </c>
      <c r="AR634" s="177"/>
      <c r="AS634" s="222"/>
      <c r="AT634" s="177" t="s">
        <v>89</v>
      </c>
      <c r="AU634" s="177" t="s">
        <v>89</v>
      </c>
      <c r="AV634" s="62"/>
      <c r="AW634" s="173"/>
      <c r="AX634" s="175"/>
      <c r="AY634" s="182"/>
      <c r="AZ634" s="182"/>
      <c r="BA634" s="175"/>
      <c r="BB634" s="180"/>
      <c r="BC634" s="172"/>
      <c r="BD634" s="172"/>
      <c r="BE634" s="142"/>
      <c r="BF634" s="171"/>
      <c r="BG634" s="56"/>
      <c r="BH634" s="57"/>
      <c r="BI634" s="170"/>
      <c r="BJ634" s="169"/>
      <c r="BK634" s="181"/>
      <c r="BL634" s="36"/>
      <c r="BM634" s="36" t="str">
        <f>IF('[1]V1 V2'!X633="","",'[1]V1 V2'!X633)</f>
        <v/>
      </c>
    </row>
    <row r="635" spans="1:65" ht="16" thickBot="1" x14ac:dyDescent="0.4">
      <c r="A635">
        <v>1</v>
      </c>
      <c r="B635" s="304" t="s">
        <v>1929</v>
      </c>
      <c r="C635" s="305"/>
      <c r="D635" s="306"/>
      <c r="E635" s="36">
        <f>VLOOKUP($B635,'[1]V1 V2'!$B$5:$BW$1894,74,0)</f>
        <v>0</v>
      </c>
      <c r="F635" s="168"/>
      <c r="G635" s="169"/>
      <c r="H635" s="170"/>
      <c r="I635" s="57"/>
      <c r="J635" s="56" t="s">
        <v>127</v>
      </c>
      <c r="K635" s="171"/>
      <c r="L635" s="142">
        <v>3.8</v>
      </c>
      <c r="M635" s="172"/>
      <c r="N635" s="173"/>
      <c r="O635" s="174"/>
      <c r="P635" s="175"/>
      <c r="Q635" s="182" t="s">
        <v>100</v>
      </c>
      <c r="R635" s="182" t="s">
        <v>29</v>
      </c>
      <c r="S635" s="175"/>
      <c r="T635" s="173" t="s">
        <v>30</v>
      </c>
      <c r="U635" s="62"/>
      <c r="V635" s="177" t="s">
        <v>1930</v>
      </c>
      <c r="W635" s="177" t="s">
        <v>1931</v>
      </c>
      <c r="X635" s="177">
        <v>30064.22900000001</v>
      </c>
      <c r="Y635" s="177">
        <v>4739.0099999999975</v>
      </c>
      <c r="Z635" s="178"/>
      <c r="AA635" s="297" t="s">
        <v>1929</v>
      </c>
      <c r="AB635" s="21" t="s">
        <v>2</v>
      </c>
      <c r="AH635" s="63">
        <v>1</v>
      </c>
      <c r="AO635" s="10" t="s">
        <v>3</v>
      </c>
      <c r="AP635" s="297" t="s">
        <v>1932</v>
      </c>
      <c r="AQ635" s="178"/>
      <c r="AR635" s="177">
        <v>4737.6100000000006</v>
      </c>
      <c r="AS635" s="222">
        <f>AS633-AQ634</f>
        <v>30523.438999999995</v>
      </c>
      <c r="AT635" s="177" t="s">
        <v>1933</v>
      </c>
      <c r="AU635" s="177" t="s">
        <v>1934</v>
      </c>
      <c r="AV635" s="62"/>
      <c r="AW635" s="173" t="s">
        <v>30</v>
      </c>
      <c r="AX635" s="175"/>
      <c r="AY635" s="182" t="s">
        <v>29</v>
      </c>
      <c r="AZ635" s="182" t="s">
        <v>100</v>
      </c>
      <c r="BA635" s="175"/>
      <c r="BB635" s="180"/>
      <c r="BC635" s="172"/>
      <c r="BD635" s="172"/>
      <c r="BE635" s="142">
        <v>3.8</v>
      </c>
      <c r="BF635" s="171"/>
      <c r="BG635" s="183" t="s">
        <v>127</v>
      </c>
      <c r="BH635" s="57"/>
      <c r="BI635" s="170"/>
      <c r="BJ635" s="169"/>
      <c r="BK635" s="181"/>
      <c r="BL635" s="36">
        <f>VLOOKUP($AP635,'[1]V1 V2'!$B$5:$BW$1894,74,0)</f>
        <v>0</v>
      </c>
      <c r="BM635" s="36" t="str">
        <f>IF('[1]V1 V2'!X634="","",'[1]V1 V2'!X634)</f>
        <v/>
      </c>
    </row>
    <row r="636" spans="1:65" ht="16" thickBot="1" x14ac:dyDescent="0.4">
      <c r="A636">
        <v>1</v>
      </c>
      <c r="B636" s="304"/>
      <c r="C636" s="305"/>
      <c r="D636" s="306"/>
      <c r="E636" s="36"/>
      <c r="F636" s="168"/>
      <c r="G636" s="169"/>
      <c r="H636" s="170"/>
      <c r="I636" s="57"/>
      <c r="J636" s="56"/>
      <c r="K636" s="171"/>
      <c r="L636" s="142"/>
      <c r="M636" s="172"/>
      <c r="N636" s="173"/>
      <c r="O636" s="174"/>
      <c r="P636" s="175"/>
      <c r="Q636" s="182"/>
      <c r="R636" s="182"/>
      <c r="S636" s="175"/>
      <c r="T636" s="173"/>
      <c r="U636" s="62"/>
      <c r="V636" s="177" t="s">
        <v>89</v>
      </c>
      <c r="W636" s="177" t="s">
        <v>89</v>
      </c>
      <c r="X636" s="230"/>
      <c r="Y636" s="177"/>
      <c r="Z636" s="178">
        <v>12</v>
      </c>
      <c r="AA636" s="297"/>
      <c r="AB636" s="21" t="s">
        <v>2</v>
      </c>
      <c r="AH636" s="63">
        <v>1</v>
      </c>
      <c r="AO636" s="10" t="s">
        <v>3</v>
      </c>
      <c r="AP636" s="297"/>
      <c r="AQ636" s="178">
        <v>12</v>
      </c>
      <c r="AR636" s="177"/>
      <c r="AS636" s="222"/>
      <c r="AT636" s="177" t="s">
        <v>89</v>
      </c>
      <c r="AU636" s="177" t="s">
        <v>89</v>
      </c>
      <c r="AV636" s="62"/>
      <c r="AW636" s="173"/>
      <c r="AX636" s="175"/>
      <c r="AY636" s="182"/>
      <c r="AZ636" s="182"/>
      <c r="BA636" s="175"/>
      <c r="BB636" s="180"/>
      <c r="BC636" s="172"/>
      <c r="BD636" s="172"/>
      <c r="BE636" s="142"/>
      <c r="BF636" s="171"/>
      <c r="BG636" s="56"/>
      <c r="BH636" s="57"/>
      <c r="BI636" s="170"/>
      <c r="BJ636" s="169"/>
      <c r="BK636" s="181"/>
      <c r="BL636" s="36"/>
      <c r="BM636" s="36" t="str">
        <f>IF('[1]V1 V2'!X635="","",'[1]V1 V2'!X635)</f>
        <v/>
      </c>
    </row>
    <row r="637" spans="1:65" ht="16" thickBot="1" x14ac:dyDescent="0.4">
      <c r="A637">
        <v>1</v>
      </c>
      <c r="B637" s="304" t="s">
        <v>1935</v>
      </c>
      <c r="C637" s="305"/>
      <c r="D637" s="306"/>
      <c r="E637" s="36">
        <f>VLOOKUP($B637,'[1]V1 V2'!$B$5:$BW$1894,74,0)</f>
        <v>0</v>
      </c>
      <c r="F637" s="168"/>
      <c r="G637" s="169"/>
      <c r="H637" s="170"/>
      <c r="I637" s="57"/>
      <c r="J637" s="56" t="s">
        <v>120</v>
      </c>
      <c r="K637" s="171"/>
      <c r="L637" s="142">
        <v>3.8</v>
      </c>
      <c r="M637" s="172"/>
      <c r="N637" s="173"/>
      <c r="O637" s="174"/>
      <c r="P637" s="175"/>
      <c r="Q637" s="182" t="s">
        <v>100</v>
      </c>
      <c r="R637" s="182" t="s">
        <v>29</v>
      </c>
      <c r="S637" s="175"/>
      <c r="T637" s="173" t="s">
        <v>30</v>
      </c>
      <c r="U637" s="62"/>
      <c r="V637" s="177" t="s">
        <v>1936</v>
      </c>
      <c r="W637" s="177" t="s">
        <v>1937</v>
      </c>
      <c r="X637" s="177">
        <v>30052.22900000001</v>
      </c>
      <c r="Y637" s="177">
        <v>4751.0099999999975</v>
      </c>
      <c r="Z637" s="178"/>
      <c r="AA637" s="297" t="s">
        <v>1935</v>
      </c>
      <c r="AB637" s="21" t="s">
        <v>2</v>
      </c>
      <c r="AH637" s="63">
        <v>1</v>
      </c>
      <c r="AO637" s="10" t="s">
        <v>3</v>
      </c>
      <c r="AP637" s="297" t="s">
        <v>1938</v>
      </c>
      <c r="AQ637" s="178"/>
      <c r="AR637" s="177">
        <v>4749.6100000000006</v>
      </c>
      <c r="AS637" s="222">
        <f>AS635-AQ636</f>
        <v>30511.438999999995</v>
      </c>
      <c r="AT637" s="177" t="s">
        <v>1939</v>
      </c>
      <c r="AU637" s="177" t="s">
        <v>1940</v>
      </c>
      <c r="AV637" s="62"/>
      <c r="AW637" s="173" t="s">
        <v>30</v>
      </c>
      <c r="AX637" s="175"/>
      <c r="AY637" s="182" t="s">
        <v>29</v>
      </c>
      <c r="AZ637" s="182" t="s">
        <v>100</v>
      </c>
      <c r="BA637" s="175"/>
      <c r="BB637" s="180"/>
      <c r="BC637" s="172"/>
      <c r="BD637" s="172"/>
      <c r="BE637" s="142">
        <v>3.8</v>
      </c>
      <c r="BF637" s="171"/>
      <c r="BG637" s="183" t="s">
        <v>120</v>
      </c>
      <c r="BH637" s="57"/>
      <c r="BI637" s="170"/>
      <c r="BJ637" s="169"/>
      <c r="BK637" s="181"/>
      <c r="BL637" s="36">
        <f>VLOOKUP($AP637,'[1]V1 V2'!$B$5:$BW$1894,74,0)</f>
        <v>0</v>
      </c>
      <c r="BM637" s="36" t="str">
        <f>IF('[1]V1 V2'!X636="","",'[1]V1 V2'!X636)</f>
        <v/>
      </c>
    </row>
    <row r="638" spans="1:65" ht="16" thickBot="1" x14ac:dyDescent="0.4">
      <c r="A638">
        <v>1</v>
      </c>
      <c r="B638" s="304"/>
      <c r="C638" s="305"/>
      <c r="D638" s="306"/>
      <c r="E638" s="36"/>
      <c r="F638" s="168"/>
      <c r="G638" s="169"/>
      <c r="H638" s="170"/>
      <c r="I638" s="57"/>
      <c r="J638" s="56"/>
      <c r="K638" s="171"/>
      <c r="L638" s="142"/>
      <c r="M638" s="172"/>
      <c r="N638" s="173"/>
      <c r="O638" s="174"/>
      <c r="P638" s="175"/>
      <c r="Q638" s="182"/>
      <c r="R638" s="182"/>
      <c r="S638" s="175"/>
      <c r="T638" s="173"/>
      <c r="U638" s="62"/>
      <c r="V638" s="177" t="s">
        <v>89</v>
      </c>
      <c r="W638" s="177" t="s">
        <v>89</v>
      </c>
      <c r="X638" s="230"/>
      <c r="Y638" s="177"/>
      <c r="Z638" s="178">
        <v>12</v>
      </c>
      <c r="AA638" s="297"/>
      <c r="AB638" s="21" t="s">
        <v>2</v>
      </c>
      <c r="AH638" s="63">
        <v>1</v>
      </c>
      <c r="AO638" s="10" t="s">
        <v>3</v>
      </c>
      <c r="AP638" s="297"/>
      <c r="AQ638" s="178">
        <v>12</v>
      </c>
      <c r="AR638" s="177"/>
      <c r="AS638" s="222"/>
      <c r="AT638" s="177" t="s">
        <v>89</v>
      </c>
      <c r="AU638" s="177" t="s">
        <v>89</v>
      </c>
      <c r="AV638" s="62"/>
      <c r="AW638" s="173"/>
      <c r="AX638" s="175"/>
      <c r="AY638" s="182"/>
      <c r="AZ638" s="182"/>
      <c r="BA638" s="175"/>
      <c r="BB638" s="180"/>
      <c r="BC638" s="172"/>
      <c r="BD638" s="172"/>
      <c r="BE638" s="142"/>
      <c r="BF638" s="171"/>
      <c r="BG638" s="56"/>
      <c r="BH638" s="57"/>
      <c r="BI638" s="170"/>
      <c r="BJ638" s="169"/>
      <c r="BK638" s="181"/>
      <c r="BL638" s="36"/>
      <c r="BM638" s="36" t="str">
        <f>IF('[1]V1 V2'!X637="","",'[1]V1 V2'!X637)</f>
        <v/>
      </c>
    </row>
    <row r="639" spans="1:65" ht="16" thickBot="1" x14ac:dyDescent="0.4">
      <c r="A639">
        <v>1</v>
      </c>
      <c r="B639" s="304" t="s">
        <v>1941</v>
      </c>
      <c r="C639" s="305"/>
      <c r="D639" s="306"/>
      <c r="E639" s="36">
        <f>VLOOKUP($B639,'[1]V1 V2'!$B$5:$BW$1894,74,0)</f>
        <v>0</v>
      </c>
      <c r="F639" s="168"/>
      <c r="G639" s="169"/>
      <c r="H639" s="170"/>
      <c r="I639" s="57"/>
      <c r="J639" s="56" t="s">
        <v>113</v>
      </c>
      <c r="K639" s="171"/>
      <c r="L639" s="142">
        <v>3.8</v>
      </c>
      <c r="M639" s="172"/>
      <c r="N639" s="173"/>
      <c r="O639" s="174"/>
      <c r="P639" s="175"/>
      <c r="Q639" s="182" t="s">
        <v>140</v>
      </c>
      <c r="R639" s="182" t="s">
        <v>29</v>
      </c>
      <c r="S639" s="175"/>
      <c r="T639" s="173" t="s">
        <v>141</v>
      </c>
      <c r="U639" s="62"/>
      <c r="V639" s="177" t="s">
        <v>1942</v>
      </c>
      <c r="W639" s="177" t="s">
        <v>1943</v>
      </c>
      <c r="X639" s="177">
        <v>30040.22900000001</v>
      </c>
      <c r="Y639" s="177">
        <v>4763.0099999999975</v>
      </c>
      <c r="Z639" s="178"/>
      <c r="AA639" s="297" t="s">
        <v>1941</v>
      </c>
      <c r="AB639" s="21" t="s">
        <v>2</v>
      </c>
      <c r="AH639" s="63">
        <v>1</v>
      </c>
      <c r="AO639" s="10" t="s">
        <v>3</v>
      </c>
      <c r="AP639" s="297" t="s">
        <v>1944</v>
      </c>
      <c r="AQ639" s="178"/>
      <c r="AR639" s="177">
        <v>4761.6100000000006</v>
      </c>
      <c r="AS639" s="222">
        <f>AS637-AQ638</f>
        <v>30499.438999999995</v>
      </c>
      <c r="AT639" s="177" t="s">
        <v>1945</v>
      </c>
      <c r="AU639" s="177" t="s">
        <v>1946</v>
      </c>
      <c r="AV639" s="62"/>
      <c r="AW639" s="173" t="s">
        <v>141</v>
      </c>
      <c r="AX639" s="175"/>
      <c r="AY639" s="182" t="s">
        <v>29</v>
      </c>
      <c r="AZ639" s="182" t="s">
        <v>140</v>
      </c>
      <c r="BA639" s="175"/>
      <c r="BB639" s="180"/>
      <c r="BC639" s="172"/>
      <c r="BD639" s="172"/>
      <c r="BE639" s="142">
        <v>3.8</v>
      </c>
      <c r="BF639" s="171"/>
      <c r="BG639" s="183" t="s">
        <v>113</v>
      </c>
      <c r="BH639" s="57"/>
      <c r="BI639" s="170"/>
      <c r="BJ639" s="169"/>
      <c r="BK639" s="181"/>
      <c r="BL639" s="36">
        <f>VLOOKUP($AP639,'[1]V1 V2'!$B$5:$BW$1894,74,0)</f>
        <v>0</v>
      </c>
      <c r="BM639" s="36" t="str">
        <f>IF('[1]V1 V2'!X638="","",'[1]V1 V2'!X638)</f>
        <v/>
      </c>
    </row>
    <row r="640" spans="1:65" ht="16" thickBot="1" x14ac:dyDescent="0.4">
      <c r="A640">
        <v>1</v>
      </c>
      <c r="B640" s="304"/>
      <c r="C640" s="305"/>
      <c r="D640" s="306"/>
      <c r="E640" s="36"/>
      <c r="F640" s="168"/>
      <c r="G640" s="169"/>
      <c r="H640" s="170"/>
      <c r="I640" s="57"/>
      <c r="J640" s="56"/>
      <c r="K640" s="171"/>
      <c r="L640" s="142"/>
      <c r="M640" s="172"/>
      <c r="N640" s="173"/>
      <c r="O640" s="174"/>
      <c r="P640" s="175"/>
      <c r="Q640" s="182"/>
      <c r="R640" s="182"/>
      <c r="S640" s="175"/>
      <c r="T640" s="173"/>
      <c r="U640" s="62"/>
      <c r="V640" s="177" t="s">
        <v>89</v>
      </c>
      <c r="W640" s="177" t="s">
        <v>89</v>
      </c>
      <c r="X640" s="230"/>
      <c r="Y640" s="177"/>
      <c r="Z640" s="178">
        <v>12</v>
      </c>
      <c r="AA640" s="297"/>
      <c r="AB640" s="21" t="s">
        <v>2</v>
      </c>
      <c r="AH640" s="63">
        <v>1</v>
      </c>
      <c r="AO640" s="10" t="s">
        <v>3</v>
      </c>
      <c r="AP640" s="297"/>
      <c r="AQ640" s="178">
        <v>12</v>
      </c>
      <c r="AR640" s="177"/>
      <c r="AS640" s="222"/>
      <c r="AT640" s="177" t="s">
        <v>89</v>
      </c>
      <c r="AU640" s="177" t="s">
        <v>89</v>
      </c>
      <c r="AV640" s="62"/>
      <c r="AW640" s="173"/>
      <c r="AX640" s="175"/>
      <c r="AY640" s="182"/>
      <c r="AZ640" s="182"/>
      <c r="BA640" s="175"/>
      <c r="BB640" s="180"/>
      <c r="BC640" s="172"/>
      <c r="BD640" s="172"/>
      <c r="BE640" s="142"/>
      <c r="BF640" s="171"/>
      <c r="BG640" s="56"/>
      <c r="BH640" s="57"/>
      <c r="BI640" s="170"/>
      <c r="BJ640" s="169"/>
      <c r="BK640" s="181"/>
      <c r="BL640" s="36"/>
      <c r="BM640" s="36" t="str">
        <f>IF('[1]V1 V2'!X639="","",'[1]V1 V2'!X639)</f>
        <v/>
      </c>
    </row>
    <row r="641" spans="1:65" ht="16" thickBot="1" x14ac:dyDescent="0.4">
      <c r="A641">
        <v>1</v>
      </c>
      <c r="B641" s="304" t="s">
        <v>1947</v>
      </c>
      <c r="C641" s="305"/>
      <c r="D641" s="306"/>
      <c r="E641" s="36">
        <f>VLOOKUP($B641,'[1]V1 V2'!$B$5:$BW$1894,74,0)</f>
        <v>0</v>
      </c>
      <c r="F641" s="168"/>
      <c r="G641" s="169"/>
      <c r="H641" s="170"/>
      <c r="I641" s="57"/>
      <c r="J641" s="56">
        <v>-4</v>
      </c>
      <c r="K641" s="171"/>
      <c r="L641" s="142">
        <v>3.8</v>
      </c>
      <c r="M641" s="172"/>
      <c r="N641" s="173"/>
      <c r="O641" s="174"/>
      <c r="P641" s="175"/>
      <c r="Q641" s="182" t="s">
        <v>100</v>
      </c>
      <c r="R641" s="182" t="s">
        <v>29</v>
      </c>
      <c r="S641" s="175"/>
      <c r="T641" s="173" t="s">
        <v>30</v>
      </c>
      <c r="U641" s="62"/>
      <c r="V641" s="177" t="s">
        <v>1948</v>
      </c>
      <c r="W641" s="177" t="s">
        <v>1949</v>
      </c>
      <c r="X641" s="177">
        <v>30028.22900000001</v>
      </c>
      <c r="Y641" s="177">
        <v>4775.0099999999975</v>
      </c>
      <c r="Z641" s="178"/>
      <c r="AA641" s="297" t="s">
        <v>1947</v>
      </c>
      <c r="AB641" s="21" t="s">
        <v>2</v>
      </c>
      <c r="AH641" s="63">
        <v>1</v>
      </c>
      <c r="AO641" s="10" t="s">
        <v>3</v>
      </c>
      <c r="AP641" s="297" t="s">
        <v>1950</v>
      </c>
      <c r="AQ641" s="178"/>
      <c r="AR641" s="177">
        <v>4773.6100000000006</v>
      </c>
      <c r="AS641" s="222">
        <f>AS639-AQ640</f>
        <v>30487.438999999995</v>
      </c>
      <c r="AT641" s="177" t="s">
        <v>1951</v>
      </c>
      <c r="AU641" s="177" t="s">
        <v>1952</v>
      </c>
      <c r="AV641" s="62"/>
      <c r="AW641" s="173" t="s">
        <v>30</v>
      </c>
      <c r="AX641" s="175"/>
      <c r="AY641" s="182" t="s">
        <v>29</v>
      </c>
      <c r="AZ641" s="182" t="s">
        <v>100</v>
      </c>
      <c r="BA641" s="175"/>
      <c r="BB641" s="180"/>
      <c r="BC641" s="172"/>
      <c r="BD641" s="172"/>
      <c r="BE641" s="142">
        <v>3.8</v>
      </c>
      <c r="BF641" s="171"/>
      <c r="BG641" s="56">
        <v>-4</v>
      </c>
      <c r="BH641" s="57"/>
      <c r="BI641" s="170"/>
      <c r="BJ641" s="169"/>
      <c r="BK641" s="181"/>
      <c r="BL641" s="36">
        <f>VLOOKUP($AP641,'[1]V1 V2'!$B$5:$BW$1894,74,0)</f>
        <v>0</v>
      </c>
      <c r="BM641" s="36" t="str">
        <f>IF('[1]V1 V2'!X640="","",'[1]V1 V2'!X640)</f>
        <v/>
      </c>
    </row>
    <row r="642" spans="1:65" ht="16" thickBot="1" x14ac:dyDescent="0.4">
      <c r="A642">
        <v>1</v>
      </c>
      <c r="B642" s="304"/>
      <c r="C642" s="305"/>
      <c r="D642" s="306"/>
      <c r="E642" s="36"/>
      <c r="F642" s="168"/>
      <c r="G642" s="169"/>
      <c r="H642" s="170"/>
      <c r="I642" s="57"/>
      <c r="J642" s="56"/>
      <c r="K642" s="171"/>
      <c r="L642" s="142"/>
      <c r="M642" s="172"/>
      <c r="N642" s="173"/>
      <c r="O642" s="174"/>
      <c r="P642" s="175"/>
      <c r="Q642" s="182"/>
      <c r="R642" s="182"/>
      <c r="S642" s="175"/>
      <c r="T642" s="173"/>
      <c r="U642" s="62"/>
      <c r="V642" s="177" t="s">
        <v>89</v>
      </c>
      <c r="W642" s="177" t="s">
        <v>89</v>
      </c>
      <c r="X642" s="230"/>
      <c r="Y642" s="177"/>
      <c r="Z642" s="178">
        <v>12</v>
      </c>
      <c r="AA642" s="297"/>
      <c r="AB642" s="21" t="s">
        <v>2</v>
      </c>
      <c r="AH642" s="63">
        <v>1</v>
      </c>
      <c r="AO642" s="10" t="s">
        <v>3</v>
      </c>
      <c r="AP642" s="297"/>
      <c r="AQ642" s="178">
        <v>12</v>
      </c>
      <c r="AR642" s="177"/>
      <c r="AS642" s="222"/>
      <c r="AT642" s="177" t="s">
        <v>89</v>
      </c>
      <c r="AU642" s="177" t="s">
        <v>89</v>
      </c>
      <c r="AV642" s="62"/>
      <c r="AW642" s="173"/>
      <c r="AX642" s="175"/>
      <c r="AY642" s="182"/>
      <c r="AZ642" s="182"/>
      <c r="BA642" s="175"/>
      <c r="BB642" s="180"/>
      <c r="BC642" s="172"/>
      <c r="BD642" s="172"/>
      <c r="BE642" s="142"/>
      <c r="BF642" s="171"/>
      <c r="BG642" s="56"/>
      <c r="BH642" s="57"/>
      <c r="BI642" s="170"/>
      <c r="BJ642" s="169"/>
      <c r="BK642" s="181"/>
      <c r="BL642" s="36"/>
      <c r="BM642" s="36" t="str">
        <f>IF('[1]V1 V2'!X641="","",'[1]V1 V2'!X641)</f>
        <v/>
      </c>
    </row>
    <row r="643" spans="1:65" ht="16" thickBot="1" x14ac:dyDescent="0.4">
      <c r="A643">
        <v>1</v>
      </c>
      <c r="B643" s="304" t="s">
        <v>1953</v>
      </c>
      <c r="C643" s="305"/>
      <c r="D643" s="306"/>
      <c r="E643" s="36">
        <f>VLOOKUP($B643,'[1]V1 V2'!$B$5:$BW$1894,74,0)</f>
        <v>0</v>
      </c>
      <c r="F643" s="168"/>
      <c r="G643" s="169"/>
      <c r="H643" s="170"/>
      <c r="I643" s="57"/>
      <c r="J643" s="56">
        <v>-12</v>
      </c>
      <c r="K643" s="171"/>
      <c r="L643" s="142">
        <v>3.8</v>
      </c>
      <c r="M643" s="172"/>
      <c r="N643" s="173"/>
      <c r="O643" s="174"/>
      <c r="P643" s="175"/>
      <c r="Q643" s="182" t="s">
        <v>100</v>
      </c>
      <c r="R643" s="182" t="s">
        <v>29</v>
      </c>
      <c r="S643" s="175"/>
      <c r="T643" s="173" t="s">
        <v>30</v>
      </c>
      <c r="U643" s="62"/>
      <c r="V643" s="177" t="s">
        <v>1954</v>
      </c>
      <c r="W643" s="177" t="s">
        <v>1955</v>
      </c>
      <c r="X643" s="177">
        <v>30016.22900000001</v>
      </c>
      <c r="Y643" s="177">
        <v>4787.0099999999975</v>
      </c>
      <c r="Z643" s="178"/>
      <c r="AA643" s="297" t="s">
        <v>1953</v>
      </c>
      <c r="AB643" s="21" t="s">
        <v>2</v>
      </c>
      <c r="AH643" s="63">
        <v>1</v>
      </c>
      <c r="AO643" s="10" t="s">
        <v>3</v>
      </c>
      <c r="AP643" s="297" t="s">
        <v>1956</v>
      </c>
      <c r="AQ643" s="178"/>
      <c r="AR643" s="177">
        <v>4785.6100000000006</v>
      </c>
      <c r="AS643" s="222">
        <f>AS641-AQ642</f>
        <v>30475.438999999995</v>
      </c>
      <c r="AT643" s="177" t="s">
        <v>1957</v>
      </c>
      <c r="AU643" s="177" t="s">
        <v>1958</v>
      </c>
      <c r="AV643" s="62"/>
      <c r="AW643" s="173" t="s">
        <v>30</v>
      </c>
      <c r="AX643" s="175"/>
      <c r="AY643" s="182" t="s">
        <v>29</v>
      </c>
      <c r="AZ643" s="182" t="s">
        <v>100</v>
      </c>
      <c r="BA643" s="175"/>
      <c r="BB643" s="180"/>
      <c r="BC643" s="172"/>
      <c r="BD643" s="172"/>
      <c r="BE643" s="142">
        <v>3.8</v>
      </c>
      <c r="BF643" s="171"/>
      <c r="BG643" s="56">
        <v>-12</v>
      </c>
      <c r="BH643" s="57"/>
      <c r="BI643" s="170"/>
      <c r="BJ643" s="169"/>
      <c r="BK643" s="181"/>
      <c r="BL643" s="36">
        <f>VLOOKUP($AP643,'[1]V1 V2'!$B$5:$BW$1894,74,0)</f>
        <v>0</v>
      </c>
      <c r="BM643" s="36" t="str">
        <f>IF('[1]V1 V2'!X642="","",'[1]V1 V2'!X642)</f>
        <v/>
      </c>
    </row>
    <row r="644" spans="1:65" ht="16" thickBot="1" x14ac:dyDescent="0.4">
      <c r="A644">
        <v>1</v>
      </c>
      <c r="B644" s="304"/>
      <c r="C644" s="305"/>
      <c r="D644" s="306"/>
      <c r="E644" s="36"/>
      <c r="F644" s="168"/>
      <c r="G644" s="169"/>
      <c r="H644" s="170"/>
      <c r="I644" s="57"/>
      <c r="J644" s="56"/>
      <c r="K644" s="171"/>
      <c r="L644" s="142"/>
      <c r="M644" s="172"/>
      <c r="N644" s="173"/>
      <c r="O644" s="174"/>
      <c r="P644" s="175"/>
      <c r="Q644" s="182"/>
      <c r="R644" s="182"/>
      <c r="S644" s="175"/>
      <c r="T644" s="173"/>
      <c r="U644" s="62"/>
      <c r="V644" s="177" t="s">
        <v>89</v>
      </c>
      <c r="W644" s="177" t="s">
        <v>89</v>
      </c>
      <c r="X644" s="230"/>
      <c r="Y644" s="177"/>
      <c r="Z644" s="178">
        <v>12</v>
      </c>
      <c r="AA644" s="297"/>
      <c r="AB644" s="21" t="s">
        <v>2</v>
      </c>
      <c r="AH644" s="63">
        <v>1</v>
      </c>
      <c r="AO644" s="10" t="s">
        <v>3</v>
      </c>
      <c r="AP644" s="297"/>
      <c r="AQ644" s="178">
        <v>12</v>
      </c>
      <c r="AR644" s="177"/>
      <c r="AS644" s="222"/>
      <c r="AT644" s="177" t="s">
        <v>89</v>
      </c>
      <c r="AU644" s="177" t="s">
        <v>89</v>
      </c>
      <c r="AV644" s="62"/>
      <c r="AW644" s="173"/>
      <c r="AX644" s="175"/>
      <c r="AY644" s="182"/>
      <c r="AZ644" s="182"/>
      <c r="BA644" s="175"/>
      <c r="BB644" s="180"/>
      <c r="BC644" s="172"/>
      <c r="BD644" s="172"/>
      <c r="BE644" s="142"/>
      <c r="BF644" s="171"/>
      <c r="BG644" s="56"/>
      <c r="BH644" s="57"/>
      <c r="BI644" s="170"/>
      <c r="BJ644" s="169"/>
      <c r="BK644" s="181"/>
      <c r="BL644" s="36"/>
      <c r="BM644" s="36" t="str">
        <f>IF('[1]V1 V2'!X643="","",'[1]V1 V2'!X643)</f>
        <v/>
      </c>
    </row>
    <row r="645" spans="1:65" ht="16" thickBot="1" x14ac:dyDescent="0.4">
      <c r="A645">
        <v>1</v>
      </c>
      <c r="B645" s="304" t="s">
        <v>1959</v>
      </c>
      <c r="C645" s="305"/>
      <c r="D645" s="306"/>
      <c r="E645" s="36">
        <f>VLOOKUP($B645,'[1]V1 V2'!$B$5:$BW$1894,74,0)</f>
        <v>0</v>
      </c>
      <c r="F645" s="168"/>
      <c r="G645" s="169"/>
      <c r="H645" s="170"/>
      <c r="I645" s="57"/>
      <c r="J645" s="56">
        <v>-20</v>
      </c>
      <c r="K645" s="171"/>
      <c r="L645" s="142">
        <v>3.8</v>
      </c>
      <c r="M645" s="172"/>
      <c r="N645" s="173"/>
      <c r="O645" s="174"/>
      <c r="P645" s="175"/>
      <c r="Q645" s="182" t="s">
        <v>100</v>
      </c>
      <c r="R645" s="182" t="s">
        <v>29</v>
      </c>
      <c r="S645" s="175"/>
      <c r="T645" s="173" t="s">
        <v>30</v>
      </c>
      <c r="U645" s="62"/>
      <c r="V645" s="177" t="s">
        <v>1960</v>
      </c>
      <c r="W645" s="177" t="s">
        <v>1961</v>
      </c>
      <c r="X645" s="177">
        <v>30004.22900000001</v>
      </c>
      <c r="Y645" s="177">
        <v>4799.0099999999975</v>
      </c>
      <c r="Z645" s="178"/>
      <c r="AA645" s="297" t="s">
        <v>1959</v>
      </c>
      <c r="AB645" s="21" t="s">
        <v>2</v>
      </c>
      <c r="AH645" s="63">
        <v>1</v>
      </c>
      <c r="AO645" s="10" t="s">
        <v>3</v>
      </c>
      <c r="AP645" s="297" t="s">
        <v>1962</v>
      </c>
      <c r="AQ645" s="178"/>
      <c r="AR645" s="177">
        <v>4797.6100000000006</v>
      </c>
      <c r="AS645" s="222">
        <f>AS643-AQ644</f>
        <v>30463.438999999995</v>
      </c>
      <c r="AT645" s="177" t="s">
        <v>1963</v>
      </c>
      <c r="AU645" s="177" t="s">
        <v>1964</v>
      </c>
      <c r="AV645" s="62"/>
      <c r="AW645" s="173" t="s">
        <v>30</v>
      </c>
      <c r="AX645" s="175"/>
      <c r="AY645" s="182" t="s">
        <v>29</v>
      </c>
      <c r="AZ645" s="182" t="s">
        <v>100</v>
      </c>
      <c r="BA645" s="175"/>
      <c r="BB645" s="180"/>
      <c r="BC645" s="172"/>
      <c r="BD645" s="172"/>
      <c r="BE645" s="142">
        <v>3.8</v>
      </c>
      <c r="BF645" s="171"/>
      <c r="BG645" s="56">
        <v>-20</v>
      </c>
      <c r="BH645" s="57"/>
      <c r="BI645" s="170"/>
      <c r="BJ645" s="169"/>
      <c r="BK645" s="181"/>
      <c r="BL645" s="36">
        <f>VLOOKUP($AP645,'[1]V1 V2'!$B$5:$BW$1894,74,0)</f>
        <v>0</v>
      </c>
      <c r="BM645" s="36" t="str">
        <f>IF('[1]V1 V2'!X644="","",'[1]V1 V2'!X644)</f>
        <v/>
      </c>
    </row>
    <row r="646" spans="1:65" ht="16" thickBot="1" x14ac:dyDescent="0.4">
      <c r="A646">
        <v>1</v>
      </c>
      <c r="B646" s="304"/>
      <c r="C646" s="305"/>
      <c r="D646" s="306"/>
      <c r="E646" s="36"/>
      <c r="F646" s="168"/>
      <c r="G646" s="169"/>
      <c r="H646" s="170"/>
      <c r="I646" s="57"/>
      <c r="J646" s="56"/>
      <c r="K646" s="171"/>
      <c r="L646" s="142"/>
      <c r="M646" s="172"/>
      <c r="N646" s="173"/>
      <c r="O646" s="174"/>
      <c r="P646" s="175"/>
      <c r="Q646" s="182"/>
      <c r="R646" s="182"/>
      <c r="S646" s="175"/>
      <c r="T646" s="173"/>
      <c r="U646" s="62"/>
      <c r="V646" s="177" t="s">
        <v>89</v>
      </c>
      <c r="W646" s="177" t="s">
        <v>89</v>
      </c>
      <c r="X646" s="230"/>
      <c r="Y646" s="177"/>
      <c r="Z646" s="178">
        <v>12</v>
      </c>
      <c r="AA646" s="297"/>
      <c r="AB646" s="21" t="s">
        <v>2</v>
      </c>
      <c r="AH646" s="63">
        <v>1</v>
      </c>
      <c r="AO646" s="10" t="s">
        <v>3</v>
      </c>
      <c r="AP646" s="297"/>
      <c r="AQ646" s="178">
        <v>12</v>
      </c>
      <c r="AR646" s="177"/>
      <c r="AS646" s="222"/>
      <c r="AT646" s="177" t="s">
        <v>89</v>
      </c>
      <c r="AU646" s="177" t="s">
        <v>89</v>
      </c>
      <c r="AV646" s="62"/>
      <c r="AW646" s="173"/>
      <c r="AX646" s="175"/>
      <c r="AY646" s="182"/>
      <c r="AZ646" s="182"/>
      <c r="BA646" s="175"/>
      <c r="BB646" s="180"/>
      <c r="BC646" s="172"/>
      <c r="BD646" s="172"/>
      <c r="BE646" s="142"/>
      <c r="BF646" s="171"/>
      <c r="BG646" s="56"/>
      <c r="BH646" s="57"/>
      <c r="BI646" s="170"/>
      <c r="BJ646" s="169"/>
      <c r="BK646" s="181"/>
      <c r="BL646" s="36"/>
      <c r="BM646" s="36" t="str">
        <f>IF('[1]V1 V2'!X645="","",'[1]V1 V2'!X645)</f>
        <v/>
      </c>
    </row>
    <row r="647" spans="1:65" ht="16" thickBot="1" x14ac:dyDescent="0.4">
      <c r="A647">
        <v>1</v>
      </c>
      <c r="B647" s="304" t="s">
        <v>1965</v>
      </c>
      <c r="C647" s="305"/>
      <c r="D647" s="306"/>
      <c r="E647" s="36">
        <f>VLOOKUP($B647,'[1]V1 V2'!$B$5:$BW$1894,74,0)</f>
        <v>0</v>
      </c>
      <c r="F647" s="168"/>
      <c r="G647" s="169"/>
      <c r="H647" s="170"/>
      <c r="I647" s="57"/>
      <c r="J647" s="56">
        <v>-12</v>
      </c>
      <c r="K647" s="171"/>
      <c r="L647" s="142">
        <v>3.8</v>
      </c>
      <c r="M647" s="172"/>
      <c r="N647" s="173"/>
      <c r="O647" s="174"/>
      <c r="P647" s="175"/>
      <c r="Q647" s="182" t="s">
        <v>100</v>
      </c>
      <c r="R647" s="182" t="s">
        <v>29</v>
      </c>
      <c r="S647" s="175"/>
      <c r="T647" s="173" t="s">
        <v>30</v>
      </c>
      <c r="U647" s="62"/>
      <c r="V647" s="177" t="s">
        <v>1966</v>
      </c>
      <c r="W647" s="177" t="s">
        <v>1967</v>
      </c>
      <c r="X647" s="177">
        <v>29992.22900000001</v>
      </c>
      <c r="Y647" s="177">
        <v>4811.0099999999975</v>
      </c>
      <c r="Z647" s="178"/>
      <c r="AA647" s="297" t="s">
        <v>1965</v>
      </c>
      <c r="AB647" s="21" t="s">
        <v>2</v>
      </c>
      <c r="AH647" s="63">
        <v>1</v>
      </c>
      <c r="AO647" s="10" t="s">
        <v>3</v>
      </c>
      <c r="AP647" s="297" t="s">
        <v>1968</v>
      </c>
      <c r="AQ647" s="178"/>
      <c r="AR647" s="177">
        <v>4809.6100000000006</v>
      </c>
      <c r="AS647" s="222">
        <f>AS645-AQ646</f>
        <v>30451.438999999995</v>
      </c>
      <c r="AT647" s="177" t="s">
        <v>1969</v>
      </c>
      <c r="AU647" s="177" t="s">
        <v>1970</v>
      </c>
      <c r="AV647" s="62"/>
      <c r="AW647" s="173" t="s">
        <v>30</v>
      </c>
      <c r="AX647" s="175"/>
      <c r="AY647" s="182" t="s">
        <v>29</v>
      </c>
      <c r="AZ647" s="182" t="s">
        <v>100</v>
      </c>
      <c r="BA647" s="175"/>
      <c r="BB647" s="180"/>
      <c r="BC647" s="172"/>
      <c r="BD647" s="172"/>
      <c r="BE647" s="142">
        <v>3.8</v>
      </c>
      <c r="BF647" s="171"/>
      <c r="BG647" s="56">
        <v>-12</v>
      </c>
      <c r="BH647" s="57"/>
      <c r="BI647" s="170"/>
      <c r="BJ647" s="169"/>
      <c r="BK647" s="181"/>
      <c r="BL647" s="36">
        <f>VLOOKUP($AP647,'[1]V1 V2'!$B$5:$BW$1894,74,0)</f>
        <v>0</v>
      </c>
      <c r="BM647" s="36" t="str">
        <f>IF('[1]V1 V2'!X646="","",'[1]V1 V2'!X646)</f>
        <v/>
      </c>
    </row>
    <row r="648" spans="1:65" ht="16" thickBot="1" x14ac:dyDescent="0.4">
      <c r="A648">
        <v>1</v>
      </c>
      <c r="B648" s="304"/>
      <c r="C648" s="305"/>
      <c r="D648" s="306"/>
      <c r="E648" s="36"/>
      <c r="F648" s="168"/>
      <c r="G648" s="169"/>
      <c r="H648" s="170"/>
      <c r="I648" s="57"/>
      <c r="J648" s="56"/>
      <c r="K648" s="171"/>
      <c r="L648" s="142"/>
      <c r="M648" s="172"/>
      <c r="N648" s="173"/>
      <c r="O648" s="174"/>
      <c r="P648" s="175"/>
      <c r="Q648" s="182"/>
      <c r="R648" s="182"/>
      <c r="S648" s="175"/>
      <c r="T648" s="173"/>
      <c r="U648" s="62"/>
      <c r="V648" s="177" t="s">
        <v>89</v>
      </c>
      <c r="W648" s="177" t="s">
        <v>89</v>
      </c>
      <c r="X648" s="230"/>
      <c r="Y648" s="177"/>
      <c r="Z648" s="178">
        <v>12</v>
      </c>
      <c r="AA648" s="297"/>
      <c r="AB648" s="21" t="s">
        <v>2</v>
      </c>
      <c r="AH648" s="63">
        <v>1</v>
      </c>
      <c r="AO648" s="10" t="s">
        <v>3</v>
      </c>
      <c r="AP648" s="297"/>
      <c r="AQ648" s="178">
        <v>12</v>
      </c>
      <c r="AR648" s="177"/>
      <c r="AS648" s="222"/>
      <c r="AT648" s="177" t="s">
        <v>89</v>
      </c>
      <c r="AU648" s="177" t="s">
        <v>89</v>
      </c>
      <c r="AV648" s="62"/>
      <c r="AW648" s="173"/>
      <c r="AX648" s="175"/>
      <c r="AY648" s="182"/>
      <c r="AZ648" s="182"/>
      <c r="BA648" s="175"/>
      <c r="BB648" s="180"/>
      <c r="BC648" s="172"/>
      <c r="BD648" s="172"/>
      <c r="BE648" s="142"/>
      <c r="BF648" s="171"/>
      <c r="BG648" s="56"/>
      <c r="BH648" s="57"/>
      <c r="BI648" s="170"/>
      <c r="BJ648" s="169"/>
      <c r="BK648" s="181"/>
      <c r="BL648" s="36"/>
      <c r="BM648" s="36" t="str">
        <f>IF('[1]V1 V2'!X647="","",'[1]V1 V2'!X647)</f>
        <v/>
      </c>
    </row>
    <row r="649" spans="1:65" ht="16" thickBot="1" x14ac:dyDescent="0.4">
      <c r="A649">
        <v>1</v>
      </c>
      <c r="B649" s="304" t="s">
        <v>1971</v>
      </c>
      <c r="C649" s="305"/>
      <c r="D649" s="306"/>
      <c r="E649" s="36">
        <f>VLOOKUP($B649,'[1]V1 V2'!$B$5:$BW$1894,74,0)</f>
        <v>0</v>
      </c>
      <c r="F649" s="168"/>
      <c r="G649" s="169"/>
      <c r="H649" s="170"/>
      <c r="I649" s="57"/>
      <c r="J649" s="56">
        <v>-4</v>
      </c>
      <c r="K649" s="171"/>
      <c r="L649" s="142">
        <v>3.8</v>
      </c>
      <c r="M649" s="172"/>
      <c r="N649" s="173"/>
      <c r="O649" s="174"/>
      <c r="P649" s="175"/>
      <c r="Q649" s="182" t="s">
        <v>100</v>
      </c>
      <c r="R649" s="182" t="s">
        <v>29</v>
      </c>
      <c r="S649" s="175"/>
      <c r="T649" s="173" t="s">
        <v>30</v>
      </c>
      <c r="U649" s="62"/>
      <c r="V649" s="177" t="s">
        <v>1972</v>
      </c>
      <c r="W649" s="177" t="s">
        <v>1973</v>
      </c>
      <c r="X649" s="177">
        <v>29980.22900000001</v>
      </c>
      <c r="Y649" s="177">
        <v>4823.0099999999975</v>
      </c>
      <c r="Z649" s="178"/>
      <c r="AA649" s="297" t="s">
        <v>1971</v>
      </c>
      <c r="AB649" s="21" t="s">
        <v>2</v>
      </c>
      <c r="AH649" s="63">
        <v>1</v>
      </c>
      <c r="AO649" s="10" t="s">
        <v>3</v>
      </c>
      <c r="AP649" s="297" t="s">
        <v>1974</v>
      </c>
      <c r="AQ649" s="178"/>
      <c r="AR649" s="177">
        <v>4821.6100000000006</v>
      </c>
      <c r="AS649" s="222">
        <f>AS647-AQ648</f>
        <v>30439.438999999995</v>
      </c>
      <c r="AT649" s="177" t="s">
        <v>1975</v>
      </c>
      <c r="AU649" s="177" t="s">
        <v>1976</v>
      </c>
      <c r="AV649" s="62"/>
      <c r="AW649" s="173" t="s">
        <v>30</v>
      </c>
      <c r="AX649" s="175"/>
      <c r="AY649" s="182" t="s">
        <v>29</v>
      </c>
      <c r="AZ649" s="182" t="s">
        <v>100</v>
      </c>
      <c r="BA649" s="175"/>
      <c r="BB649" s="180"/>
      <c r="BC649" s="172"/>
      <c r="BD649" s="172"/>
      <c r="BE649" s="142">
        <v>3.8</v>
      </c>
      <c r="BF649" s="171"/>
      <c r="BG649" s="56">
        <v>-4</v>
      </c>
      <c r="BH649" s="57"/>
      <c r="BI649" s="170"/>
      <c r="BJ649" s="169"/>
      <c r="BK649" s="181"/>
      <c r="BL649" s="36">
        <f>VLOOKUP($AP649,'[1]V1 V2'!$B$5:$BW$1894,74,0)</f>
        <v>0</v>
      </c>
      <c r="BM649" s="36" t="str">
        <f>IF('[1]V1 V2'!X648="","",'[1]V1 V2'!X648)</f>
        <v/>
      </c>
    </row>
    <row r="650" spans="1:65" ht="16" thickBot="1" x14ac:dyDescent="0.4">
      <c r="A650">
        <v>1</v>
      </c>
      <c r="B650" s="304"/>
      <c r="C650" s="305"/>
      <c r="D650" s="306"/>
      <c r="E650" s="36"/>
      <c r="F650" s="168"/>
      <c r="G650" s="169"/>
      <c r="H650" s="170"/>
      <c r="I650" s="57"/>
      <c r="J650" s="56"/>
      <c r="K650" s="171"/>
      <c r="L650" s="142"/>
      <c r="M650" s="172"/>
      <c r="N650" s="173"/>
      <c r="O650" s="174"/>
      <c r="P650" s="175"/>
      <c r="Q650" s="182"/>
      <c r="R650" s="182"/>
      <c r="S650" s="175"/>
      <c r="T650" s="173"/>
      <c r="U650" s="62"/>
      <c r="V650" s="177" t="s">
        <v>89</v>
      </c>
      <c r="W650" s="177" t="s">
        <v>89</v>
      </c>
      <c r="X650" s="230"/>
      <c r="Y650" s="177"/>
      <c r="Z650" s="178">
        <v>12</v>
      </c>
      <c r="AA650" s="297"/>
      <c r="AB650" s="21" t="s">
        <v>2</v>
      </c>
      <c r="AH650" s="63">
        <v>1</v>
      </c>
      <c r="AO650" s="10" t="s">
        <v>3</v>
      </c>
      <c r="AP650" s="297"/>
      <c r="AQ650" s="178">
        <v>12</v>
      </c>
      <c r="AR650" s="177"/>
      <c r="AS650" s="222"/>
      <c r="AT650" s="177" t="s">
        <v>89</v>
      </c>
      <c r="AU650" s="177" t="s">
        <v>89</v>
      </c>
      <c r="AV650" s="62"/>
      <c r="AW650" s="173"/>
      <c r="AX650" s="175"/>
      <c r="AY650" s="182"/>
      <c r="AZ650" s="182"/>
      <c r="BA650" s="175"/>
      <c r="BB650" s="180"/>
      <c r="BC650" s="172"/>
      <c r="BD650" s="172"/>
      <c r="BE650" s="142"/>
      <c r="BF650" s="171"/>
      <c r="BG650" s="56"/>
      <c r="BH650" s="57"/>
      <c r="BI650" s="170"/>
      <c r="BJ650" s="169"/>
      <c r="BK650" s="181"/>
      <c r="BL650" s="36"/>
      <c r="BM650" s="36" t="str">
        <f>IF('[1]V1 V2'!X649="","",'[1]V1 V2'!X649)</f>
        <v/>
      </c>
    </row>
    <row r="651" spans="1:65" ht="16" thickBot="1" x14ac:dyDescent="0.4">
      <c r="A651">
        <v>1</v>
      </c>
      <c r="B651" s="304" t="s">
        <v>1977</v>
      </c>
      <c r="C651" s="305"/>
      <c r="D651" s="306"/>
      <c r="E651" s="36">
        <f>VLOOKUP($B651,'[1]V1 V2'!$B$5:$BW$1894,74,0)</f>
        <v>0</v>
      </c>
      <c r="F651" s="168"/>
      <c r="G651" s="169"/>
      <c r="H651" s="170"/>
      <c r="I651" s="57"/>
      <c r="J651" s="56" t="s">
        <v>113</v>
      </c>
      <c r="K651" s="171"/>
      <c r="L651" s="142">
        <v>3.8</v>
      </c>
      <c r="M651" s="172"/>
      <c r="N651" s="173"/>
      <c r="O651" s="174"/>
      <c r="P651" s="175"/>
      <c r="Q651" s="182" t="s">
        <v>100</v>
      </c>
      <c r="R651" s="182" t="s">
        <v>29</v>
      </c>
      <c r="S651" s="175"/>
      <c r="T651" s="173" t="s">
        <v>30</v>
      </c>
      <c r="U651" s="62"/>
      <c r="V651" s="177" t="s">
        <v>1978</v>
      </c>
      <c r="W651" s="177" t="s">
        <v>1979</v>
      </c>
      <c r="X651" s="177">
        <v>29968.22900000001</v>
      </c>
      <c r="Y651" s="177">
        <v>4835.0099999999975</v>
      </c>
      <c r="Z651" s="178"/>
      <c r="AA651" s="297" t="s">
        <v>1977</v>
      </c>
      <c r="AB651" s="21" t="s">
        <v>2</v>
      </c>
      <c r="AH651" s="63">
        <v>1</v>
      </c>
      <c r="AO651" s="10" t="s">
        <v>3</v>
      </c>
      <c r="AP651" s="297" t="s">
        <v>1980</v>
      </c>
      <c r="AQ651" s="178"/>
      <c r="AR651" s="177">
        <v>4833.6100000000006</v>
      </c>
      <c r="AS651" s="222">
        <f>AS649-AQ650</f>
        <v>30427.438999999995</v>
      </c>
      <c r="AT651" s="177" t="s">
        <v>1981</v>
      </c>
      <c r="AU651" s="177" t="s">
        <v>1982</v>
      </c>
      <c r="AV651" s="62"/>
      <c r="AW651" s="173" t="s">
        <v>30</v>
      </c>
      <c r="AX651" s="175"/>
      <c r="AY651" s="182" t="s">
        <v>29</v>
      </c>
      <c r="AZ651" s="182" t="s">
        <v>100</v>
      </c>
      <c r="BA651" s="175"/>
      <c r="BB651" s="180"/>
      <c r="BC651" s="172"/>
      <c r="BD651" s="172"/>
      <c r="BE651" s="142">
        <v>3.8</v>
      </c>
      <c r="BF651" s="171"/>
      <c r="BG651" s="183" t="s">
        <v>113</v>
      </c>
      <c r="BH651" s="57"/>
      <c r="BI651" s="170"/>
      <c r="BJ651" s="169"/>
      <c r="BK651" s="181"/>
      <c r="BL651" s="36">
        <f>VLOOKUP($AP651,'[1]V1 V2'!$B$5:$BW$1894,74,0)</f>
        <v>0</v>
      </c>
      <c r="BM651" s="36" t="str">
        <f>IF('[1]V1 V2'!X650="","",'[1]V1 V2'!X650)</f>
        <v/>
      </c>
    </row>
    <row r="652" spans="1:65" ht="16" thickBot="1" x14ac:dyDescent="0.4">
      <c r="A652">
        <v>1</v>
      </c>
      <c r="B652" s="304"/>
      <c r="C652" s="305"/>
      <c r="D652" s="306"/>
      <c r="E652" s="36"/>
      <c r="F652" s="168"/>
      <c r="G652" s="169"/>
      <c r="H652" s="170"/>
      <c r="I652" s="57"/>
      <c r="J652" s="56"/>
      <c r="K652" s="171"/>
      <c r="L652" s="142"/>
      <c r="M652" s="172"/>
      <c r="N652" s="173"/>
      <c r="O652" s="174"/>
      <c r="P652" s="175"/>
      <c r="Q652" s="182"/>
      <c r="R652" s="182"/>
      <c r="S652" s="175"/>
      <c r="T652" s="173"/>
      <c r="U652" s="62"/>
      <c r="V652" s="177" t="s">
        <v>89</v>
      </c>
      <c r="W652" s="177" t="s">
        <v>89</v>
      </c>
      <c r="X652" s="230"/>
      <c r="Y652" s="177"/>
      <c r="Z652" s="178">
        <v>12</v>
      </c>
      <c r="AA652" s="297"/>
      <c r="AB652" s="21" t="s">
        <v>2</v>
      </c>
      <c r="AH652" s="63">
        <v>1</v>
      </c>
      <c r="AO652" s="10" t="s">
        <v>3</v>
      </c>
      <c r="AP652" s="297"/>
      <c r="AQ652" s="178">
        <v>12</v>
      </c>
      <c r="AR652" s="177"/>
      <c r="AS652" s="222"/>
      <c r="AT652" s="177" t="s">
        <v>89</v>
      </c>
      <c r="AU652" s="177" t="s">
        <v>89</v>
      </c>
      <c r="AV652" s="62"/>
      <c r="AW652" s="173"/>
      <c r="AX652" s="175"/>
      <c r="AY652" s="182"/>
      <c r="AZ652" s="182"/>
      <c r="BA652" s="175"/>
      <c r="BB652" s="180"/>
      <c r="BC652" s="172"/>
      <c r="BD652" s="172"/>
      <c r="BE652" s="142"/>
      <c r="BF652" s="171"/>
      <c r="BG652" s="56"/>
      <c r="BH652" s="57"/>
      <c r="BI652" s="170"/>
      <c r="BJ652" s="169"/>
      <c r="BK652" s="181"/>
      <c r="BL652" s="36"/>
      <c r="BM652" s="36" t="str">
        <f>IF('[1]V1 V2'!X651="","",'[1]V1 V2'!X651)</f>
        <v/>
      </c>
    </row>
    <row r="653" spans="1:65" ht="16" thickBot="1" x14ac:dyDescent="0.4">
      <c r="A653">
        <v>1</v>
      </c>
      <c r="B653" s="304" t="s">
        <v>1983</v>
      </c>
      <c r="C653" s="305"/>
      <c r="D653" s="306"/>
      <c r="E653" s="36">
        <f>VLOOKUP($B653,'[1]V1 V2'!$B$5:$BW$1894,74,0)</f>
        <v>0</v>
      </c>
      <c r="F653" s="168"/>
      <c r="G653" s="169"/>
      <c r="H653" s="170"/>
      <c r="I653" s="57"/>
      <c r="J653" s="56" t="s">
        <v>120</v>
      </c>
      <c r="K653" s="171"/>
      <c r="L653" s="142">
        <v>3.8</v>
      </c>
      <c r="M653" s="172"/>
      <c r="N653" s="173"/>
      <c r="O653" s="174"/>
      <c r="P653" s="175"/>
      <c r="Q653" s="182" t="s">
        <v>100</v>
      </c>
      <c r="R653" s="182" t="s">
        <v>29</v>
      </c>
      <c r="S653" s="175"/>
      <c r="T653" s="173" t="s">
        <v>30</v>
      </c>
      <c r="U653" s="62"/>
      <c r="V653" s="177" t="s">
        <v>1984</v>
      </c>
      <c r="W653" s="177" t="s">
        <v>1985</v>
      </c>
      <c r="X653" s="177">
        <v>29956.22900000001</v>
      </c>
      <c r="Y653" s="177">
        <v>4847.0099999999975</v>
      </c>
      <c r="Z653" s="178"/>
      <c r="AA653" s="297" t="s">
        <v>1983</v>
      </c>
      <c r="AB653" s="21" t="s">
        <v>2</v>
      </c>
      <c r="AH653" s="63">
        <v>1</v>
      </c>
      <c r="AO653" s="10" t="s">
        <v>3</v>
      </c>
      <c r="AP653" s="297" t="s">
        <v>1986</v>
      </c>
      <c r="AQ653" s="178"/>
      <c r="AR653" s="177">
        <v>4845.6100000000006</v>
      </c>
      <c r="AS653" s="222">
        <f>AS651-AQ652</f>
        <v>30415.438999999995</v>
      </c>
      <c r="AT653" s="177" t="s">
        <v>1987</v>
      </c>
      <c r="AU653" s="177" t="s">
        <v>1988</v>
      </c>
      <c r="AV653" s="62"/>
      <c r="AW653" s="173" t="s">
        <v>30</v>
      </c>
      <c r="AX653" s="175"/>
      <c r="AY653" s="182" t="s">
        <v>29</v>
      </c>
      <c r="AZ653" s="182" t="s">
        <v>100</v>
      </c>
      <c r="BA653" s="175"/>
      <c r="BB653" s="180"/>
      <c r="BC653" s="172"/>
      <c r="BD653" s="172"/>
      <c r="BE653" s="142">
        <v>3.8</v>
      </c>
      <c r="BF653" s="171"/>
      <c r="BG653" s="183" t="s">
        <v>120</v>
      </c>
      <c r="BH653" s="57"/>
      <c r="BI653" s="170"/>
      <c r="BJ653" s="169"/>
      <c r="BK653" s="181"/>
      <c r="BL653" s="36">
        <f>VLOOKUP($AP653,'[1]V1 V2'!$B$5:$BW$1894,74,0)</f>
        <v>0</v>
      </c>
      <c r="BM653" s="36" t="str">
        <f>IF('[1]V1 V2'!X652="","",'[1]V1 V2'!X652)</f>
        <v/>
      </c>
    </row>
    <row r="654" spans="1:65" ht="16" thickBot="1" x14ac:dyDescent="0.4">
      <c r="A654">
        <v>1</v>
      </c>
      <c r="B654" s="304"/>
      <c r="C654" s="305"/>
      <c r="D654" s="306"/>
      <c r="E654" s="36"/>
      <c r="F654" s="168"/>
      <c r="G654" s="169"/>
      <c r="H654" s="170"/>
      <c r="I654" s="57"/>
      <c r="J654" s="56"/>
      <c r="K654" s="171"/>
      <c r="L654" s="142"/>
      <c r="M654" s="172"/>
      <c r="N654" s="173"/>
      <c r="O654" s="174"/>
      <c r="P654" s="175"/>
      <c r="Q654" s="182"/>
      <c r="R654" s="182"/>
      <c r="S654" s="175"/>
      <c r="T654" s="173"/>
      <c r="U654" s="62"/>
      <c r="V654" s="177" t="s">
        <v>89</v>
      </c>
      <c r="W654" s="177" t="s">
        <v>89</v>
      </c>
      <c r="X654" s="230"/>
      <c r="Y654" s="177"/>
      <c r="Z654" s="178">
        <v>12</v>
      </c>
      <c r="AA654" s="297"/>
      <c r="AB654" s="21" t="s">
        <v>2</v>
      </c>
      <c r="AH654" s="63">
        <v>1</v>
      </c>
      <c r="AO654" s="10" t="s">
        <v>3</v>
      </c>
      <c r="AP654" s="297"/>
      <c r="AQ654" s="178">
        <v>12</v>
      </c>
      <c r="AR654" s="177"/>
      <c r="AS654" s="222"/>
      <c r="AT654" s="177" t="s">
        <v>89</v>
      </c>
      <c r="AU654" s="177" t="s">
        <v>89</v>
      </c>
      <c r="AV654" s="62"/>
      <c r="AW654" s="173"/>
      <c r="AX654" s="175"/>
      <c r="AY654" s="182"/>
      <c r="AZ654" s="182"/>
      <c r="BA654" s="175"/>
      <c r="BB654" s="180"/>
      <c r="BC654" s="172"/>
      <c r="BD654" s="172"/>
      <c r="BE654" s="142"/>
      <c r="BF654" s="171"/>
      <c r="BG654" s="56"/>
      <c r="BH654" s="57"/>
      <c r="BI654" s="170"/>
      <c r="BJ654" s="169"/>
      <c r="BK654" s="181"/>
      <c r="BL654" s="36"/>
      <c r="BM654" s="36" t="str">
        <f>IF('[1]V1 V2'!X653="","",'[1]V1 V2'!X653)</f>
        <v/>
      </c>
    </row>
    <row r="655" spans="1:65" ht="16" thickBot="1" x14ac:dyDescent="0.4">
      <c r="A655">
        <v>1</v>
      </c>
      <c r="B655" s="304" t="s">
        <v>1989</v>
      </c>
      <c r="C655" s="305"/>
      <c r="D655" s="306"/>
      <c r="E655" s="36">
        <f>VLOOKUP($B655,'[1]V1 V2'!$B$5:$BW$1894,74,0)</f>
        <v>0</v>
      </c>
      <c r="F655" s="168"/>
      <c r="G655" s="169"/>
      <c r="H655" s="170"/>
      <c r="I655" s="57"/>
      <c r="J655" s="56" t="s">
        <v>127</v>
      </c>
      <c r="K655" s="171"/>
      <c r="L655" s="142">
        <v>3.8</v>
      </c>
      <c r="M655" s="172"/>
      <c r="N655" s="173"/>
      <c r="O655" s="174"/>
      <c r="P655" s="175"/>
      <c r="Q655" s="182" t="s">
        <v>100</v>
      </c>
      <c r="R655" s="182" t="s">
        <v>29</v>
      </c>
      <c r="S655" s="175"/>
      <c r="T655" s="173" t="s">
        <v>30</v>
      </c>
      <c r="U655" s="62"/>
      <c r="V655" s="177" t="s">
        <v>1990</v>
      </c>
      <c r="W655" s="177" t="s">
        <v>1991</v>
      </c>
      <c r="X655" s="177">
        <v>29944.22900000001</v>
      </c>
      <c r="Y655" s="177">
        <v>4859.0099999999975</v>
      </c>
      <c r="Z655" s="178"/>
      <c r="AA655" s="297" t="s">
        <v>1989</v>
      </c>
      <c r="AB655" s="21" t="s">
        <v>2</v>
      </c>
      <c r="AH655" s="63">
        <v>1</v>
      </c>
      <c r="AO655" s="10" t="s">
        <v>3</v>
      </c>
      <c r="AP655" s="297" t="s">
        <v>1992</v>
      </c>
      <c r="AQ655" s="178"/>
      <c r="AR655" s="177">
        <v>4857.6100000000006</v>
      </c>
      <c r="AS655" s="222">
        <f>AS653-AQ654</f>
        <v>30403.438999999995</v>
      </c>
      <c r="AT655" s="177" t="s">
        <v>1993</v>
      </c>
      <c r="AU655" s="177" t="s">
        <v>1994</v>
      </c>
      <c r="AV655" s="62"/>
      <c r="AW655" s="173" t="s">
        <v>30</v>
      </c>
      <c r="AX655" s="175"/>
      <c r="AY655" s="182" t="s">
        <v>29</v>
      </c>
      <c r="AZ655" s="182" t="s">
        <v>100</v>
      </c>
      <c r="BA655" s="175"/>
      <c r="BB655" s="180"/>
      <c r="BC655" s="172"/>
      <c r="BD655" s="172"/>
      <c r="BE655" s="142">
        <v>3.8</v>
      </c>
      <c r="BF655" s="171"/>
      <c r="BG655" s="183" t="s">
        <v>127</v>
      </c>
      <c r="BH655" s="57"/>
      <c r="BI655" s="170"/>
      <c r="BJ655" s="169"/>
      <c r="BK655" s="181"/>
      <c r="BL655" s="36">
        <f>VLOOKUP($AP655,'[1]V1 V2'!$B$5:$BW$1894,74,0)</f>
        <v>0</v>
      </c>
      <c r="BM655" s="36" t="str">
        <f>IF('[1]V1 V2'!X654="","",'[1]V1 V2'!X654)</f>
        <v/>
      </c>
    </row>
    <row r="656" spans="1:65" ht="16" thickBot="1" x14ac:dyDescent="0.4">
      <c r="A656">
        <v>1</v>
      </c>
      <c r="B656" s="304"/>
      <c r="C656" s="305"/>
      <c r="D656" s="306"/>
      <c r="E656" s="36"/>
      <c r="F656" s="168"/>
      <c r="G656" s="169"/>
      <c r="H656" s="170"/>
      <c r="I656" s="57"/>
      <c r="J656" s="56"/>
      <c r="K656" s="171"/>
      <c r="L656" s="142"/>
      <c r="M656" s="172"/>
      <c r="N656" s="173"/>
      <c r="O656" s="174"/>
      <c r="P656" s="175"/>
      <c r="Q656" s="182"/>
      <c r="R656" s="182"/>
      <c r="S656" s="175"/>
      <c r="T656" s="173"/>
      <c r="U656" s="62"/>
      <c r="V656" s="177" t="s">
        <v>89</v>
      </c>
      <c r="W656" s="177" t="s">
        <v>89</v>
      </c>
      <c r="X656" s="230"/>
      <c r="Y656" s="177"/>
      <c r="Z656" s="178">
        <v>12</v>
      </c>
      <c r="AA656" s="297"/>
      <c r="AB656" s="21" t="s">
        <v>2</v>
      </c>
      <c r="AH656" s="63">
        <v>1</v>
      </c>
      <c r="AO656" s="10" t="s">
        <v>3</v>
      </c>
      <c r="AP656" s="297"/>
      <c r="AQ656" s="178">
        <v>12</v>
      </c>
      <c r="AR656" s="177"/>
      <c r="AS656" s="222"/>
      <c r="AT656" s="177" t="s">
        <v>89</v>
      </c>
      <c r="AU656" s="177" t="s">
        <v>89</v>
      </c>
      <c r="AV656" s="62"/>
      <c r="AW656" s="173"/>
      <c r="AX656" s="175"/>
      <c r="AY656" s="182"/>
      <c r="AZ656" s="182"/>
      <c r="BA656" s="175"/>
      <c r="BB656" s="180"/>
      <c r="BC656" s="172"/>
      <c r="BD656" s="172"/>
      <c r="BE656" s="142"/>
      <c r="BF656" s="171"/>
      <c r="BG656" s="56"/>
      <c r="BH656" s="57"/>
      <c r="BI656" s="170"/>
      <c r="BJ656" s="169"/>
      <c r="BK656" s="181"/>
      <c r="BL656" s="36"/>
      <c r="BM656" s="36" t="str">
        <f>IF('[1]V1 V2'!X655="","",'[1]V1 V2'!X655)</f>
        <v/>
      </c>
    </row>
    <row r="657" spans="1:65" ht="16" thickBot="1" x14ac:dyDescent="0.4">
      <c r="A657">
        <v>1</v>
      </c>
      <c r="B657" s="304" t="s">
        <v>1995</v>
      </c>
      <c r="C657" s="305"/>
      <c r="D657" s="306"/>
      <c r="E657" s="36">
        <f>VLOOKUP($B657,'[1]V1 V2'!$B$5:$BW$1894,74,0)</f>
        <v>0</v>
      </c>
      <c r="F657" s="168"/>
      <c r="G657" s="169"/>
      <c r="H657" s="170"/>
      <c r="I657" s="57"/>
      <c r="J657" s="56" t="s">
        <v>120</v>
      </c>
      <c r="K657" s="171"/>
      <c r="L657" s="142">
        <v>3.8</v>
      </c>
      <c r="M657" s="172"/>
      <c r="N657" s="173"/>
      <c r="O657" s="174"/>
      <c r="P657" s="175"/>
      <c r="Q657" s="182" t="s">
        <v>100</v>
      </c>
      <c r="R657" s="182" t="s">
        <v>29</v>
      </c>
      <c r="S657" s="175"/>
      <c r="T657" s="173" t="s">
        <v>30</v>
      </c>
      <c r="U657" s="62"/>
      <c r="V657" s="177" t="s">
        <v>1996</v>
      </c>
      <c r="W657" s="177" t="s">
        <v>1997</v>
      </c>
      <c r="X657" s="177">
        <v>29932.22900000001</v>
      </c>
      <c r="Y657" s="177">
        <v>4871.0099999999975</v>
      </c>
      <c r="Z657" s="178"/>
      <c r="AA657" s="297" t="s">
        <v>1995</v>
      </c>
      <c r="AB657" s="21" t="s">
        <v>2</v>
      </c>
      <c r="AH657" s="63">
        <v>1</v>
      </c>
      <c r="AO657" s="10" t="s">
        <v>3</v>
      </c>
      <c r="AP657" s="297" t="s">
        <v>1998</v>
      </c>
      <c r="AQ657" s="178"/>
      <c r="AR657" s="177">
        <v>4869.6100000000006</v>
      </c>
      <c r="AS657" s="222">
        <f>AS655-AQ656</f>
        <v>30391.438999999995</v>
      </c>
      <c r="AT657" s="177" t="s">
        <v>1999</v>
      </c>
      <c r="AU657" s="177" t="s">
        <v>2000</v>
      </c>
      <c r="AV657" s="62"/>
      <c r="AW657" s="173" t="s">
        <v>30</v>
      </c>
      <c r="AX657" s="175"/>
      <c r="AY657" s="182" t="s">
        <v>29</v>
      </c>
      <c r="AZ657" s="182" t="s">
        <v>100</v>
      </c>
      <c r="BA657" s="175"/>
      <c r="BB657" s="180"/>
      <c r="BC657" s="172"/>
      <c r="BD657" s="172"/>
      <c r="BE657" s="142">
        <v>3.8</v>
      </c>
      <c r="BF657" s="171"/>
      <c r="BG657" s="183" t="s">
        <v>120</v>
      </c>
      <c r="BH657" s="57"/>
      <c r="BI657" s="170"/>
      <c r="BJ657" s="169"/>
      <c r="BK657" s="181"/>
      <c r="BL657" s="36">
        <f>VLOOKUP($AP657,'[1]V1 V2'!$B$5:$BW$1894,74,0)</f>
        <v>0</v>
      </c>
      <c r="BM657" s="36" t="str">
        <f>IF('[1]V1 V2'!X656="","",'[1]V1 V2'!X656)</f>
        <v/>
      </c>
    </row>
    <row r="658" spans="1:65" ht="16" thickBot="1" x14ac:dyDescent="0.4">
      <c r="A658">
        <v>1</v>
      </c>
      <c r="B658" s="304"/>
      <c r="C658" s="305"/>
      <c r="D658" s="306"/>
      <c r="E658" s="36"/>
      <c r="F658" s="168"/>
      <c r="G658" s="169"/>
      <c r="H658" s="170"/>
      <c r="I658" s="57"/>
      <c r="J658" s="56"/>
      <c r="K658" s="171"/>
      <c r="L658" s="142"/>
      <c r="M658" s="172"/>
      <c r="N658" s="173"/>
      <c r="O658" s="174"/>
      <c r="P658" s="175"/>
      <c r="Q658" s="182"/>
      <c r="R658" s="182"/>
      <c r="S658" s="175"/>
      <c r="T658" s="173"/>
      <c r="U658" s="62"/>
      <c r="V658" s="177" t="s">
        <v>89</v>
      </c>
      <c r="W658" s="177" t="s">
        <v>89</v>
      </c>
      <c r="X658" s="230"/>
      <c r="Y658" s="177"/>
      <c r="Z658" s="178">
        <v>12</v>
      </c>
      <c r="AA658" s="297"/>
      <c r="AB658" s="21" t="s">
        <v>2</v>
      </c>
      <c r="AH658" s="63">
        <v>1</v>
      </c>
      <c r="AO658" s="10" t="s">
        <v>3</v>
      </c>
      <c r="AP658" s="297"/>
      <c r="AQ658" s="178">
        <v>12</v>
      </c>
      <c r="AR658" s="177"/>
      <c r="AS658" s="222"/>
      <c r="AT658" s="177" t="s">
        <v>89</v>
      </c>
      <c r="AU658" s="177" t="s">
        <v>89</v>
      </c>
      <c r="AV658" s="62"/>
      <c r="AW658" s="173"/>
      <c r="AX658" s="175"/>
      <c r="AY658" s="182"/>
      <c r="AZ658" s="182"/>
      <c r="BA658" s="175"/>
      <c r="BB658" s="180"/>
      <c r="BC658" s="172"/>
      <c r="BD658" s="172"/>
      <c r="BE658" s="142"/>
      <c r="BF658" s="171"/>
      <c r="BG658" s="56"/>
      <c r="BH658" s="57"/>
      <c r="BI658" s="170"/>
      <c r="BJ658" s="169"/>
      <c r="BK658" s="181"/>
      <c r="BL658" s="36"/>
      <c r="BM658" s="36" t="str">
        <f>IF('[1]V1 V2'!X657="","",'[1]V1 V2'!X657)</f>
        <v/>
      </c>
    </row>
    <row r="659" spans="1:65" ht="16" thickBot="1" x14ac:dyDescent="0.4">
      <c r="A659">
        <v>1</v>
      </c>
      <c r="B659" s="304" t="s">
        <v>2001</v>
      </c>
      <c r="C659" s="305"/>
      <c r="D659" s="306"/>
      <c r="E659" s="36">
        <f>VLOOKUP($B659,'[1]V1 V2'!$B$5:$BW$1894,74,0)</f>
        <v>0</v>
      </c>
      <c r="F659" s="168"/>
      <c r="G659" s="169"/>
      <c r="H659" s="170"/>
      <c r="I659" s="57"/>
      <c r="J659" s="56" t="s">
        <v>113</v>
      </c>
      <c r="K659" s="171"/>
      <c r="L659" s="142">
        <v>3.8</v>
      </c>
      <c r="M659" s="172"/>
      <c r="N659" s="173"/>
      <c r="O659" s="174"/>
      <c r="P659" s="175"/>
      <c r="Q659" s="182" t="s">
        <v>100</v>
      </c>
      <c r="R659" s="182" t="s">
        <v>29</v>
      </c>
      <c r="S659" s="175"/>
      <c r="T659" s="173" t="s">
        <v>30</v>
      </c>
      <c r="U659" s="62"/>
      <c r="V659" s="177" t="s">
        <v>2002</v>
      </c>
      <c r="W659" s="177" t="s">
        <v>2003</v>
      </c>
      <c r="X659" s="177">
        <v>29920.22900000001</v>
      </c>
      <c r="Y659" s="177">
        <v>4883.0099999999975</v>
      </c>
      <c r="Z659" s="178"/>
      <c r="AA659" s="297" t="s">
        <v>2001</v>
      </c>
      <c r="AB659" s="21" t="s">
        <v>2</v>
      </c>
      <c r="AH659" s="63">
        <v>1</v>
      </c>
      <c r="AO659" s="10" t="s">
        <v>3</v>
      </c>
      <c r="AP659" s="297" t="s">
        <v>2004</v>
      </c>
      <c r="AQ659" s="178"/>
      <c r="AR659" s="177">
        <v>4881.6100000000006</v>
      </c>
      <c r="AS659" s="222">
        <f>AS657-AQ658</f>
        <v>30379.438999999995</v>
      </c>
      <c r="AT659" s="177" t="s">
        <v>2005</v>
      </c>
      <c r="AU659" s="177" t="s">
        <v>2006</v>
      </c>
      <c r="AV659" s="62"/>
      <c r="AW659" s="173" t="s">
        <v>30</v>
      </c>
      <c r="AX659" s="175"/>
      <c r="AY659" s="182" t="s">
        <v>29</v>
      </c>
      <c r="AZ659" s="182" t="s">
        <v>100</v>
      </c>
      <c r="BA659" s="175"/>
      <c r="BB659" s="180"/>
      <c r="BC659" s="172"/>
      <c r="BD659" s="172"/>
      <c r="BE659" s="142">
        <v>3.8</v>
      </c>
      <c r="BF659" s="171"/>
      <c r="BG659" s="183" t="s">
        <v>113</v>
      </c>
      <c r="BH659" s="57"/>
      <c r="BI659" s="170"/>
      <c r="BJ659" s="169"/>
      <c r="BK659" s="181"/>
      <c r="BL659" s="36">
        <f>VLOOKUP($AP659,'[1]V1 V2'!$B$5:$BW$1894,74,0)</f>
        <v>0</v>
      </c>
      <c r="BM659" s="36" t="str">
        <f>IF('[1]V1 V2'!X658="","",'[1]V1 V2'!X658)</f>
        <v/>
      </c>
    </row>
    <row r="660" spans="1:65" ht="16" thickBot="1" x14ac:dyDescent="0.4">
      <c r="A660">
        <v>1</v>
      </c>
      <c r="B660" s="304"/>
      <c r="C660" s="305"/>
      <c r="D660" s="306"/>
      <c r="E660" s="36"/>
      <c r="F660" s="168"/>
      <c r="G660" s="169"/>
      <c r="H660" s="170"/>
      <c r="I660" s="57"/>
      <c r="J660" s="56"/>
      <c r="K660" s="171"/>
      <c r="L660" s="142"/>
      <c r="M660" s="172"/>
      <c r="N660" s="173"/>
      <c r="O660" s="174"/>
      <c r="P660" s="175"/>
      <c r="Q660" s="182"/>
      <c r="R660" s="182"/>
      <c r="S660" s="175"/>
      <c r="T660" s="173"/>
      <c r="U660" s="62"/>
      <c r="V660" s="177" t="s">
        <v>89</v>
      </c>
      <c r="W660" s="177" t="s">
        <v>89</v>
      </c>
      <c r="X660" s="230"/>
      <c r="Y660" s="177"/>
      <c r="Z660" s="178">
        <v>12</v>
      </c>
      <c r="AA660" s="297"/>
      <c r="AB660" s="21" t="s">
        <v>2</v>
      </c>
      <c r="AH660" s="63">
        <v>1</v>
      </c>
      <c r="AO660" s="10" t="s">
        <v>3</v>
      </c>
      <c r="AP660" s="297"/>
      <c r="AQ660" s="178">
        <v>12</v>
      </c>
      <c r="AR660" s="177"/>
      <c r="AS660" s="222"/>
      <c r="AT660" s="177" t="s">
        <v>89</v>
      </c>
      <c r="AU660" s="177" t="s">
        <v>89</v>
      </c>
      <c r="AV660" s="62"/>
      <c r="AW660" s="173"/>
      <c r="AX660" s="175"/>
      <c r="AY660" s="182"/>
      <c r="AZ660" s="182"/>
      <c r="BA660" s="175"/>
      <c r="BB660" s="180"/>
      <c r="BC660" s="172"/>
      <c r="BD660" s="172"/>
      <c r="BE660" s="142"/>
      <c r="BF660" s="171"/>
      <c r="BG660" s="56"/>
      <c r="BH660" s="57"/>
      <c r="BI660" s="170"/>
      <c r="BJ660" s="169"/>
      <c r="BK660" s="181"/>
      <c r="BL660" s="36"/>
      <c r="BM660" s="36" t="str">
        <f>IF('[1]V1 V2'!X659="","",'[1]V1 V2'!X659)</f>
        <v/>
      </c>
    </row>
    <row r="661" spans="1:65" ht="16" thickBot="1" x14ac:dyDescent="0.4">
      <c r="A661">
        <v>1</v>
      </c>
      <c r="B661" s="304" t="s">
        <v>2007</v>
      </c>
      <c r="C661" s="305"/>
      <c r="D661" s="306"/>
      <c r="E661" s="36">
        <f>VLOOKUP($B661,'[1]V1 V2'!$B$5:$BW$1894,74,0)</f>
        <v>0</v>
      </c>
      <c r="F661" s="168"/>
      <c r="G661" s="169"/>
      <c r="H661" s="170"/>
      <c r="I661" s="57"/>
      <c r="J661" s="56">
        <v>-4</v>
      </c>
      <c r="K661" s="171"/>
      <c r="L661" s="142">
        <v>3.8</v>
      </c>
      <c r="M661" s="172"/>
      <c r="N661" s="173"/>
      <c r="O661" s="174"/>
      <c r="P661" s="175"/>
      <c r="Q661" s="182" t="s">
        <v>100</v>
      </c>
      <c r="R661" s="182" t="s">
        <v>29</v>
      </c>
      <c r="S661" s="175"/>
      <c r="T661" s="173" t="s">
        <v>30</v>
      </c>
      <c r="U661" s="62"/>
      <c r="V661" s="177" t="s">
        <v>2008</v>
      </c>
      <c r="W661" s="177" t="s">
        <v>2009</v>
      </c>
      <c r="X661" s="177">
        <v>29908.22900000001</v>
      </c>
      <c r="Y661" s="177">
        <v>4895.0099999999975</v>
      </c>
      <c r="Z661" s="178"/>
      <c r="AA661" s="297" t="s">
        <v>2007</v>
      </c>
      <c r="AB661" s="21" t="s">
        <v>2</v>
      </c>
      <c r="AH661" s="63">
        <v>1</v>
      </c>
      <c r="AO661" s="10" t="s">
        <v>3</v>
      </c>
      <c r="AP661" s="297" t="s">
        <v>2010</v>
      </c>
      <c r="AQ661" s="178"/>
      <c r="AR661" s="177">
        <v>4893.6100000000006</v>
      </c>
      <c r="AS661" s="222">
        <f>AS659-AQ660</f>
        <v>30367.438999999995</v>
      </c>
      <c r="AT661" s="177" t="s">
        <v>2011</v>
      </c>
      <c r="AU661" s="177" t="s">
        <v>2012</v>
      </c>
      <c r="AV661" s="62"/>
      <c r="AW661" s="173" t="s">
        <v>30</v>
      </c>
      <c r="AX661" s="175"/>
      <c r="AY661" s="182" t="s">
        <v>29</v>
      </c>
      <c r="AZ661" s="182" t="s">
        <v>100</v>
      </c>
      <c r="BA661" s="175"/>
      <c r="BB661" s="180"/>
      <c r="BC661" s="172"/>
      <c r="BD661" s="172"/>
      <c r="BE661" s="142">
        <v>3.8</v>
      </c>
      <c r="BF661" s="171"/>
      <c r="BG661" s="56">
        <v>-4</v>
      </c>
      <c r="BH661" s="57"/>
      <c r="BI661" s="170"/>
      <c r="BJ661" s="169"/>
      <c r="BK661" s="181"/>
      <c r="BL661" s="36">
        <f>VLOOKUP($AP661,'[1]V1 V2'!$B$5:$BW$1894,74,0)</f>
        <v>0</v>
      </c>
      <c r="BM661" s="36" t="str">
        <f>IF('[1]V1 V2'!X660="","",'[1]V1 V2'!X660)</f>
        <v/>
      </c>
    </row>
    <row r="662" spans="1:65" ht="16" thickBot="1" x14ac:dyDescent="0.4">
      <c r="A662">
        <v>1</v>
      </c>
      <c r="B662" s="304"/>
      <c r="C662" s="305"/>
      <c r="D662" s="306"/>
      <c r="E662" s="36"/>
      <c r="F662" s="168"/>
      <c r="G662" s="169"/>
      <c r="H662" s="170"/>
      <c r="I662" s="57"/>
      <c r="J662" s="56"/>
      <c r="K662" s="171"/>
      <c r="L662" s="142"/>
      <c r="M662" s="172"/>
      <c r="N662" s="173"/>
      <c r="O662" s="174"/>
      <c r="P662" s="175"/>
      <c r="Q662" s="182"/>
      <c r="R662" s="182"/>
      <c r="S662" s="175"/>
      <c r="T662" s="173"/>
      <c r="U662" s="62"/>
      <c r="V662" s="177" t="s">
        <v>89</v>
      </c>
      <c r="W662" s="177" t="s">
        <v>89</v>
      </c>
      <c r="X662" s="230"/>
      <c r="Y662" s="177"/>
      <c r="Z662" s="178">
        <v>12</v>
      </c>
      <c r="AA662" s="297"/>
      <c r="AB662" s="21" t="s">
        <v>2</v>
      </c>
      <c r="AH662" s="63">
        <v>1</v>
      </c>
      <c r="AO662" s="10" t="s">
        <v>3</v>
      </c>
      <c r="AP662" s="297"/>
      <c r="AQ662" s="178">
        <v>12</v>
      </c>
      <c r="AR662" s="177"/>
      <c r="AS662" s="222"/>
      <c r="AT662" s="177" t="s">
        <v>89</v>
      </c>
      <c r="AU662" s="177" t="s">
        <v>89</v>
      </c>
      <c r="AV662" s="62"/>
      <c r="AW662" s="173"/>
      <c r="AX662" s="175"/>
      <c r="AY662" s="182"/>
      <c r="AZ662" s="182"/>
      <c r="BA662" s="175"/>
      <c r="BB662" s="180"/>
      <c r="BC662" s="172"/>
      <c r="BD662" s="172"/>
      <c r="BE662" s="142"/>
      <c r="BF662" s="171"/>
      <c r="BG662" s="56"/>
      <c r="BH662" s="57"/>
      <c r="BI662" s="170"/>
      <c r="BJ662" s="169"/>
      <c r="BK662" s="181"/>
      <c r="BL662" s="36"/>
      <c r="BM662" s="36" t="str">
        <f>IF('[1]V1 V2'!X661="","",'[1]V1 V2'!X661)</f>
        <v/>
      </c>
    </row>
    <row r="663" spans="1:65" ht="16" thickBot="1" x14ac:dyDescent="0.4">
      <c r="A663">
        <v>1</v>
      </c>
      <c r="B663" s="304" t="s">
        <v>2013</v>
      </c>
      <c r="C663" s="305"/>
      <c r="D663" s="306"/>
      <c r="E663" s="36">
        <f>VLOOKUP($B663,'[1]V1 V2'!$B$5:$BW$1894,74,0)</f>
        <v>0</v>
      </c>
      <c r="F663" s="168"/>
      <c r="G663" s="169"/>
      <c r="H663" s="170"/>
      <c r="I663" s="57"/>
      <c r="J663" s="56">
        <v>-12</v>
      </c>
      <c r="K663" s="171"/>
      <c r="L663" s="142">
        <v>3.8</v>
      </c>
      <c r="M663" s="172"/>
      <c r="N663" s="173"/>
      <c r="O663" s="174"/>
      <c r="P663" s="175"/>
      <c r="Q663" s="182" t="s">
        <v>100</v>
      </c>
      <c r="R663" s="182" t="s">
        <v>29</v>
      </c>
      <c r="S663" s="175"/>
      <c r="T663" s="173" t="s">
        <v>30</v>
      </c>
      <c r="U663" s="62"/>
      <c r="V663" s="177" t="s">
        <v>2014</v>
      </c>
      <c r="W663" s="177" t="s">
        <v>2015</v>
      </c>
      <c r="X663" s="177">
        <v>29896.22900000001</v>
      </c>
      <c r="Y663" s="177">
        <v>4907.0099999999975</v>
      </c>
      <c r="Z663" s="178"/>
      <c r="AA663" s="297" t="s">
        <v>2013</v>
      </c>
      <c r="AB663" s="21" t="s">
        <v>2</v>
      </c>
      <c r="AH663" s="63">
        <v>1</v>
      </c>
      <c r="AO663" s="10" t="s">
        <v>3</v>
      </c>
      <c r="AP663" s="297" t="s">
        <v>2016</v>
      </c>
      <c r="AQ663" s="178"/>
      <c r="AR663" s="177">
        <v>4905.6100000000006</v>
      </c>
      <c r="AS663" s="222">
        <f>AS661-AQ662</f>
        <v>30355.438999999995</v>
      </c>
      <c r="AT663" s="177" t="s">
        <v>2017</v>
      </c>
      <c r="AU663" s="177" t="s">
        <v>2018</v>
      </c>
      <c r="AV663" s="62"/>
      <c r="AW663" s="173" t="s">
        <v>30</v>
      </c>
      <c r="AX663" s="175"/>
      <c r="AY663" s="182" t="s">
        <v>29</v>
      </c>
      <c r="AZ663" s="182" t="s">
        <v>100</v>
      </c>
      <c r="BA663" s="175"/>
      <c r="BB663" s="180"/>
      <c r="BC663" s="172"/>
      <c r="BD663" s="172"/>
      <c r="BE663" s="142">
        <v>3.8</v>
      </c>
      <c r="BF663" s="171"/>
      <c r="BG663" s="56">
        <v>-12</v>
      </c>
      <c r="BH663" s="57"/>
      <c r="BI663" s="170"/>
      <c r="BJ663" s="169"/>
      <c r="BK663" s="181"/>
      <c r="BL663" s="36">
        <f>VLOOKUP($AP663,'[1]V1 V2'!$B$5:$BW$1894,74,0)</f>
        <v>0</v>
      </c>
      <c r="BM663" s="36" t="str">
        <f>IF('[1]V1 V2'!X662="","",'[1]V1 V2'!X662)</f>
        <v/>
      </c>
    </row>
    <row r="664" spans="1:65" ht="16" thickBot="1" x14ac:dyDescent="0.4">
      <c r="A664">
        <v>1</v>
      </c>
      <c r="B664" s="304"/>
      <c r="C664" s="305"/>
      <c r="D664" s="306"/>
      <c r="E664" s="36"/>
      <c r="F664" s="168"/>
      <c r="G664" s="169"/>
      <c r="H664" s="170"/>
      <c r="I664" s="57"/>
      <c r="J664" s="56"/>
      <c r="K664" s="171"/>
      <c r="L664" s="142"/>
      <c r="M664" s="172"/>
      <c r="N664" s="173"/>
      <c r="O664" s="174"/>
      <c r="P664" s="175"/>
      <c r="Q664" s="182"/>
      <c r="R664" s="182"/>
      <c r="S664" s="175"/>
      <c r="T664" s="173"/>
      <c r="U664" s="62"/>
      <c r="V664" s="177" t="s">
        <v>89</v>
      </c>
      <c r="W664" s="177" t="s">
        <v>89</v>
      </c>
      <c r="X664" s="230"/>
      <c r="Y664" s="177"/>
      <c r="Z664" s="178">
        <v>12</v>
      </c>
      <c r="AA664" s="297"/>
      <c r="AB664" s="21" t="s">
        <v>2</v>
      </c>
      <c r="AH664" s="63">
        <v>1</v>
      </c>
      <c r="AO664" s="10" t="s">
        <v>3</v>
      </c>
      <c r="AP664" s="297"/>
      <c r="AQ664" s="178">
        <v>12</v>
      </c>
      <c r="AR664" s="177"/>
      <c r="AS664" s="222"/>
      <c r="AT664" s="177" t="s">
        <v>89</v>
      </c>
      <c r="AU664" s="177" t="s">
        <v>89</v>
      </c>
      <c r="AV664" s="62"/>
      <c r="AW664" s="173"/>
      <c r="AX664" s="175"/>
      <c r="AY664" s="182"/>
      <c r="AZ664" s="182"/>
      <c r="BA664" s="175"/>
      <c r="BB664" s="180"/>
      <c r="BC664" s="172"/>
      <c r="BD664" s="172"/>
      <c r="BE664" s="142"/>
      <c r="BF664" s="171"/>
      <c r="BG664" s="56"/>
      <c r="BH664" s="57"/>
      <c r="BI664" s="170"/>
      <c r="BJ664" s="169"/>
      <c r="BK664" s="181"/>
      <c r="BL664" s="36"/>
      <c r="BM664" s="36" t="str">
        <f>IF('[1]V1 V2'!X663="","",'[1]V1 V2'!X663)</f>
        <v/>
      </c>
    </row>
    <row r="665" spans="1:65" ht="16" thickBot="1" x14ac:dyDescent="0.4">
      <c r="A665">
        <v>1</v>
      </c>
      <c r="B665" s="304" t="s">
        <v>2019</v>
      </c>
      <c r="C665" s="305"/>
      <c r="D665" s="306"/>
      <c r="E665" s="36">
        <f>VLOOKUP($B665,'[1]V1 V2'!$B$5:$BW$1894,74,0)</f>
        <v>0</v>
      </c>
      <c r="F665" s="168"/>
      <c r="G665" s="169"/>
      <c r="H665" s="170"/>
      <c r="I665" s="57"/>
      <c r="J665" s="56">
        <v>-20</v>
      </c>
      <c r="K665" s="171"/>
      <c r="L665" s="142">
        <v>3.8</v>
      </c>
      <c r="M665" s="172"/>
      <c r="N665" s="173"/>
      <c r="O665" s="174"/>
      <c r="P665" s="175"/>
      <c r="Q665" s="182" t="s">
        <v>100</v>
      </c>
      <c r="R665" s="182" t="s">
        <v>29</v>
      </c>
      <c r="S665" s="175"/>
      <c r="T665" s="173" t="s">
        <v>30</v>
      </c>
      <c r="U665" s="62"/>
      <c r="V665" s="177" t="s">
        <v>2020</v>
      </c>
      <c r="W665" s="177" t="s">
        <v>2021</v>
      </c>
      <c r="X665" s="177">
        <v>29884.22900000001</v>
      </c>
      <c r="Y665" s="177">
        <v>4919.0099999999975</v>
      </c>
      <c r="Z665" s="178"/>
      <c r="AA665" s="297" t="s">
        <v>2019</v>
      </c>
      <c r="AB665" s="21" t="s">
        <v>2</v>
      </c>
      <c r="AH665" s="63">
        <v>1</v>
      </c>
      <c r="AO665" s="10" t="s">
        <v>3</v>
      </c>
      <c r="AP665" s="297" t="s">
        <v>2022</v>
      </c>
      <c r="AQ665" s="178"/>
      <c r="AR665" s="177">
        <v>4917.6100000000006</v>
      </c>
      <c r="AS665" s="222">
        <f>AS663-AQ664</f>
        <v>30343.438999999995</v>
      </c>
      <c r="AT665" s="177" t="s">
        <v>2023</v>
      </c>
      <c r="AU665" s="177" t="s">
        <v>2024</v>
      </c>
      <c r="AV665" s="62"/>
      <c r="AW665" s="173" t="s">
        <v>30</v>
      </c>
      <c r="AX665" s="175"/>
      <c r="AY665" s="182" t="s">
        <v>29</v>
      </c>
      <c r="AZ665" s="182" t="s">
        <v>100</v>
      </c>
      <c r="BA665" s="175"/>
      <c r="BB665" s="180"/>
      <c r="BC665" s="172"/>
      <c r="BD665" s="172"/>
      <c r="BE665" s="142">
        <v>3.8</v>
      </c>
      <c r="BF665" s="171"/>
      <c r="BG665" s="56">
        <v>-20</v>
      </c>
      <c r="BH665" s="57"/>
      <c r="BI665" s="170"/>
      <c r="BJ665" s="169"/>
      <c r="BK665" s="181"/>
      <c r="BL665" s="36">
        <f>VLOOKUP($AP665,'[1]V1 V2'!$B$5:$BW$1894,74,0)</f>
        <v>0</v>
      </c>
      <c r="BM665" s="36" t="str">
        <f>IF('[1]V1 V2'!X664="","",'[1]V1 V2'!X664)</f>
        <v/>
      </c>
    </row>
    <row r="666" spans="1:65" ht="16" thickBot="1" x14ac:dyDescent="0.4">
      <c r="A666">
        <v>1</v>
      </c>
      <c r="B666" s="304"/>
      <c r="C666" s="305"/>
      <c r="D666" s="306"/>
      <c r="E666" s="36"/>
      <c r="F666" s="168"/>
      <c r="G666" s="169"/>
      <c r="H666" s="170"/>
      <c r="I666" s="57"/>
      <c r="J666" s="56"/>
      <c r="K666" s="171"/>
      <c r="L666" s="142"/>
      <c r="M666" s="172"/>
      <c r="N666" s="173"/>
      <c r="O666" s="174"/>
      <c r="P666" s="175"/>
      <c r="Q666" s="182"/>
      <c r="R666" s="182"/>
      <c r="S666" s="175"/>
      <c r="T666" s="173"/>
      <c r="U666" s="62"/>
      <c r="V666" s="177" t="s">
        <v>89</v>
      </c>
      <c r="W666" s="177" t="s">
        <v>89</v>
      </c>
      <c r="X666" s="230"/>
      <c r="Y666" s="177"/>
      <c r="Z666" s="178">
        <v>12</v>
      </c>
      <c r="AA666" s="297"/>
      <c r="AB666" s="21" t="s">
        <v>2</v>
      </c>
      <c r="AH666" s="63">
        <v>1</v>
      </c>
      <c r="AO666" s="10" t="s">
        <v>3</v>
      </c>
      <c r="AP666" s="297"/>
      <c r="AQ666" s="178">
        <v>12</v>
      </c>
      <c r="AR666" s="177"/>
      <c r="AS666" s="222"/>
      <c r="AT666" s="177" t="s">
        <v>89</v>
      </c>
      <c r="AU666" s="177" t="s">
        <v>89</v>
      </c>
      <c r="AV666" s="62"/>
      <c r="AW666" s="173"/>
      <c r="AX666" s="175"/>
      <c r="AY666" s="182"/>
      <c r="AZ666" s="182"/>
      <c r="BA666" s="175"/>
      <c r="BB666" s="180"/>
      <c r="BC666" s="172"/>
      <c r="BD666" s="172"/>
      <c r="BE666" s="142"/>
      <c r="BF666" s="171"/>
      <c r="BG666" s="56"/>
      <c r="BH666" s="57"/>
      <c r="BI666" s="170"/>
      <c r="BJ666" s="169"/>
      <c r="BK666" s="181"/>
      <c r="BL666" s="36"/>
      <c r="BM666" s="36" t="str">
        <f>IF('[1]V1 V2'!X665="","",'[1]V1 V2'!X665)</f>
        <v/>
      </c>
    </row>
    <row r="667" spans="1:65" ht="16" thickBot="1" x14ac:dyDescent="0.4">
      <c r="A667">
        <v>1</v>
      </c>
      <c r="B667" s="304" t="s">
        <v>2025</v>
      </c>
      <c r="C667" s="305"/>
      <c r="D667" s="306"/>
      <c r="E667" s="36">
        <f>VLOOKUP($B667,'[1]V1 V2'!$B$5:$BW$1894,74,0)</f>
        <v>0</v>
      </c>
      <c r="F667" s="168"/>
      <c r="G667" s="169"/>
      <c r="H667" s="170"/>
      <c r="I667" s="57"/>
      <c r="J667" s="56">
        <v>-12</v>
      </c>
      <c r="K667" s="171"/>
      <c r="L667" s="142">
        <v>3.8</v>
      </c>
      <c r="M667" s="172"/>
      <c r="N667" s="173"/>
      <c r="O667" s="174"/>
      <c r="P667" s="175"/>
      <c r="Q667" s="182" t="s">
        <v>100</v>
      </c>
      <c r="R667" s="182" t="s">
        <v>29</v>
      </c>
      <c r="S667" s="175"/>
      <c r="T667" s="173" t="s">
        <v>30</v>
      </c>
      <c r="U667" s="62"/>
      <c r="V667" s="177" t="s">
        <v>2026</v>
      </c>
      <c r="W667" s="177" t="s">
        <v>2027</v>
      </c>
      <c r="X667" s="177">
        <v>29872.22900000001</v>
      </c>
      <c r="Y667" s="177">
        <v>4931.0099999999975</v>
      </c>
      <c r="Z667" s="178"/>
      <c r="AA667" s="297" t="s">
        <v>2025</v>
      </c>
      <c r="AB667" s="21" t="s">
        <v>2</v>
      </c>
      <c r="AH667" s="63">
        <v>1</v>
      </c>
      <c r="AO667" s="10" t="s">
        <v>3</v>
      </c>
      <c r="AP667" s="297" t="s">
        <v>2028</v>
      </c>
      <c r="AQ667" s="178"/>
      <c r="AR667" s="177">
        <v>4929.6100000000006</v>
      </c>
      <c r="AS667" s="222">
        <f>AS665-AQ666</f>
        <v>30331.438999999995</v>
      </c>
      <c r="AT667" s="177" t="s">
        <v>2029</v>
      </c>
      <c r="AU667" s="177" t="s">
        <v>2030</v>
      </c>
      <c r="AV667" s="62"/>
      <c r="AW667" s="173" t="s">
        <v>30</v>
      </c>
      <c r="AX667" s="175"/>
      <c r="AY667" s="182" t="s">
        <v>29</v>
      </c>
      <c r="AZ667" s="182" t="s">
        <v>100</v>
      </c>
      <c r="BA667" s="175"/>
      <c r="BB667" s="180"/>
      <c r="BC667" s="172"/>
      <c r="BD667" s="172"/>
      <c r="BE667" s="142">
        <v>3.8</v>
      </c>
      <c r="BF667" s="171"/>
      <c r="BG667" s="56">
        <v>-12</v>
      </c>
      <c r="BH667" s="57"/>
      <c r="BI667" s="170"/>
      <c r="BJ667" s="169"/>
      <c r="BK667" s="181"/>
      <c r="BL667" s="36">
        <f>VLOOKUP($AP667,'[1]V1 V2'!$B$5:$BW$1894,74,0)</f>
        <v>0</v>
      </c>
      <c r="BM667" s="36" t="str">
        <f>IF('[1]V1 V2'!X666="","",'[1]V1 V2'!X666)</f>
        <v/>
      </c>
    </row>
    <row r="668" spans="1:65" ht="16" thickBot="1" x14ac:dyDescent="0.4">
      <c r="A668">
        <v>1</v>
      </c>
      <c r="B668" s="304"/>
      <c r="C668" s="305"/>
      <c r="D668" s="306"/>
      <c r="E668" s="36"/>
      <c r="F668" s="168"/>
      <c r="G668" s="169"/>
      <c r="H668" s="170"/>
      <c r="I668" s="57"/>
      <c r="J668" s="56"/>
      <c r="K668" s="171"/>
      <c r="L668" s="142"/>
      <c r="M668" s="172"/>
      <c r="N668" s="173"/>
      <c r="O668" s="174"/>
      <c r="P668" s="175"/>
      <c r="Q668" s="182"/>
      <c r="R668" s="182"/>
      <c r="S668" s="175"/>
      <c r="T668" s="173"/>
      <c r="U668" s="62"/>
      <c r="V668" s="177" t="s">
        <v>89</v>
      </c>
      <c r="W668" s="177" t="s">
        <v>89</v>
      </c>
      <c r="X668" s="230"/>
      <c r="Y668" s="177"/>
      <c r="Z668" s="178">
        <v>12</v>
      </c>
      <c r="AA668" s="297"/>
      <c r="AB668" s="21" t="s">
        <v>2</v>
      </c>
      <c r="AH668" s="63">
        <v>1</v>
      </c>
      <c r="AO668" s="10" t="s">
        <v>3</v>
      </c>
      <c r="AP668" s="297"/>
      <c r="AQ668" s="178">
        <v>12</v>
      </c>
      <c r="AR668" s="177"/>
      <c r="AS668" s="222"/>
      <c r="AT668" s="177" t="s">
        <v>89</v>
      </c>
      <c r="AU668" s="177" t="s">
        <v>89</v>
      </c>
      <c r="AV668" s="62"/>
      <c r="AW668" s="173"/>
      <c r="AX668" s="175"/>
      <c r="AY668" s="182"/>
      <c r="AZ668" s="182"/>
      <c r="BA668" s="175"/>
      <c r="BB668" s="180"/>
      <c r="BC668" s="172"/>
      <c r="BD668" s="172"/>
      <c r="BE668" s="142"/>
      <c r="BF668" s="171"/>
      <c r="BG668" s="56"/>
      <c r="BH668" s="57"/>
      <c r="BI668" s="170"/>
      <c r="BJ668" s="169"/>
      <c r="BK668" s="181"/>
      <c r="BL668" s="36"/>
      <c r="BM668" s="36" t="str">
        <f>IF('[1]V1 V2'!X667="","",'[1]V1 V2'!X667)</f>
        <v/>
      </c>
    </row>
    <row r="669" spans="1:65" ht="16" thickBot="1" x14ac:dyDescent="0.4">
      <c r="A669">
        <v>1</v>
      </c>
      <c r="B669" s="304" t="s">
        <v>2031</v>
      </c>
      <c r="C669" s="305"/>
      <c r="D669" s="306"/>
      <c r="E669" s="36">
        <f>VLOOKUP($B669,'[1]V1 V2'!$B$5:$BW$1894,74,0)</f>
        <v>0</v>
      </c>
      <c r="F669" s="168"/>
      <c r="G669" s="169"/>
      <c r="H669" s="170"/>
      <c r="I669" s="57"/>
      <c r="J669" s="56">
        <v>-4</v>
      </c>
      <c r="K669" s="171"/>
      <c r="L669" s="142">
        <v>3.8</v>
      </c>
      <c r="M669" s="172"/>
      <c r="N669" s="173"/>
      <c r="O669" s="174"/>
      <c r="P669" s="175"/>
      <c r="Q669" s="182" t="s">
        <v>100</v>
      </c>
      <c r="R669" s="182" t="s">
        <v>29</v>
      </c>
      <c r="S669" s="175"/>
      <c r="T669" s="173" t="s">
        <v>30</v>
      </c>
      <c r="U669" s="62"/>
      <c r="V669" s="177" t="s">
        <v>2032</v>
      </c>
      <c r="W669" s="177" t="s">
        <v>2033</v>
      </c>
      <c r="X669" s="177">
        <v>29860.22900000001</v>
      </c>
      <c r="Y669" s="177">
        <v>4943.0099999999975</v>
      </c>
      <c r="Z669" s="178"/>
      <c r="AA669" s="297" t="s">
        <v>2031</v>
      </c>
      <c r="AB669" s="21" t="s">
        <v>2</v>
      </c>
      <c r="AH669" s="63">
        <v>1</v>
      </c>
      <c r="AO669" s="10" t="s">
        <v>3</v>
      </c>
      <c r="AP669" s="297" t="s">
        <v>2034</v>
      </c>
      <c r="AQ669" s="178"/>
      <c r="AR669" s="177">
        <v>4941.6100000000006</v>
      </c>
      <c r="AS669" s="222">
        <f>AS667-AQ668</f>
        <v>30319.438999999995</v>
      </c>
      <c r="AT669" s="177" t="s">
        <v>2035</v>
      </c>
      <c r="AU669" s="177" t="s">
        <v>2036</v>
      </c>
      <c r="AV669" s="62"/>
      <c r="AW669" s="173" t="s">
        <v>30</v>
      </c>
      <c r="AX669" s="175"/>
      <c r="AY669" s="182" t="s">
        <v>29</v>
      </c>
      <c r="AZ669" s="182" t="s">
        <v>100</v>
      </c>
      <c r="BA669" s="175"/>
      <c r="BB669" s="180"/>
      <c r="BC669" s="172"/>
      <c r="BD669" s="172"/>
      <c r="BE669" s="142">
        <v>3.8</v>
      </c>
      <c r="BF669" s="171"/>
      <c r="BG669" s="56">
        <v>-4</v>
      </c>
      <c r="BH669" s="57"/>
      <c r="BI669" s="170"/>
      <c r="BJ669" s="169"/>
      <c r="BK669" s="181"/>
      <c r="BL669" s="36">
        <f>VLOOKUP($AP669,'[1]V1 V2'!$B$5:$BW$1894,74,0)</f>
        <v>0</v>
      </c>
      <c r="BM669" s="36" t="str">
        <f>IF('[1]V1 V2'!X668="","",'[1]V1 V2'!X668)</f>
        <v/>
      </c>
    </row>
    <row r="670" spans="1:65" ht="16" thickBot="1" x14ac:dyDescent="0.4">
      <c r="A670">
        <v>1</v>
      </c>
      <c r="B670" s="304"/>
      <c r="C670" s="305"/>
      <c r="D670" s="306"/>
      <c r="E670" s="36"/>
      <c r="F670" s="168"/>
      <c r="G670" s="169"/>
      <c r="H670" s="170"/>
      <c r="I670" s="57"/>
      <c r="J670" s="56"/>
      <c r="K670" s="171"/>
      <c r="L670" s="142"/>
      <c r="M670" s="172"/>
      <c r="N670" s="173"/>
      <c r="O670" s="174"/>
      <c r="P670" s="175"/>
      <c r="Q670" s="182"/>
      <c r="R670" s="182"/>
      <c r="S670" s="175"/>
      <c r="T670" s="173"/>
      <c r="U670" s="62"/>
      <c r="V670" s="177" t="s">
        <v>89</v>
      </c>
      <c r="W670" s="177" t="s">
        <v>89</v>
      </c>
      <c r="X670" s="230"/>
      <c r="Y670" s="177"/>
      <c r="Z670" s="178">
        <v>12</v>
      </c>
      <c r="AA670" s="297"/>
      <c r="AB670" s="21" t="s">
        <v>2</v>
      </c>
      <c r="AH670" s="63">
        <v>1</v>
      </c>
      <c r="AO670" s="10" t="s">
        <v>3</v>
      </c>
      <c r="AP670" s="297"/>
      <c r="AQ670" s="178">
        <v>12</v>
      </c>
      <c r="AR670" s="177"/>
      <c r="AS670" s="222"/>
      <c r="AT670" s="177" t="s">
        <v>89</v>
      </c>
      <c r="AU670" s="177" t="s">
        <v>89</v>
      </c>
      <c r="AV670" s="62"/>
      <c r="AW670" s="173"/>
      <c r="AX670" s="175"/>
      <c r="AY670" s="182"/>
      <c r="AZ670" s="182"/>
      <c r="BA670" s="175"/>
      <c r="BB670" s="180"/>
      <c r="BC670" s="172"/>
      <c r="BD670" s="172"/>
      <c r="BE670" s="142"/>
      <c r="BF670" s="171"/>
      <c r="BG670" s="56"/>
      <c r="BH670" s="57"/>
      <c r="BI670" s="170"/>
      <c r="BJ670" s="169"/>
      <c r="BK670" s="181"/>
      <c r="BL670" s="36"/>
      <c r="BM670" s="36" t="str">
        <f>IF('[1]V1 V2'!X669="","",'[1]V1 V2'!X669)</f>
        <v/>
      </c>
    </row>
    <row r="671" spans="1:65" ht="16" thickBot="1" x14ac:dyDescent="0.4">
      <c r="A671">
        <v>1</v>
      </c>
      <c r="B671" s="310" t="s">
        <v>2037</v>
      </c>
      <c r="C671" s="311"/>
      <c r="D671" s="312"/>
      <c r="E671" s="36">
        <f>VLOOKUP($B671,'[1]V1 V2'!$B$5:$BW$1894,74,0)</f>
        <v>0</v>
      </c>
      <c r="F671" s="144"/>
      <c r="G671" s="145"/>
      <c r="H671" s="69" t="s">
        <v>197</v>
      </c>
      <c r="I671" s="87" t="s">
        <v>113</v>
      </c>
      <c r="J671" s="86">
        <v>-20</v>
      </c>
      <c r="K671" s="147"/>
      <c r="L671" s="148">
        <v>3.8</v>
      </c>
      <c r="M671" s="149"/>
      <c r="N671" s="150"/>
      <c r="O671" s="151"/>
      <c r="P671" s="152"/>
      <c r="Q671" s="153" t="s">
        <v>83</v>
      </c>
      <c r="R671" s="153" t="s">
        <v>29</v>
      </c>
      <c r="S671" s="152"/>
      <c r="T671" s="150" t="s">
        <v>33</v>
      </c>
      <c r="U671" s="80"/>
      <c r="V671" s="154" t="s">
        <v>2038</v>
      </c>
      <c r="W671" s="154" t="s">
        <v>2039</v>
      </c>
      <c r="X671" s="355">
        <v>29848.22900000001</v>
      </c>
      <c r="Y671" s="154">
        <v>4955.0099999999975</v>
      </c>
      <c r="Z671" s="155"/>
      <c r="AA671" s="315" t="s">
        <v>2037</v>
      </c>
      <c r="AB671" s="21" t="s">
        <v>2</v>
      </c>
      <c r="AH671" s="63">
        <v>1</v>
      </c>
      <c r="AO671" s="10" t="s">
        <v>3</v>
      </c>
      <c r="AP671" s="315" t="s">
        <v>2040</v>
      </c>
      <c r="AQ671" s="155"/>
      <c r="AR671" s="154">
        <v>4953.6100000000006</v>
      </c>
      <c r="AS671" s="154">
        <f>AS669-AQ670</f>
        <v>30307.438999999995</v>
      </c>
      <c r="AT671" s="154" t="s">
        <v>2041</v>
      </c>
      <c r="AU671" s="154" t="s">
        <v>2042</v>
      </c>
      <c r="AV671" s="80"/>
      <c r="AW671" s="150" t="s">
        <v>33</v>
      </c>
      <c r="AX671" s="152"/>
      <c r="AY671" s="153" t="s">
        <v>29</v>
      </c>
      <c r="AZ671" s="153" t="s">
        <v>83</v>
      </c>
      <c r="BA671" s="152"/>
      <c r="BB671" s="157"/>
      <c r="BC671" s="149"/>
      <c r="BD671" s="149"/>
      <c r="BE671" s="148">
        <v>3.8</v>
      </c>
      <c r="BF671" s="147"/>
      <c r="BG671" s="86">
        <v>-20</v>
      </c>
      <c r="BH671" s="201" t="s">
        <v>113</v>
      </c>
      <c r="BI671" s="69" t="s">
        <v>197</v>
      </c>
      <c r="BJ671" s="145"/>
      <c r="BK671" s="160"/>
      <c r="BL671" s="36">
        <f>VLOOKUP($AP671,'[1]V1 V2'!$B$5:$BW$1894,74,0)</f>
        <v>0</v>
      </c>
      <c r="BM671" s="36" t="str">
        <f>IF('[1]V1 V2'!X670="","",'[1]V1 V2'!X670)</f>
        <v/>
      </c>
    </row>
    <row r="672" spans="1:65" ht="16" thickBot="1" x14ac:dyDescent="0.4">
      <c r="A672">
        <v>1</v>
      </c>
      <c r="B672" s="310"/>
      <c r="C672" s="311"/>
      <c r="D672" s="312"/>
      <c r="E672" s="36"/>
      <c r="F672" s="144"/>
      <c r="G672" s="145"/>
      <c r="H672" s="92" t="s">
        <v>8</v>
      </c>
      <c r="I672" s="87"/>
      <c r="J672" s="86"/>
      <c r="K672" s="147"/>
      <c r="L672" s="148"/>
      <c r="M672" s="149"/>
      <c r="N672" s="150"/>
      <c r="O672" s="151"/>
      <c r="P672" s="152"/>
      <c r="Q672" s="153"/>
      <c r="R672" s="153"/>
      <c r="S672" s="152"/>
      <c r="T672" s="150"/>
      <c r="U672" s="80"/>
      <c r="V672" s="154" t="s">
        <v>89</v>
      </c>
      <c r="W672" s="154" t="s">
        <v>89</v>
      </c>
      <c r="X672" s="356"/>
      <c r="Y672" s="154"/>
      <c r="Z672" s="155">
        <v>6.2</v>
      </c>
      <c r="AA672" s="315"/>
      <c r="AB672" s="21" t="s">
        <v>2</v>
      </c>
      <c r="AH672" s="63">
        <v>1</v>
      </c>
      <c r="AO672" s="10" t="s">
        <v>3</v>
      </c>
      <c r="AP672" s="315"/>
      <c r="AQ672" s="155">
        <v>6.2</v>
      </c>
      <c r="AR672" s="154"/>
      <c r="AS672" s="154"/>
      <c r="AT672" s="154" t="s">
        <v>89</v>
      </c>
      <c r="AU672" s="154" t="s">
        <v>89</v>
      </c>
      <c r="AV672" s="80"/>
      <c r="AW672" s="150"/>
      <c r="AX672" s="152"/>
      <c r="AY672" s="153"/>
      <c r="AZ672" s="153"/>
      <c r="BA672" s="152"/>
      <c r="BB672" s="157"/>
      <c r="BC672" s="149"/>
      <c r="BD672" s="149"/>
      <c r="BE672" s="148"/>
      <c r="BF672" s="147"/>
      <c r="BG672" s="86"/>
      <c r="BH672" s="87"/>
      <c r="BI672" s="92" t="s">
        <v>8</v>
      </c>
      <c r="BJ672" s="145"/>
      <c r="BK672" s="160"/>
      <c r="BL672" s="36"/>
      <c r="BM672" s="36" t="str">
        <f>IF('[1]V1 V2'!X671="","",'[1]V1 V2'!X671)</f>
        <v/>
      </c>
    </row>
    <row r="673" spans="1:65" ht="16" thickBot="1" x14ac:dyDescent="0.4">
      <c r="A673">
        <v>1</v>
      </c>
      <c r="B673" s="310" t="s">
        <v>2043</v>
      </c>
      <c r="C673" s="311"/>
      <c r="D673" s="312"/>
      <c r="E673" s="36">
        <f>VLOOKUP($B673,'[1]V1 V2'!$B$5:$BW$1894,74,0)</f>
        <v>0</v>
      </c>
      <c r="F673" s="144"/>
      <c r="G673" s="145"/>
      <c r="H673" s="98" t="s">
        <v>2044</v>
      </c>
      <c r="I673" s="257" t="s">
        <v>120</v>
      </c>
      <c r="J673" s="158">
        <v>-12</v>
      </c>
      <c r="K673" s="147"/>
      <c r="L673" s="148">
        <v>3.8</v>
      </c>
      <c r="M673" s="149"/>
      <c r="N673" s="150"/>
      <c r="O673" s="151"/>
      <c r="P673" s="152"/>
      <c r="Q673" s="153" t="s">
        <v>83</v>
      </c>
      <c r="R673" s="153" t="s">
        <v>29</v>
      </c>
      <c r="S673" s="152"/>
      <c r="T673" s="150" t="s">
        <v>33</v>
      </c>
      <c r="U673" s="80"/>
      <c r="V673" s="154" t="s">
        <v>2045</v>
      </c>
      <c r="W673" s="154" t="s">
        <v>2046</v>
      </c>
      <c r="X673" s="355">
        <v>29842.02900000001</v>
      </c>
      <c r="Y673" s="154">
        <v>4961.2099999999973</v>
      </c>
      <c r="Z673" s="155"/>
      <c r="AA673" s="315" t="s">
        <v>2043</v>
      </c>
      <c r="AB673" s="21" t="s">
        <v>2</v>
      </c>
      <c r="AH673" s="63">
        <v>1</v>
      </c>
      <c r="AO673" s="10" t="s">
        <v>3</v>
      </c>
      <c r="AP673" s="315" t="s">
        <v>2047</v>
      </c>
      <c r="AQ673" s="155"/>
      <c r="AR673" s="154">
        <v>4959.8100000000004</v>
      </c>
      <c r="AS673" s="154">
        <f>AS671-AQ672</f>
        <v>30301.238999999994</v>
      </c>
      <c r="AT673" s="154" t="s">
        <v>2048</v>
      </c>
      <c r="AU673" s="154" t="s">
        <v>2049</v>
      </c>
      <c r="AV673" s="80"/>
      <c r="AW673" s="150" t="s">
        <v>33</v>
      </c>
      <c r="AX673" s="152"/>
      <c r="AY673" s="153" t="s">
        <v>29</v>
      </c>
      <c r="AZ673" s="153" t="s">
        <v>83</v>
      </c>
      <c r="BA673" s="152"/>
      <c r="BB673" s="157"/>
      <c r="BC673" s="149"/>
      <c r="BD673" s="149"/>
      <c r="BE673" s="148">
        <v>3.8</v>
      </c>
      <c r="BF673" s="147"/>
      <c r="BG673" s="158">
        <v>-12</v>
      </c>
      <c r="BH673" s="402" t="s">
        <v>120</v>
      </c>
      <c r="BI673" s="98" t="s">
        <v>2050</v>
      </c>
      <c r="BJ673" s="145"/>
      <c r="BK673" s="160"/>
      <c r="BL673" s="36">
        <f>VLOOKUP($AP673,'[1]V1 V2'!$B$5:$BW$1894,74,0)</f>
        <v>0</v>
      </c>
      <c r="BM673" s="36" t="str">
        <f>IF('[1]V1 V2'!X672="","",'[1]V1 V2'!X672)</f>
        <v/>
      </c>
    </row>
    <row r="674" spans="1:65" ht="16" thickBot="1" x14ac:dyDescent="0.4">
      <c r="A674">
        <v>1</v>
      </c>
      <c r="B674" s="304"/>
      <c r="C674" s="305"/>
      <c r="D674" s="306"/>
      <c r="E674" s="36"/>
      <c r="F674" s="168"/>
      <c r="G674" s="169"/>
      <c r="H674" s="170"/>
      <c r="I674" s="57"/>
      <c r="J674" s="56"/>
      <c r="K674" s="171"/>
      <c r="L674" s="142"/>
      <c r="M674" s="172"/>
      <c r="N674" s="173"/>
      <c r="O674" s="174"/>
      <c r="P674" s="175"/>
      <c r="Q674" s="182"/>
      <c r="R674" s="182"/>
      <c r="S674" s="175"/>
      <c r="T674" s="173"/>
      <c r="U674" s="62"/>
      <c r="V674" s="177" t="s">
        <v>89</v>
      </c>
      <c r="W674" s="177" t="s">
        <v>89</v>
      </c>
      <c r="X674" s="230"/>
      <c r="Y674" s="177"/>
      <c r="Z674" s="178">
        <v>12</v>
      </c>
      <c r="AA674" s="297"/>
      <c r="AB674" s="21" t="s">
        <v>2</v>
      </c>
      <c r="AH674" s="63">
        <v>1</v>
      </c>
      <c r="AO674" s="10" t="s">
        <v>3</v>
      </c>
      <c r="AP674" s="297"/>
      <c r="AQ674" s="178">
        <v>12</v>
      </c>
      <c r="AR674" s="177"/>
      <c r="AS674" s="222"/>
      <c r="AT674" s="177" t="s">
        <v>89</v>
      </c>
      <c r="AU674" s="177" t="s">
        <v>89</v>
      </c>
      <c r="AV674" s="62"/>
      <c r="AW674" s="173"/>
      <c r="AX674" s="175"/>
      <c r="AY674" s="182"/>
      <c r="AZ674" s="182"/>
      <c r="BA674" s="175"/>
      <c r="BB674" s="180"/>
      <c r="BC674" s="172"/>
      <c r="BD674" s="172"/>
      <c r="BE674" s="142"/>
      <c r="BF674" s="171"/>
      <c r="BG674" s="56"/>
      <c r="BH674" s="57"/>
      <c r="BI674" s="170"/>
      <c r="BJ674" s="169"/>
      <c r="BK674" s="181"/>
      <c r="BL674" s="36"/>
      <c r="BM674" s="36" t="str">
        <f>IF('[1]V1 V2'!X673="","",'[1]V1 V2'!X673)</f>
        <v/>
      </c>
    </row>
    <row r="675" spans="1:65" ht="16" thickBot="1" x14ac:dyDescent="0.4">
      <c r="A675">
        <v>1</v>
      </c>
      <c r="B675" s="304" t="s">
        <v>2051</v>
      </c>
      <c r="C675" s="305"/>
      <c r="D675" s="306"/>
      <c r="E675" s="36">
        <f>VLOOKUP($B675,'[1]V1 V2'!$B$5:$BW$1894,74,0)</f>
        <v>0</v>
      </c>
      <c r="F675" s="168"/>
      <c r="G675" s="169"/>
      <c r="H675" s="170"/>
      <c r="I675" s="57"/>
      <c r="J675" s="56">
        <v>-4</v>
      </c>
      <c r="K675" s="171"/>
      <c r="L675" s="142">
        <v>3.8</v>
      </c>
      <c r="M675" s="172"/>
      <c r="N675" s="173"/>
      <c r="O675" s="174"/>
      <c r="P675" s="175"/>
      <c r="Q675" s="182" t="s">
        <v>100</v>
      </c>
      <c r="R675" s="182" t="s">
        <v>29</v>
      </c>
      <c r="S675" s="175"/>
      <c r="T675" s="173" t="s">
        <v>30</v>
      </c>
      <c r="U675" s="62"/>
      <c r="V675" s="177" t="s">
        <v>2052</v>
      </c>
      <c r="W675" s="177" t="s">
        <v>2053</v>
      </c>
      <c r="X675" s="177">
        <v>29830.02900000001</v>
      </c>
      <c r="Y675" s="222">
        <v>4973.21</v>
      </c>
      <c r="Z675" s="178"/>
      <c r="AA675" s="297" t="s">
        <v>2051</v>
      </c>
      <c r="AB675" s="21" t="s">
        <v>2</v>
      </c>
      <c r="AH675" s="63">
        <v>1</v>
      </c>
      <c r="AO675" s="10" t="s">
        <v>3</v>
      </c>
      <c r="AP675" s="297" t="s">
        <v>2054</v>
      </c>
      <c r="AQ675" s="178"/>
      <c r="AR675" s="177">
        <v>4971.8100000000004</v>
      </c>
      <c r="AS675" s="222">
        <f>AS673-AQ674</f>
        <v>30289.238999999994</v>
      </c>
      <c r="AT675" s="177" t="s">
        <v>2055</v>
      </c>
      <c r="AU675" s="177" t="s">
        <v>2056</v>
      </c>
      <c r="AV675" s="62"/>
      <c r="AW675" s="173" t="s">
        <v>30</v>
      </c>
      <c r="AX675" s="175"/>
      <c r="AY675" s="182" t="s">
        <v>29</v>
      </c>
      <c r="AZ675" s="182" t="s">
        <v>100</v>
      </c>
      <c r="BA675" s="175"/>
      <c r="BB675" s="180"/>
      <c r="BC675" s="172"/>
      <c r="BD675" s="172"/>
      <c r="BE675" s="142">
        <v>3.8</v>
      </c>
      <c r="BF675" s="171"/>
      <c r="BG675" s="56">
        <v>-4</v>
      </c>
      <c r="BH675" s="57"/>
      <c r="BI675" s="170"/>
      <c r="BJ675" s="169"/>
      <c r="BK675" s="181"/>
      <c r="BL675" s="36">
        <f>VLOOKUP($AP675,'[1]V1 V2'!$B$5:$BW$1894,74,0)</f>
        <v>0</v>
      </c>
      <c r="BM675" s="36" t="str">
        <f>IF('[1]V1 V2'!X674="","",'[1]V1 V2'!X674)</f>
        <v/>
      </c>
    </row>
    <row r="676" spans="1:65" ht="16" thickBot="1" x14ac:dyDescent="0.4">
      <c r="A676">
        <v>1</v>
      </c>
      <c r="B676" s="304"/>
      <c r="C676" s="305"/>
      <c r="D676" s="306"/>
      <c r="E676" s="36"/>
      <c r="F676" s="168"/>
      <c r="G676" s="169"/>
      <c r="H676" s="170"/>
      <c r="I676" s="57"/>
      <c r="J676" s="56"/>
      <c r="K676" s="171"/>
      <c r="L676" s="142"/>
      <c r="M676" s="172"/>
      <c r="N676" s="173"/>
      <c r="O676" s="174"/>
      <c r="P676" s="175"/>
      <c r="Q676" s="182"/>
      <c r="R676" s="182"/>
      <c r="S676" s="175"/>
      <c r="T676" s="173"/>
      <c r="U676" s="62"/>
      <c r="V676" s="177" t="s">
        <v>89</v>
      </c>
      <c r="W676" s="177" t="s">
        <v>89</v>
      </c>
      <c r="X676" s="230"/>
      <c r="Y676" s="177"/>
      <c r="Z676" s="178">
        <v>12</v>
      </c>
      <c r="AA676" s="297"/>
      <c r="AB676" s="21" t="s">
        <v>2</v>
      </c>
      <c r="AH676" s="63">
        <v>1</v>
      </c>
      <c r="AO676" s="10" t="s">
        <v>3</v>
      </c>
      <c r="AP676" s="297"/>
      <c r="AQ676" s="178">
        <v>12</v>
      </c>
      <c r="AR676" s="222"/>
      <c r="AS676" s="222"/>
      <c r="AT676" s="177" t="s">
        <v>89</v>
      </c>
      <c r="AU676" s="177" t="s">
        <v>89</v>
      </c>
      <c r="AV676" s="62"/>
      <c r="AW676" s="173"/>
      <c r="AX676" s="175"/>
      <c r="AY676" s="182"/>
      <c r="AZ676" s="182"/>
      <c r="BA676" s="175"/>
      <c r="BB676" s="180"/>
      <c r="BC676" s="172"/>
      <c r="BD676" s="172"/>
      <c r="BE676" s="142"/>
      <c r="BF676" s="171"/>
      <c r="BG676" s="56"/>
      <c r="BH676" s="57"/>
      <c r="BI676" s="170"/>
      <c r="BJ676" s="169"/>
      <c r="BK676" s="181"/>
      <c r="BL676" s="36"/>
      <c r="BM676" s="36" t="str">
        <f>IF('[1]V1 V2'!X675="","",'[1]V1 V2'!X675)</f>
        <v/>
      </c>
    </row>
    <row r="677" spans="1:65" ht="16" thickBot="1" x14ac:dyDescent="0.4">
      <c r="A677">
        <v>1</v>
      </c>
      <c r="B677" s="304" t="s">
        <v>2057</v>
      </c>
      <c r="C677" s="305"/>
      <c r="D677" s="306"/>
      <c r="E677" s="36">
        <f>VLOOKUP($B677,'[1]V1 V2'!$B$5:$BW$1894,74,0)</f>
        <v>0</v>
      </c>
      <c r="F677" s="168"/>
      <c r="G677" s="169"/>
      <c r="H677" s="170"/>
      <c r="I677" s="57"/>
      <c r="J677" s="56" t="s">
        <v>113</v>
      </c>
      <c r="K677" s="171"/>
      <c r="L677" s="142">
        <v>3.8</v>
      </c>
      <c r="M677" s="172"/>
      <c r="N677" s="173"/>
      <c r="O677" s="174"/>
      <c r="P677" s="175"/>
      <c r="Q677" s="182" t="s">
        <v>100</v>
      </c>
      <c r="R677" s="182" t="s">
        <v>29</v>
      </c>
      <c r="S677" s="175"/>
      <c r="T677" s="173" t="s">
        <v>30</v>
      </c>
      <c r="U677" s="62"/>
      <c r="V677" s="177" t="s">
        <v>2058</v>
      </c>
      <c r="W677" s="177" t="s">
        <v>2059</v>
      </c>
      <c r="X677" s="177">
        <v>29818.02900000001</v>
      </c>
      <c r="Y677" s="177">
        <v>4985.0099999999975</v>
      </c>
      <c r="Z677" s="178"/>
      <c r="AA677" s="297" t="s">
        <v>2057</v>
      </c>
      <c r="AB677" s="21" t="s">
        <v>2</v>
      </c>
      <c r="AH677" s="63">
        <v>1</v>
      </c>
      <c r="AO677" s="10" t="s">
        <v>3</v>
      </c>
      <c r="AP677" s="297" t="s">
        <v>2060</v>
      </c>
      <c r="AQ677" s="178"/>
      <c r="AR677" s="222">
        <v>4983.71</v>
      </c>
      <c r="AS677" s="222">
        <f>AS675-AQ676</f>
        <v>30277.238999999994</v>
      </c>
      <c r="AT677" s="177" t="s">
        <v>2061</v>
      </c>
      <c r="AU677" s="177" t="s">
        <v>2062</v>
      </c>
      <c r="AV677" s="62"/>
      <c r="AW677" s="173" t="s">
        <v>30</v>
      </c>
      <c r="AX677" s="175"/>
      <c r="AY677" s="182" t="s">
        <v>29</v>
      </c>
      <c r="AZ677" s="182" t="s">
        <v>100</v>
      </c>
      <c r="BA677" s="175"/>
      <c r="BB677" s="180"/>
      <c r="BC677" s="172"/>
      <c r="BD677" s="172"/>
      <c r="BE677" s="142">
        <v>3.8</v>
      </c>
      <c r="BF677" s="171"/>
      <c r="BG677" s="183" t="s">
        <v>113</v>
      </c>
      <c r="BH677" s="57"/>
      <c r="BI677" s="170"/>
      <c r="BJ677" s="169"/>
      <c r="BK677" s="181"/>
      <c r="BL677" s="36">
        <f>VLOOKUP($AP677,'[1]V1 V2'!$B$5:$BW$1894,74,0)</f>
        <v>0</v>
      </c>
      <c r="BM677" s="36" t="str">
        <f>IF('[1]V1 V2'!X676="","",'[1]V1 V2'!X676)</f>
        <v/>
      </c>
    </row>
    <row r="678" spans="1:65" ht="16" thickBot="1" x14ac:dyDescent="0.4">
      <c r="A678">
        <v>1</v>
      </c>
      <c r="B678" s="304"/>
      <c r="C678" s="305"/>
      <c r="D678" s="306"/>
      <c r="E678" s="36"/>
      <c r="F678" s="168"/>
      <c r="G678" s="169"/>
      <c r="H678" s="170"/>
      <c r="I678" s="57"/>
      <c r="J678" s="56"/>
      <c r="K678" s="171"/>
      <c r="L678" s="142"/>
      <c r="M678" s="172"/>
      <c r="N678" s="173"/>
      <c r="O678" s="174"/>
      <c r="P678" s="175"/>
      <c r="Q678" s="182"/>
      <c r="R678" s="182"/>
      <c r="S678" s="175"/>
      <c r="T678" s="173"/>
      <c r="U678" s="62" t="s">
        <v>48</v>
      </c>
      <c r="V678" s="177" t="s">
        <v>89</v>
      </c>
      <c r="W678" s="177" t="s">
        <v>89</v>
      </c>
      <c r="X678" s="230"/>
      <c r="Y678" s="177"/>
      <c r="Z678" s="178">
        <v>12</v>
      </c>
      <c r="AA678" s="297"/>
      <c r="AB678" s="21" t="s">
        <v>2</v>
      </c>
      <c r="AH678" s="63">
        <v>1</v>
      </c>
      <c r="AO678" s="10" t="s">
        <v>3</v>
      </c>
      <c r="AP678" s="297"/>
      <c r="AQ678" s="178">
        <v>12</v>
      </c>
      <c r="AR678" s="222"/>
      <c r="AS678" s="222"/>
      <c r="AT678" s="177" t="s">
        <v>89</v>
      </c>
      <c r="AU678" s="177" t="s">
        <v>89</v>
      </c>
      <c r="AV678" s="62" t="s">
        <v>48</v>
      </c>
      <c r="AW678" s="173"/>
      <c r="AX678" s="175"/>
      <c r="AY678" s="182"/>
      <c r="AZ678" s="182"/>
      <c r="BA678" s="175"/>
      <c r="BB678" s="180"/>
      <c r="BC678" s="172"/>
      <c r="BD678" s="172"/>
      <c r="BE678" s="142"/>
      <c r="BF678" s="171"/>
      <c r="BG678" s="56"/>
      <c r="BH678" s="57"/>
      <c r="BI678" s="170"/>
      <c r="BJ678" s="169"/>
      <c r="BK678" s="181"/>
      <c r="BL678" s="36"/>
      <c r="BM678" s="36" t="str">
        <f>IF('[1]V1 V2'!X677="","",'[1]V1 V2'!X677)</f>
        <v/>
      </c>
    </row>
    <row r="679" spans="1:65" ht="16" thickBot="1" x14ac:dyDescent="0.4">
      <c r="A679">
        <v>1</v>
      </c>
      <c r="B679" s="304" t="s">
        <v>2063</v>
      </c>
      <c r="C679" s="305"/>
      <c r="D679" s="306"/>
      <c r="E679" s="36">
        <f>VLOOKUP($B679,'[1]V1 V2'!$B$5:$BW$1894,74,0)</f>
        <v>0</v>
      </c>
      <c r="F679" s="168"/>
      <c r="G679" s="169"/>
      <c r="H679" s="170"/>
      <c r="I679" s="57"/>
      <c r="J679" s="56" t="s">
        <v>120</v>
      </c>
      <c r="K679" s="171"/>
      <c r="L679" s="142">
        <v>3.8</v>
      </c>
      <c r="M679" s="172"/>
      <c r="N679" s="173"/>
      <c r="O679" s="174"/>
      <c r="P679" s="175"/>
      <c r="Q679" s="182" t="s">
        <v>100</v>
      </c>
      <c r="R679" s="182" t="s">
        <v>29</v>
      </c>
      <c r="S679" s="175"/>
      <c r="T679" s="173" t="s">
        <v>30</v>
      </c>
      <c r="U679" s="62"/>
      <c r="V679" s="177" t="s">
        <v>2064</v>
      </c>
      <c r="W679" s="177" t="s">
        <v>2065</v>
      </c>
      <c r="X679" s="177">
        <v>29806.02900000001</v>
      </c>
      <c r="Y679" s="177">
        <v>4997.0099999999975</v>
      </c>
      <c r="Z679" s="178"/>
      <c r="AA679" s="297" t="s">
        <v>2063</v>
      </c>
      <c r="AB679" s="21" t="s">
        <v>2</v>
      </c>
      <c r="AH679" s="63">
        <v>1</v>
      </c>
      <c r="AO679" s="10" t="s">
        <v>3</v>
      </c>
      <c r="AP679" s="297" t="s">
        <v>2066</v>
      </c>
      <c r="AQ679" s="178"/>
      <c r="AR679" s="222">
        <v>4995.6100000000006</v>
      </c>
      <c r="AS679" s="222">
        <f>AS677-AQ678</f>
        <v>30265.238999999994</v>
      </c>
      <c r="AT679" s="177" t="s">
        <v>2067</v>
      </c>
      <c r="AU679" s="177" t="s">
        <v>2068</v>
      </c>
      <c r="AV679" s="403" t="s">
        <v>184</v>
      </c>
      <c r="AW679" s="173" t="s">
        <v>30</v>
      </c>
      <c r="AX679" s="175"/>
      <c r="AY679" s="182" t="s">
        <v>29</v>
      </c>
      <c r="AZ679" s="182" t="s">
        <v>100</v>
      </c>
      <c r="BA679" s="175"/>
      <c r="BB679" s="180"/>
      <c r="BC679" s="172"/>
      <c r="BD679" s="172"/>
      <c r="BE679" s="142">
        <v>3.8</v>
      </c>
      <c r="BF679" s="171"/>
      <c r="BG679" s="183" t="s">
        <v>120</v>
      </c>
      <c r="BH679" s="57"/>
      <c r="BI679" s="170"/>
      <c r="BJ679" s="169"/>
      <c r="BK679" s="181"/>
      <c r="BL679" s="36">
        <f>VLOOKUP($AP679,'[1]V1 V2'!$B$5:$BW$1894,74,0)</f>
        <v>0</v>
      </c>
      <c r="BM679" s="36" t="str">
        <f>IF('[1]V1 V2'!X678="","",'[1]V1 V2'!X678)</f>
        <v/>
      </c>
    </row>
    <row r="680" spans="1:65" ht="16" thickBot="1" x14ac:dyDescent="0.4">
      <c r="A680">
        <v>1</v>
      </c>
      <c r="B680" s="304"/>
      <c r="C680" s="305"/>
      <c r="D680" s="306"/>
      <c r="E680" s="36"/>
      <c r="F680" s="168"/>
      <c r="G680" s="169"/>
      <c r="H680" s="170"/>
      <c r="I680" s="57"/>
      <c r="J680" s="56"/>
      <c r="K680" s="171"/>
      <c r="L680" s="142"/>
      <c r="M680" s="172"/>
      <c r="N680" s="173"/>
      <c r="O680" s="174"/>
      <c r="P680" s="175"/>
      <c r="Q680" s="182"/>
      <c r="R680" s="182"/>
      <c r="S680" s="175"/>
      <c r="T680" s="173"/>
      <c r="U680" s="62" t="s">
        <v>48</v>
      </c>
      <c r="V680" s="177" t="s">
        <v>89</v>
      </c>
      <c r="W680" s="177" t="s">
        <v>89</v>
      </c>
      <c r="X680" s="230"/>
      <c r="Y680" s="177"/>
      <c r="Z680" s="178">
        <v>10.6</v>
      </c>
      <c r="AA680" s="297"/>
      <c r="AB680" s="21" t="s">
        <v>2</v>
      </c>
      <c r="AH680" s="63">
        <v>1</v>
      </c>
      <c r="AO680" s="10" t="s">
        <v>3</v>
      </c>
      <c r="AP680" s="297"/>
      <c r="AQ680" s="178">
        <v>12</v>
      </c>
      <c r="AR680" s="222"/>
      <c r="AS680" s="222"/>
      <c r="AT680" s="177" t="s">
        <v>89</v>
      </c>
      <c r="AU680" s="177" t="s">
        <v>89</v>
      </c>
      <c r="AV680" s="62" t="s">
        <v>48</v>
      </c>
      <c r="AW680" s="173"/>
      <c r="AX680" s="175"/>
      <c r="AY680" s="182"/>
      <c r="AZ680" s="182"/>
      <c r="BA680" s="175"/>
      <c r="BB680" s="180"/>
      <c r="BC680" s="172"/>
      <c r="BD680" s="172"/>
      <c r="BE680" s="142"/>
      <c r="BF680" s="171"/>
      <c r="BG680" s="56"/>
      <c r="BH680" s="57"/>
      <c r="BI680" s="170"/>
      <c r="BJ680" s="169"/>
      <c r="BK680" s="181"/>
      <c r="BL680" s="36"/>
      <c r="BM680" s="36" t="str">
        <f>IF('[1]V1 V2'!X679="","",'[1]V1 V2'!X679)</f>
        <v/>
      </c>
    </row>
    <row r="681" spans="1:65" ht="16" thickBot="1" x14ac:dyDescent="0.4">
      <c r="A681">
        <v>1</v>
      </c>
      <c r="B681" s="304" t="s">
        <v>2069</v>
      </c>
      <c r="C681" s="305"/>
      <c r="D681" s="306"/>
      <c r="E681" s="36">
        <f>VLOOKUP($B681,'[1]V1 V2'!$B$5:$BW$1894,74,0)</f>
        <v>0</v>
      </c>
      <c r="F681" s="168"/>
      <c r="G681" s="169"/>
      <c r="H681" s="170"/>
      <c r="I681" s="57"/>
      <c r="J681" s="56" t="s">
        <v>127</v>
      </c>
      <c r="K681" s="171"/>
      <c r="L681" s="142">
        <v>3.8</v>
      </c>
      <c r="M681" s="172"/>
      <c r="N681" s="173"/>
      <c r="O681" s="174"/>
      <c r="P681" s="175"/>
      <c r="Q681" s="182" t="s">
        <v>100</v>
      </c>
      <c r="R681" s="182" t="s">
        <v>29</v>
      </c>
      <c r="S681" s="175"/>
      <c r="T681" s="173" t="s">
        <v>30</v>
      </c>
      <c r="U681" s="62"/>
      <c r="V681" s="177" t="s">
        <v>2070</v>
      </c>
      <c r="W681" s="177" t="s">
        <v>2071</v>
      </c>
      <c r="X681" s="177">
        <v>29795.429000000011</v>
      </c>
      <c r="Y681" s="177">
        <v>5007.6099999999979</v>
      </c>
      <c r="Z681" s="178"/>
      <c r="AA681" s="297" t="s">
        <v>2069</v>
      </c>
      <c r="AB681" s="21" t="s">
        <v>2</v>
      </c>
      <c r="AH681" s="63">
        <v>1</v>
      </c>
      <c r="AO681" s="10" t="s">
        <v>3</v>
      </c>
      <c r="AP681" s="297" t="s">
        <v>2072</v>
      </c>
      <c r="AQ681" s="178"/>
      <c r="AR681" s="222">
        <v>5007.6100000000006</v>
      </c>
      <c r="AS681" s="222">
        <f>AS679-AQ680</f>
        <v>30253.238999999994</v>
      </c>
      <c r="AT681" s="177" t="s">
        <v>2073</v>
      </c>
      <c r="AU681" s="177" t="s">
        <v>2074</v>
      </c>
      <c r="AV681" s="403" t="s">
        <v>184</v>
      </c>
      <c r="AW681" s="173" t="s">
        <v>30</v>
      </c>
      <c r="AX681" s="175"/>
      <c r="AY681" s="182" t="s">
        <v>29</v>
      </c>
      <c r="AZ681" s="182" t="s">
        <v>100</v>
      </c>
      <c r="BA681" s="175"/>
      <c r="BB681" s="180"/>
      <c r="BC681" s="172"/>
      <c r="BD681" s="172"/>
      <c r="BE681" s="142">
        <v>3.8</v>
      </c>
      <c r="BF681" s="171"/>
      <c r="BG681" s="183" t="s">
        <v>127</v>
      </c>
      <c r="BH681" s="57"/>
      <c r="BI681" s="170"/>
      <c r="BJ681" s="169"/>
      <c r="BK681" s="181"/>
      <c r="BL681" s="36">
        <f>VLOOKUP($AP681,'[1]V1 V2'!$B$5:$BW$1894,74,0)</f>
        <v>0</v>
      </c>
      <c r="BM681" s="36" t="str">
        <f>IF('[1]V1 V2'!X680="","",'[1]V1 V2'!X680)</f>
        <v/>
      </c>
    </row>
    <row r="682" spans="1:65" ht="16" thickBot="1" x14ac:dyDescent="0.4">
      <c r="A682">
        <v>1</v>
      </c>
      <c r="B682" s="304"/>
      <c r="C682" s="305"/>
      <c r="D682" s="306"/>
      <c r="E682" s="36"/>
      <c r="F682" s="168"/>
      <c r="G682" s="169"/>
      <c r="H682" s="170"/>
      <c r="I682" s="57"/>
      <c r="J682" s="56"/>
      <c r="K682" s="171"/>
      <c r="L682" s="142"/>
      <c r="M682" s="172"/>
      <c r="N682" s="173"/>
      <c r="O682" s="174"/>
      <c r="P682" s="175"/>
      <c r="Q682" s="182"/>
      <c r="R682" s="182"/>
      <c r="S682" s="175"/>
      <c r="T682" s="173"/>
      <c r="U682" s="62" t="s">
        <v>48</v>
      </c>
      <c r="V682" s="177" t="s">
        <v>89</v>
      </c>
      <c r="W682" s="177" t="s">
        <v>89</v>
      </c>
      <c r="X682" s="230"/>
      <c r="Y682" s="177"/>
      <c r="Z682" s="178">
        <v>12</v>
      </c>
      <c r="AA682" s="297"/>
      <c r="AB682" s="21" t="s">
        <v>2</v>
      </c>
      <c r="AH682" s="63">
        <v>1</v>
      </c>
      <c r="AO682" s="10" t="s">
        <v>3</v>
      </c>
      <c r="AP682" s="297"/>
      <c r="AQ682" s="178">
        <v>12</v>
      </c>
      <c r="AR682" s="177"/>
      <c r="AS682" s="222"/>
      <c r="AT682" s="177" t="s">
        <v>89</v>
      </c>
      <c r="AU682" s="177" t="s">
        <v>89</v>
      </c>
      <c r="AV682" s="62" t="s">
        <v>48</v>
      </c>
      <c r="AW682" s="173"/>
      <c r="AX682" s="175"/>
      <c r="AY682" s="182"/>
      <c r="AZ682" s="182"/>
      <c r="BA682" s="175"/>
      <c r="BB682" s="180"/>
      <c r="BC682" s="172"/>
      <c r="BD682" s="172"/>
      <c r="BE682" s="142"/>
      <c r="BF682" s="171"/>
      <c r="BG682" s="56"/>
      <c r="BH682" s="57"/>
      <c r="BI682" s="170"/>
      <c r="BJ682" s="169"/>
      <c r="BK682" s="181"/>
      <c r="BL682" s="36"/>
      <c r="BM682" s="36" t="str">
        <f>IF('[1]V1 V2'!X681="","",'[1]V1 V2'!X681)</f>
        <v/>
      </c>
    </row>
    <row r="683" spans="1:65" ht="16" thickBot="1" x14ac:dyDescent="0.4">
      <c r="A683">
        <v>1</v>
      </c>
      <c r="B683" s="304" t="s">
        <v>2075</v>
      </c>
      <c r="C683" s="305"/>
      <c r="D683" s="306"/>
      <c r="E683" s="36">
        <f>VLOOKUP($B683,'[1]V1 V2'!$B$5:$BW$1894,74,0)</f>
        <v>0</v>
      </c>
      <c r="F683" s="168"/>
      <c r="G683" s="169"/>
      <c r="H683" s="170"/>
      <c r="I683" s="57"/>
      <c r="J683" s="56" t="s">
        <v>120</v>
      </c>
      <c r="K683" s="171"/>
      <c r="L683" s="142">
        <v>3.8</v>
      </c>
      <c r="M683" s="172"/>
      <c r="N683" s="173"/>
      <c r="O683" s="174"/>
      <c r="P683" s="175"/>
      <c r="Q683" s="182" t="s">
        <v>100</v>
      </c>
      <c r="R683" s="182" t="s">
        <v>29</v>
      </c>
      <c r="S683" s="175"/>
      <c r="T683" s="173" t="s">
        <v>30</v>
      </c>
      <c r="U683" s="62"/>
      <c r="V683" s="177" t="s">
        <v>2076</v>
      </c>
      <c r="W683" s="177" t="s">
        <v>2077</v>
      </c>
      <c r="X683" s="177">
        <v>29783.429000000011</v>
      </c>
      <c r="Y683" s="177">
        <v>5019.6099999999979</v>
      </c>
      <c r="Z683" s="178"/>
      <c r="AA683" s="297" t="s">
        <v>2075</v>
      </c>
      <c r="AB683" s="21" t="s">
        <v>2</v>
      </c>
      <c r="AH683" s="63">
        <v>1</v>
      </c>
      <c r="AO683" s="10" t="s">
        <v>3</v>
      </c>
      <c r="AP683" s="297" t="s">
        <v>2078</v>
      </c>
      <c r="AQ683" s="178"/>
      <c r="AR683" s="177">
        <v>5019.6100000000006</v>
      </c>
      <c r="AS683" s="222">
        <f>AS681-AQ682</f>
        <v>30241.238999999994</v>
      </c>
      <c r="AT683" s="177" t="s">
        <v>2079</v>
      </c>
      <c r="AU683" s="177" t="s">
        <v>2080</v>
      </c>
      <c r="AV683" s="403" t="s">
        <v>184</v>
      </c>
      <c r="AW683" s="173" t="s">
        <v>30</v>
      </c>
      <c r="AX683" s="175"/>
      <c r="AY683" s="182" t="s">
        <v>29</v>
      </c>
      <c r="AZ683" s="182" t="s">
        <v>100</v>
      </c>
      <c r="BA683" s="175"/>
      <c r="BB683" s="180"/>
      <c r="BC683" s="172"/>
      <c r="BD683" s="172"/>
      <c r="BE683" s="142">
        <v>3.8</v>
      </c>
      <c r="BF683" s="171"/>
      <c r="BG683" s="183" t="s">
        <v>120</v>
      </c>
      <c r="BH683" s="57"/>
      <c r="BI683" s="170"/>
      <c r="BJ683" s="169"/>
      <c r="BK683" s="181"/>
      <c r="BL683" s="36">
        <f>VLOOKUP($AP683,'[1]V1 V2'!$B$5:$BW$1894,74,0)</f>
        <v>0</v>
      </c>
      <c r="BM683" s="36" t="str">
        <f>IF('[1]V1 V2'!X682="","",'[1]V1 V2'!X682)</f>
        <v/>
      </c>
    </row>
    <row r="684" spans="1:65" ht="16" thickBot="1" x14ac:dyDescent="0.4">
      <c r="A684">
        <v>1</v>
      </c>
      <c r="B684" s="304"/>
      <c r="C684" s="305"/>
      <c r="D684" s="306"/>
      <c r="E684" s="36"/>
      <c r="F684" s="168"/>
      <c r="G684" s="169"/>
      <c r="H684" s="170"/>
      <c r="I684" s="57"/>
      <c r="J684" s="56"/>
      <c r="K684" s="171"/>
      <c r="L684" s="142"/>
      <c r="M684" s="172"/>
      <c r="N684" s="173"/>
      <c r="O684" s="174"/>
      <c r="P684" s="175"/>
      <c r="Q684" s="182"/>
      <c r="R684" s="182"/>
      <c r="S684" s="175"/>
      <c r="T684" s="173"/>
      <c r="U684" s="62" t="s">
        <v>48</v>
      </c>
      <c r="V684" s="177" t="s">
        <v>89</v>
      </c>
      <c r="W684" s="177" t="s">
        <v>89</v>
      </c>
      <c r="X684" s="230"/>
      <c r="Y684" s="177"/>
      <c r="Z684" s="178">
        <v>12</v>
      </c>
      <c r="AA684" s="297"/>
      <c r="AB684" s="21" t="s">
        <v>2</v>
      </c>
      <c r="AH684" s="63">
        <v>1</v>
      </c>
      <c r="AO684" s="10" t="s">
        <v>3</v>
      </c>
      <c r="AP684" s="297"/>
      <c r="AQ684" s="178">
        <v>12</v>
      </c>
      <c r="AR684" s="177"/>
      <c r="AS684" s="222"/>
      <c r="AT684" s="177" t="s">
        <v>89</v>
      </c>
      <c r="AU684" s="177" t="s">
        <v>89</v>
      </c>
      <c r="AV684" s="62" t="s">
        <v>48</v>
      </c>
      <c r="AW684" s="173"/>
      <c r="AX684" s="175"/>
      <c r="AY684" s="182"/>
      <c r="AZ684" s="182"/>
      <c r="BA684" s="175"/>
      <c r="BB684" s="180"/>
      <c r="BC684" s="172"/>
      <c r="BD684" s="172"/>
      <c r="BE684" s="142"/>
      <c r="BF684" s="171"/>
      <c r="BG684" s="56"/>
      <c r="BH684" s="57"/>
      <c r="BI684" s="170"/>
      <c r="BJ684" s="169"/>
      <c r="BK684" s="181"/>
      <c r="BL684" s="36"/>
      <c r="BM684" s="36" t="str">
        <f>IF('[1]V1 V2'!X683="","",'[1]V1 V2'!X683)</f>
        <v/>
      </c>
    </row>
    <row r="685" spans="1:65" ht="16" thickBot="1" x14ac:dyDescent="0.4">
      <c r="A685">
        <v>1</v>
      </c>
      <c r="B685" s="304" t="s">
        <v>2081</v>
      </c>
      <c r="C685" s="305"/>
      <c r="D685" s="306"/>
      <c r="E685" s="36">
        <f>VLOOKUP($B685,'[1]V1 V2'!$B$5:$BW$1894,74,0)</f>
        <v>0</v>
      </c>
      <c r="F685" s="168"/>
      <c r="G685" s="169"/>
      <c r="H685" s="170"/>
      <c r="I685" s="57"/>
      <c r="J685" s="56" t="s">
        <v>113</v>
      </c>
      <c r="K685" s="171"/>
      <c r="L685" s="142">
        <v>3.8</v>
      </c>
      <c r="M685" s="172"/>
      <c r="N685" s="173"/>
      <c r="O685" s="174"/>
      <c r="P685" s="175"/>
      <c r="Q685" s="182" t="s">
        <v>100</v>
      </c>
      <c r="R685" s="182" t="s">
        <v>29</v>
      </c>
      <c r="S685" s="175"/>
      <c r="T685" s="173" t="s">
        <v>30</v>
      </c>
      <c r="U685" s="62"/>
      <c r="V685" s="177" t="s">
        <v>2082</v>
      </c>
      <c r="W685" s="177" t="s">
        <v>2083</v>
      </c>
      <c r="X685" s="177">
        <v>29771.429000000011</v>
      </c>
      <c r="Y685" s="177">
        <v>5031.6099999999979</v>
      </c>
      <c r="Z685" s="178"/>
      <c r="AA685" s="297" t="s">
        <v>2081</v>
      </c>
      <c r="AB685" s="21" t="s">
        <v>2</v>
      </c>
      <c r="AH685" s="63">
        <v>1</v>
      </c>
      <c r="AO685" s="10" t="s">
        <v>3</v>
      </c>
      <c r="AP685" s="297" t="s">
        <v>2084</v>
      </c>
      <c r="AQ685" s="178"/>
      <c r="AR685" s="177">
        <v>5031.6100000000006</v>
      </c>
      <c r="AS685" s="222">
        <f>AS683-AQ684</f>
        <v>30229.238999999994</v>
      </c>
      <c r="AT685" s="177" t="s">
        <v>2085</v>
      </c>
      <c r="AU685" s="177" t="s">
        <v>2086</v>
      </c>
      <c r="AV685" s="403" t="s">
        <v>184</v>
      </c>
      <c r="AW685" s="173" t="s">
        <v>30</v>
      </c>
      <c r="AX685" s="175"/>
      <c r="AY685" s="182" t="s">
        <v>29</v>
      </c>
      <c r="AZ685" s="182" t="s">
        <v>100</v>
      </c>
      <c r="BA685" s="175"/>
      <c r="BB685" s="180"/>
      <c r="BC685" s="172"/>
      <c r="BD685" s="172"/>
      <c r="BE685" s="142">
        <v>3.8</v>
      </c>
      <c r="BF685" s="171"/>
      <c r="BG685" s="183" t="s">
        <v>113</v>
      </c>
      <c r="BH685" s="57"/>
      <c r="BI685" s="170"/>
      <c r="BJ685" s="169"/>
      <c r="BK685" s="181"/>
      <c r="BL685" s="36">
        <f>VLOOKUP($AP685,'[1]V1 V2'!$B$5:$BW$1894,74,0)</f>
        <v>0</v>
      </c>
      <c r="BM685" s="36" t="str">
        <f>IF('[1]V1 V2'!X684="","",'[1]V1 V2'!X684)</f>
        <v/>
      </c>
    </row>
    <row r="686" spans="1:65" ht="16" thickBot="1" x14ac:dyDescent="0.4">
      <c r="A686">
        <v>1</v>
      </c>
      <c r="B686" s="304"/>
      <c r="C686" s="305"/>
      <c r="D686" s="306"/>
      <c r="E686" s="36"/>
      <c r="F686" s="168"/>
      <c r="G686" s="169"/>
      <c r="H686" s="170"/>
      <c r="I686" s="57"/>
      <c r="J686" s="56"/>
      <c r="K686" s="171"/>
      <c r="L686" s="142"/>
      <c r="M686" s="172"/>
      <c r="N686" s="173"/>
      <c r="O686" s="174"/>
      <c r="P686" s="175"/>
      <c r="Q686" s="182"/>
      <c r="R686" s="182"/>
      <c r="S686" s="175"/>
      <c r="T686" s="173"/>
      <c r="U686" s="62">
        <v>-345</v>
      </c>
      <c r="V686" s="177" t="s">
        <v>89</v>
      </c>
      <c r="W686" s="177" t="s">
        <v>89</v>
      </c>
      <c r="X686" s="230"/>
      <c r="Y686" s="177"/>
      <c r="Z686" s="178">
        <v>12</v>
      </c>
      <c r="AA686" s="297"/>
      <c r="AB686" s="21" t="s">
        <v>2</v>
      </c>
      <c r="AH686" s="63">
        <v>1</v>
      </c>
      <c r="AO686" s="10" t="s">
        <v>3</v>
      </c>
      <c r="AP686" s="297"/>
      <c r="AQ686" s="178">
        <v>12</v>
      </c>
      <c r="AR686" s="177"/>
      <c r="AS686" s="222"/>
      <c r="AT686" s="177" t="s">
        <v>89</v>
      </c>
      <c r="AU686" s="177" t="s">
        <v>89</v>
      </c>
      <c r="AV686" s="62">
        <v>-345</v>
      </c>
      <c r="AW686" s="173"/>
      <c r="AX686" s="175"/>
      <c r="AY686" s="182"/>
      <c r="AZ686" s="182"/>
      <c r="BA686" s="175"/>
      <c r="BB686" s="180"/>
      <c r="BC686" s="172"/>
      <c r="BD686" s="172"/>
      <c r="BE686" s="142"/>
      <c r="BF686" s="171"/>
      <c r="BG686" s="56"/>
      <c r="BH686" s="57"/>
      <c r="BI686" s="170"/>
      <c r="BJ686" s="169"/>
      <c r="BK686" s="181"/>
      <c r="BL686" s="36"/>
      <c r="BM686" s="36" t="str">
        <f>IF('[1]V1 V2'!X685="","",'[1]V1 V2'!X685)</f>
        <v/>
      </c>
    </row>
    <row r="687" spans="1:65" ht="16" thickBot="1" x14ac:dyDescent="0.4">
      <c r="A687">
        <v>1</v>
      </c>
      <c r="B687" s="304" t="s">
        <v>2087</v>
      </c>
      <c r="C687" s="305"/>
      <c r="D687" s="306"/>
      <c r="E687" s="36">
        <f>VLOOKUP($B687,'[1]V1 V2'!$B$5:$BW$1894,74,0)</f>
        <v>0</v>
      </c>
      <c r="F687" s="168"/>
      <c r="G687" s="169"/>
      <c r="H687" s="170"/>
      <c r="I687" s="57"/>
      <c r="J687" s="56">
        <v>-4</v>
      </c>
      <c r="K687" s="171"/>
      <c r="L687" s="142">
        <v>3.8</v>
      </c>
      <c r="M687" s="172"/>
      <c r="N687" s="173"/>
      <c r="O687" s="174"/>
      <c r="P687" s="175"/>
      <c r="Q687" s="182" t="s">
        <v>140</v>
      </c>
      <c r="R687" s="182" t="s">
        <v>29</v>
      </c>
      <c r="S687" s="175"/>
      <c r="T687" s="173" t="s">
        <v>141</v>
      </c>
      <c r="U687" s="62"/>
      <c r="V687" s="177" t="s">
        <v>2088</v>
      </c>
      <c r="W687" s="177" t="s">
        <v>2089</v>
      </c>
      <c r="X687" s="177">
        <v>29759.429000000011</v>
      </c>
      <c r="Y687" s="177">
        <v>5043.6099999999979</v>
      </c>
      <c r="Z687" s="178"/>
      <c r="AA687" s="297" t="s">
        <v>2087</v>
      </c>
      <c r="AB687" s="21" t="s">
        <v>2</v>
      </c>
      <c r="AH687" s="63">
        <v>1</v>
      </c>
      <c r="AO687" s="10" t="s">
        <v>3</v>
      </c>
      <c r="AP687" s="297" t="s">
        <v>2090</v>
      </c>
      <c r="AQ687" s="178"/>
      <c r="AR687" s="177">
        <v>5043.6100000000006</v>
      </c>
      <c r="AS687" s="222">
        <f>AS685-AQ686</f>
        <v>30217.238999999994</v>
      </c>
      <c r="AT687" s="177" t="s">
        <v>2091</v>
      </c>
      <c r="AU687" s="177" t="s">
        <v>2092</v>
      </c>
      <c r="AV687" s="403" t="s">
        <v>184</v>
      </c>
      <c r="AW687" s="173" t="s">
        <v>141</v>
      </c>
      <c r="AX687" s="175"/>
      <c r="AY687" s="182" t="s">
        <v>29</v>
      </c>
      <c r="AZ687" s="182" t="s">
        <v>140</v>
      </c>
      <c r="BA687" s="175"/>
      <c r="BB687" s="180"/>
      <c r="BC687" s="172"/>
      <c r="BD687" s="172"/>
      <c r="BE687" s="142">
        <v>3.8</v>
      </c>
      <c r="BF687" s="171"/>
      <c r="BG687" s="56">
        <v>-4</v>
      </c>
      <c r="BH687" s="57"/>
      <c r="BI687" s="170"/>
      <c r="BJ687" s="169"/>
      <c r="BK687" s="181"/>
      <c r="BL687" s="36">
        <f>VLOOKUP($AP687,'[1]V1 V2'!$B$5:$BW$1894,74,0)</f>
        <v>0</v>
      </c>
      <c r="BM687" s="36" t="str">
        <f>IF('[1]V1 V2'!X686="","",'[1]V1 V2'!X686)</f>
        <v/>
      </c>
    </row>
    <row r="688" spans="1:65" ht="16" thickBot="1" x14ac:dyDescent="0.4">
      <c r="A688">
        <v>1</v>
      </c>
      <c r="B688" s="304"/>
      <c r="C688" s="305"/>
      <c r="D688" s="306"/>
      <c r="E688" s="36"/>
      <c r="F688" s="168"/>
      <c r="G688" s="169"/>
      <c r="H688" s="170"/>
      <c r="I688" s="57"/>
      <c r="J688" s="56"/>
      <c r="K688" s="171"/>
      <c r="L688" s="142"/>
      <c r="M688" s="172"/>
      <c r="N688" s="173"/>
      <c r="O688" s="174"/>
      <c r="P688" s="175"/>
      <c r="Q688" s="182"/>
      <c r="R688" s="182"/>
      <c r="S688" s="175"/>
      <c r="T688" s="173"/>
      <c r="U688" s="62">
        <v>-345</v>
      </c>
      <c r="V688" s="177" t="s">
        <v>89</v>
      </c>
      <c r="W688" s="177" t="s">
        <v>89</v>
      </c>
      <c r="X688" s="230"/>
      <c r="Y688" s="177"/>
      <c r="Z688" s="178">
        <v>12</v>
      </c>
      <c r="AA688" s="297"/>
      <c r="AB688" s="21" t="s">
        <v>2</v>
      </c>
      <c r="AH688" s="63">
        <v>1</v>
      </c>
      <c r="AO688" s="10" t="s">
        <v>3</v>
      </c>
      <c r="AP688" s="297"/>
      <c r="AQ688" s="178">
        <v>12</v>
      </c>
      <c r="AR688" s="177"/>
      <c r="AS688" s="222"/>
      <c r="AT688" s="177" t="s">
        <v>89</v>
      </c>
      <c r="AU688" s="177" t="s">
        <v>89</v>
      </c>
      <c r="AV688" s="62">
        <v>-345</v>
      </c>
      <c r="AW688" s="173"/>
      <c r="AX688" s="175"/>
      <c r="AY688" s="182"/>
      <c r="AZ688" s="182"/>
      <c r="BA688" s="175"/>
      <c r="BB688" s="180"/>
      <c r="BC688" s="172"/>
      <c r="BD688" s="172"/>
      <c r="BE688" s="142"/>
      <c r="BF688" s="171"/>
      <c r="BG688" s="56"/>
      <c r="BH688" s="57"/>
      <c r="BI688" s="170"/>
      <c r="BJ688" s="169"/>
      <c r="BK688" s="181"/>
      <c r="BL688" s="36"/>
      <c r="BM688" s="36" t="str">
        <f>IF('[1]V1 V2'!X687="","",'[1]V1 V2'!X687)</f>
        <v/>
      </c>
    </row>
    <row r="689" spans="1:65" ht="16" thickBot="1" x14ac:dyDescent="0.4">
      <c r="A689">
        <v>1</v>
      </c>
      <c r="B689" s="304" t="s">
        <v>2093</v>
      </c>
      <c r="C689" s="305"/>
      <c r="D689" s="306"/>
      <c r="E689" s="36">
        <f>VLOOKUP($B689,'[1]V1 V2'!$B$5:$BW$1894,74,0)</f>
        <v>0</v>
      </c>
      <c r="F689" s="168"/>
      <c r="G689" s="169"/>
      <c r="H689" s="170"/>
      <c r="I689" s="57"/>
      <c r="J689" s="56">
        <v>-12</v>
      </c>
      <c r="K689" s="171"/>
      <c r="L689" s="142">
        <v>3.8</v>
      </c>
      <c r="M689" s="172"/>
      <c r="N689" s="173"/>
      <c r="O689" s="174"/>
      <c r="P689" s="175"/>
      <c r="Q689" s="182" t="s">
        <v>100</v>
      </c>
      <c r="R689" s="182" t="s">
        <v>29</v>
      </c>
      <c r="S689" s="175"/>
      <c r="T689" s="173" t="s">
        <v>30</v>
      </c>
      <c r="U689" s="62"/>
      <c r="V689" s="177" t="s">
        <v>2094</v>
      </c>
      <c r="W689" s="177" t="s">
        <v>2095</v>
      </c>
      <c r="X689" s="177">
        <v>29747.429000000011</v>
      </c>
      <c r="Y689" s="177">
        <v>5055.6099999999979</v>
      </c>
      <c r="Z689" s="178"/>
      <c r="AA689" s="297" t="s">
        <v>2093</v>
      </c>
      <c r="AB689" s="21" t="s">
        <v>2</v>
      </c>
      <c r="AH689" s="63">
        <v>1</v>
      </c>
      <c r="AO689" s="10" t="s">
        <v>3</v>
      </c>
      <c r="AP689" s="297" t="s">
        <v>2096</v>
      </c>
      <c r="AQ689" s="178"/>
      <c r="AR689" s="177">
        <v>5055.6100000000006</v>
      </c>
      <c r="AS689" s="222">
        <f>AS687-AQ688</f>
        <v>30205.238999999994</v>
      </c>
      <c r="AT689" s="177" t="s">
        <v>2097</v>
      </c>
      <c r="AU689" s="177" t="s">
        <v>2098</v>
      </c>
      <c r="AV689" s="403" t="s">
        <v>184</v>
      </c>
      <c r="AW689" s="173" t="s">
        <v>30</v>
      </c>
      <c r="AX689" s="175"/>
      <c r="AY689" s="182" t="s">
        <v>29</v>
      </c>
      <c r="AZ689" s="182" t="s">
        <v>100</v>
      </c>
      <c r="BA689" s="175"/>
      <c r="BB689" s="180"/>
      <c r="BC689" s="172"/>
      <c r="BD689" s="172"/>
      <c r="BE689" s="142">
        <v>3.8</v>
      </c>
      <c r="BF689" s="171"/>
      <c r="BG689" s="56">
        <v>-12</v>
      </c>
      <c r="BH689" s="57"/>
      <c r="BI689" s="170"/>
      <c r="BJ689" s="169"/>
      <c r="BK689" s="181"/>
      <c r="BL689" s="36">
        <f>VLOOKUP($AP689,'[1]V1 V2'!$B$5:$BW$1894,74,0)</f>
        <v>0</v>
      </c>
      <c r="BM689" s="36" t="str">
        <f>IF('[1]V1 V2'!X688="","",'[1]V1 V2'!X688)</f>
        <v/>
      </c>
    </row>
    <row r="690" spans="1:65" ht="16" thickBot="1" x14ac:dyDescent="0.4">
      <c r="A690">
        <v>1</v>
      </c>
      <c r="B690" s="304"/>
      <c r="C690" s="305"/>
      <c r="D690" s="306"/>
      <c r="E690" s="36"/>
      <c r="F690" s="168"/>
      <c r="G690" s="169"/>
      <c r="H690" s="170"/>
      <c r="I690" s="57"/>
      <c r="J690" s="56"/>
      <c r="K690" s="171"/>
      <c r="L690" s="142"/>
      <c r="M690" s="172"/>
      <c r="N690" s="173"/>
      <c r="O690" s="174"/>
      <c r="P690" s="175"/>
      <c r="Q690" s="182"/>
      <c r="R690" s="182"/>
      <c r="S690" s="175"/>
      <c r="T690" s="173"/>
      <c r="U690" s="62">
        <v>-345</v>
      </c>
      <c r="V690" s="177" t="s">
        <v>89</v>
      </c>
      <c r="W690" s="177" t="s">
        <v>89</v>
      </c>
      <c r="X690" s="230"/>
      <c r="Y690" s="177"/>
      <c r="Z690" s="178">
        <v>12</v>
      </c>
      <c r="AA690" s="297"/>
      <c r="AB690" s="21" t="s">
        <v>2</v>
      </c>
      <c r="AC690" s="163"/>
      <c r="AD690" s="163"/>
      <c r="AE690" s="163"/>
      <c r="AF690" s="163"/>
      <c r="AG690" s="163"/>
      <c r="AH690" s="164">
        <v>1</v>
      </c>
      <c r="AI690" s="163"/>
      <c r="AJ690" s="163"/>
      <c r="AK690" s="163"/>
      <c r="AL690" s="163"/>
      <c r="AM690" s="163"/>
      <c r="AN690" s="163"/>
      <c r="AO690" s="10" t="s">
        <v>3</v>
      </c>
      <c r="AP690" s="297"/>
      <c r="AQ690" s="178">
        <v>12</v>
      </c>
      <c r="AR690" s="177"/>
      <c r="AS690" s="222"/>
      <c r="AT690" s="177" t="s">
        <v>89</v>
      </c>
      <c r="AU690" s="177" t="s">
        <v>89</v>
      </c>
      <c r="AV690" s="62">
        <v>-345</v>
      </c>
      <c r="AW690" s="173"/>
      <c r="AX690" s="175"/>
      <c r="AY690" s="182"/>
      <c r="AZ690" s="182"/>
      <c r="BA690" s="175"/>
      <c r="BB690" s="180"/>
      <c r="BC690" s="172"/>
      <c r="BD690" s="172"/>
      <c r="BE690" s="142"/>
      <c r="BF690" s="171"/>
      <c r="BG690" s="56"/>
      <c r="BH690" s="57"/>
      <c r="BI690" s="170"/>
      <c r="BJ690" s="169"/>
      <c r="BK690" s="181"/>
      <c r="BL690" s="36"/>
      <c r="BM690" s="36" t="str">
        <f>IF('[1]V1 V2'!X689="","",'[1]V1 V2'!X689)</f>
        <v/>
      </c>
    </row>
    <row r="691" spans="1:65" ht="16" thickBot="1" x14ac:dyDescent="0.4">
      <c r="A691">
        <v>1</v>
      </c>
      <c r="B691" s="304" t="s">
        <v>2099</v>
      </c>
      <c r="C691" s="305"/>
      <c r="D691" s="306"/>
      <c r="E691" s="36">
        <f>VLOOKUP($B691,'[1]V1 V2'!$B$5:$BW$1894,74,0)</f>
        <v>0</v>
      </c>
      <c r="F691" s="168"/>
      <c r="G691" s="169"/>
      <c r="H691" s="170"/>
      <c r="I691" s="57"/>
      <c r="J691" s="56">
        <v>-20</v>
      </c>
      <c r="K691" s="171"/>
      <c r="L691" s="142">
        <v>3.8</v>
      </c>
      <c r="M691" s="172"/>
      <c r="N691" s="173"/>
      <c r="O691" s="174"/>
      <c r="P691" s="175"/>
      <c r="Q691" s="182" t="s">
        <v>100</v>
      </c>
      <c r="R691" s="182" t="s">
        <v>29</v>
      </c>
      <c r="S691" s="175"/>
      <c r="T691" s="173" t="s">
        <v>30</v>
      </c>
      <c r="U691" s="62"/>
      <c r="V691" s="177" t="s">
        <v>2100</v>
      </c>
      <c r="W691" s="177" t="s">
        <v>2101</v>
      </c>
      <c r="X691" s="177">
        <v>29735.429000000011</v>
      </c>
      <c r="Y691" s="177">
        <v>5067.6099999999979</v>
      </c>
      <c r="Z691" s="178"/>
      <c r="AA691" s="297" t="s">
        <v>2099</v>
      </c>
      <c r="AB691" s="21" t="s">
        <v>2</v>
      </c>
      <c r="AC691" s="113"/>
      <c r="AD691" s="113"/>
      <c r="AE691" s="113"/>
      <c r="AF691" s="113"/>
      <c r="AG691" s="113"/>
      <c r="AH691" s="391">
        <v>1</v>
      </c>
      <c r="AI691" s="113"/>
      <c r="AJ691" s="113"/>
      <c r="AK691" s="113"/>
      <c r="AL691" s="113"/>
      <c r="AM691" s="113"/>
      <c r="AN691" s="113"/>
      <c r="AO691" s="10" t="s">
        <v>3</v>
      </c>
      <c r="AP691" s="297" t="s">
        <v>2102</v>
      </c>
      <c r="AQ691" s="178"/>
      <c r="AR691" s="177">
        <v>5067.6100000000006</v>
      </c>
      <c r="AS691" s="222">
        <f>AS689-AQ690</f>
        <v>30193.238999999994</v>
      </c>
      <c r="AT691" s="177" t="s">
        <v>2103</v>
      </c>
      <c r="AU691" s="177" t="s">
        <v>2104</v>
      </c>
      <c r="AV691" s="403" t="s">
        <v>184</v>
      </c>
      <c r="AW691" s="173" t="s">
        <v>30</v>
      </c>
      <c r="AX691" s="175"/>
      <c r="AY691" s="182" t="s">
        <v>29</v>
      </c>
      <c r="AZ691" s="182" t="s">
        <v>100</v>
      </c>
      <c r="BA691" s="175"/>
      <c r="BB691" s="180"/>
      <c r="BC691" s="172"/>
      <c r="BD691" s="172"/>
      <c r="BE691" s="142">
        <v>3.8</v>
      </c>
      <c r="BF691" s="171"/>
      <c r="BG691" s="56">
        <v>-20</v>
      </c>
      <c r="BH691" s="57"/>
      <c r="BI691" s="170"/>
      <c r="BJ691" s="169"/>
      <c r="BK691" s="181"/>
      <c r="BL691" s="36">
        <f>VLOOKUP($AP691,'[1]V1 V2'!$B$5:$BW$1894,74,0)</f>
        <v>0</v>
      </c>
      <c r="BM691" s="36" t="str">
        <f>IF('[1]V1 V2'!X690="","",'[1]V1 V2'!X690)</f>
        <v/>
      </c>
    </row>
    <row r="692" spans="1:65" ht="16" thickBot="1" x14ac:dyDescent="0.4">
      <c r="A692">
        <v>1</v>
      </c>
      <c r="B692" s="304"/>
      <c r="C692" s="305"/>
      <c r="D692" s="306"/>
      <c r="E692" s="36"/>
      <c r="F692" s="168"/>
      <c r="G692" s="169"/>
      <c r="H692" s="170"/>
      <c r="I692" s="57"/>
      <c r="J692" s="56"/>
      <c r="K692" s="171"/>
      <c r="L692" s="142"/>
      <c r="M692" s="172"/>
      <c r="N692" s="173"/>
      <c r="O692" s="174"/>
      <c r="P692" s="175"/>
      <c r="Q692" s="182"/>
      <c r="R692" s="182"/>
      <c r="S692" s="175"/>
      <c r="T692" s="173"/>
      <c r="U692" s="62">
        <v>-345</v>
      </c>
      <c r="V692" s="177" t="s">
        <v>89</v>
      </c>
      <c r="W692" s="177" t="s">
        <v>89</v>
      </c>
      <c r="X692" s="230"/>
      <c r="Y692" s="177"/>
      <c r="Z692" s="178">
        <v>12</v>
      </c>
      <c r="AA692" s="297"/>
      <c r="AB692" s="21" t="s">
        <v>2</v>
      </c>
      <c r="AH692" s="63">
        <v>1</v>
      </c>
      <c r="AO692" s="10" t="s">
        <v>3</v>
      </c>
      <c r="AP692" s="297"/>
      <c r="AQ692" s="178">
        <v>12</v>
      </c>
      <c r="AR692" s="177"/>
      <c r="AS692" s="222"/>
      <c r="AT692" s="177" t="s">
        <v>89</v>
      </c>
      <c r="AU692" s="177" t="s">
        <v>89</v>
      </c>
      <c r="AV692" s="62">
        <v>-345</v>
      </c>
      <c r="AW692" s="173"/>
      <c r="AX692" s="175"/>
      <c r="AY692" s="182"/>
      <c r="AZ692" s="182"/>
      <c r="BA692" s="175"/>
      <c r="BB692" s="180"/>
      <c r="BC692" s="172"/>
      <c r="BD692" s="172"/>
      <c r="BE692" s="142"/>
      <c r="BF692" s="171"/>
      <c r="BG692" s="56"/>
      <c r="BH692" s="57"/>
      <c r="BI692" s="170"/>
      <c r="BJ692" s="169"/>
      <c r="BK692" s="181"/>
      <c r="BL692" s="36"/>
      <c r="BM692" s="36" t="str">
        <f>IF('[1]V1 V2'!X691="","",'[1]V1 V2'!X691)</f>
        <v/>
      </c>
    </row>
    <row r="693" spans="1:65" ht="16" thickBot="1" x14ac:dyDescent="0.4">
      <c r="A693">
        <v>1</v>
      </c>
      <c r="B693" s="304" t="s">
        <v>2105</v>
      </c>
      <c r="C693" s="305"/>
      <c r="D693" s="306"/>
      <c r="E693" s="36">
        <f>VLOOKUP($B693,'[1]V1 V2'!$B$5:$BW$1894,74,0)</f>
        <v>0</v>
      </c>
      <c r="F693" s="168"/>
      <c r="G693" s="169"/>
      <c r="H693" s="170"/>
      <c r="I693" s="57"/>
      <c r="J693" s="56">
        <v>-12</v>
      </c>
      <c r="K693" s="171"/>
      <c r="L693" s="142">
        <v>3.8</v>
      </c>
      <c r="M693" s="172"/>
      <c r="N693" s="173"/>
      <c r="O693" s="174"/>
      <c r="P693" s="175"/>
      <c r="Q693" s="182" t="s">
        <v>100</v>
      </c>
      <c r="R693" s="182" t="s">
        <v>29</v>
      </c>
      <c r="S693" s="175"/>
      <c r="T693" s="173" t="s">
        <v>30</v>
      </c>
      <c r="U693" s="62"/>
      <c r="V693" s="177" t="s">
        <v>2106</v>
      </c>
      <c r="W693" s="177" t="s">
        <v>2107</v>
      </c>
      <c r="X693" s="177">
        <v>29723.429000000011</v>
      </c>
      <c r="Y693" s="177">
        <v>5079.6099999999979</v>
      </c>
      <c r="Z693" s="178"/>
      <c r="AA693" s="297" t="s">
        <v>2105</v>
      </c>
      <c r="AB693" s="21" t="s">
        <v>2</v>
      </c>
      <c r="AH693" s="63">
        <v>1</v>
      </c>
      <c r="AO693" s="10" t="s">
        <v>3</v>
      </c>
      <c r="AP693" s="297" t="s">
        <v>2108</v>
      </c>
      <c r="AQ693" s="178"/>
      <c r="AR693" s="177">
        <v>5079.6100000000006</v>
      </c>
      <c r="AS693" s="222">
        <f>AS691-AQ692</f>
        <v>30181.238999999994</v>
      </c>
      <c r="AT693" s="177" t="s">
        <v>2109</v>
      </c>
      <c r="AU693" s="177" t="s">
        <v>2110</v>
      </c>
      <c r="AV693" s="403" t="s">
        <v>184</v>
      </c>
      <c r="AW693" s="173" t="s">
        <v>30</v>
      </c>
      <c r="AX693" s="175"/>
      <c r="AY693" s="182" t="s">
        <v>29</v>
      </c>
      <c r="AZ693" s="182" t="s">
        <v>100</v>
      </c>
      <c r="BA693" s="175"/>
      <c r="BB693" s="180"/>
      <c r="BC693" s="172"/>
      <c r="BD693" s="172"/>
      <c r="BE693" s="142">
        <v>3.8</v>
      </c>
      <c r="BF693" s="171"/>
      <c r="BG693" s="56">
        <v>-12</v>
      </c>
      <c r="BH693" s="57"/>
      <c r="BI693" s="170"/>
      <c r="BJ693" s="169"/>
      <c r="BK693" s="181"/>
      <c r="BL693" s="36">
        <f>VLOOKUP($AP693,'[1]V1 V2'!$B$5:$BW$1894,74,0)</f>
        <v>0</v>
      </c>
      <c r="BM693" s="36" t="str">
        <f>IF('[1]V1 V2'!X692="","",'[1]V1 V2'!X692)</f>
        <v/>
      </c>
    </row>
    <row r="694" spans="1:65" ht="16" thickBot="1" x14ac:dyDescent="0.4">
      <c r="A694">
        <v>1</v>
      </c>
      <c r="B694" s="304"/>
      <c r="C694" s="305"/>
      <c r="D694" s="306"/>
      <c r="E694" s="36"/>
      <c r="F694" s="168"/>
      <c r="G694" s="169"/>
      <c r="H694" s="170"/>
      <c r="I694" s="57"/>
      <c r="J694" s="56"/>
      <c r="K694" s="171"/>
      <c r="L694" s="142"/>
      <c r="M694" s="172"/>
      <c r="N694" s="173"/>
      <c r="O694" s="174"/>
      <c r="P694" s="175"/>
      <c r="Q694" s="182"/>
      <c r="R694" s="182"/>
      <c r="S694" s="175"/>
      <c r="T694" s="173"/>
      <c r="U694" s="62">
        <v>-345</v>
      </c>
      <c r="V694" s="177" t="s">
        <v>89</v>
      </c>
      <c r="W694" s="177" t="s">
        <v>89</v>
      </c>
      <c r="X694" s="230"/>
      <c r="Y694" s="177"/>
      <c r="Z694" s="178">
        <v>12</v>
      </c>
      <c r="AA694" s="297"/>
      <c r="AB694" s="21" t="s">
        <v>2</v>
      </c>
      <c r="AH694" s="63">
        <v>1</v>
      </c>
      <c r="AO694" s="10" t="s">
        <v>3</v>
      </c>
      <c r="AP694" s="297"/>
      <c r="AQ694" s="178">
        <v>12</v>
      </c>
      <c r="AR694" s="177"/>
      <c r="AS694" s="222"/>
      <c r="AT694" s="177" t="s">
        <v>89</v>
      </c>
      <c r="AU694" s="177" t="s">
        <v>89</v>
      </c>
      <c r="AV694" s="62">
        <v>-345</v>
      </c>
      <c r="AW694" s="173"/>
      <c r="AX694" s="175"/>
      <c r="AY694" s="182"/>
      <c r="AZ694" s="182"/>
      <c r="BA694" s="175"/>
      <c r="BB694" s="180"/>
      <c r="BC694" s="172"/>
      <c r="BD694" s="172"/>
      <c r="BE694" s="142"/>
      <c r="BF694" s="171"/>
      <c r="BG694" s="56"/>
      <c r="BH694" s="57"/>
      <c r="BI694" s="170"/>
      <c r="BJ694" s="169"/>
      <c r="BK694" s="181"/>
      <c r="BL694" s="36"/>
      <c r="BM694" s="36" t="str">
        <f>IF('[1]V1 V2'!X693="","",'[1]V1 V2'!X693)</f>
        <v/>
      </c>
    </row>
    <row r="695" spans="1:65" ht="16" thickBot="1" x14ac:dyDescent="0.4">
      <c r="A695">
        <v>1</v>
      </c>
      <c r="B695" s="304" t="s">
        <v>2111</v>
      </c>
      <c r="C695" s="305"/>
      <c r="D695" s="306"/>
      <c r="E695" s="36">
        <f>VLOOKUP($B695,'[1]V1 V2'!$B$5:$BW$1894,74,0)</f>
        <v>0</v>
      </c>
      <c r="F695" s="168"/>
      <c r="G695" s="169"/>
      <c r="H695" s="170"/>
      <c r="I695" s="57"/>
      <c r="J695" s="56">
        <v>-4</v>
      </c>
      <c r="K695" s="171"/>
      <c r="L695" s="142">
        <v>3.8</v>
      </c>
      <c r="M695" s="172"/>
      <c r="N695" s="173"/>
      <c r="O695" s="174"/>
      <c r="P695" s="175"/>
      <c r="Q695" s="182" t="s">
        <v>100</v>
      </c>
      <c r="R695" s="182" t="s">
        <v>29</v>
      </c>
      <c r="S695" s="175"/>
      <c r="T695" s="173" t="s">
        <v>30</v>
      </c>
      <c r="U695" s="62"/>
      <c r="V695" s="177" t="s">
        <v>2112</v>
      </c>
      <c r="W695" s="177" t="s">
        <v>2113</v>
      </c>
      <c r="X695" s="177">
        <v>29711.429000000011</v>
      </c>
      <c r="Y695" s="177">
        <v>5091.6099999999979</v>
      </c>
      <c r="Z695" s="178"/>
      <c r="AA695" s="297" t="s">
        <v>2111</v>
      </c>
      <c r="AB695" s="21" t="s">
        <v>2</v>
      </c>
      <c r="AH695" s="63">
        <v>1</v>
      </c>
      <c r="AO695" s="10" t="s">
        <v>3</v>
      </c>
      <c r="AP695" s="297" t="s">
        <v>2114</v>
      </c>
      <c r="AQ695" s="178"/>
      <c r="AR695" s="177">
        <v>5091.6100000000006</v>
      </c>
      <c r="AS695" s="222">
        <f>AS693-AQ694</f>
        <v>30169.238999999994</v>
      </c>
      <c r="AT695" s="177" t="s">
        <v>2115</v>
      </c>
      <c r="AU695" s="177" t="s">
        <v>2116</v>
      </c>
      <c r="AV695" s="403" t="s">
        <v>184</v>
      </c>
      <c r="AW695" s="173" t="s">
        <v>30</v>
      </c>
      <c r="AX695" s="175"/>
      <c r="AY695" s="182" t="s">
        <v>29</v>
      </c>
      <c r="AZ695" s="182" t="s">
        <v>100</v>
      </c>
      <c r="BA695" s="175"/>
      <c r="BB695" s="180"/>
      <c r="BC695" s="172"/>
      <c r="BD695" s="172"/>
      <c r="BE695" s="142">
        <v>3.8</v>
      </c>
      <c r="BF695" s="171"/>
      <c r="BG695" s="56">
        <v>-4</v>
      </c>
      <c r="BH695" s="57"/>
      <c r="BI695" s="170"/>
      <c r="BJ695" s="169"/>
      <c r="BK695" s="181"/>
      <c r="BL695" s="36">
        <f>VLOOKUP($AP695,'[1]V1 V2'!$B$5:$BW$1894,74,0)</f>
        <v>0</v>
      </c>
      <c r="BM695" s="36" t="str">
        <f>IF('[1]V1 V2'!X694="","",'[1]V1 V2'!X694)</f>
        <v/>
      </c>
    </row>
    <row r="696" spans="1:65" ht="16" thickBot="1" x14ac:dyDescent="0.4">
      <c r="A696">
        <v>1</v>
      </c>
      <c r="B696" s="304"/>
      <c r="C696" s="305"/>
      <c r="D696" s="306"/>
      <c r="E696" s="36"/>
      <c r="F696" s="168"/>
      <c r="G696" s="169"/>
      <c r="H696" s="170"/>
      <c r="I696" s="57"/>
      <c r="J696" s="56"/>
      <c r="K696" s="171"/>
      <c r="L696" s="142"/>
      <c r="M696" s="172"/>
      <c r="N696" s="173"/>
      <c r="O696" s="174"/>
      <c r="P696" s="175"/>
      <c r="Q696" s="182"/>
      <c r="R696" s="182"/>
      <c r="S696" s="175"/>
      <c r="T696" s="173"/>
      <c r="U696" s="62">
        <v>-345</v>
      </c>
      <c r="V696" s="177" t="s">
        <v>89</v>
      </c>
      <c r="W696" s="177" t="s">
        <v>89</v>
      </c>
      <c r="X696" s="230"/>
      <c r="Y696" s="177"/>
      <c r="Z696" s="178">
        <v>12</v>
      </c>
      <c r="AA696" s="297"/>
      <c r="AB696" s="21" t="s">
        <v>2</v>
      </c>
      <c r="AH696" s="63">
        <v>1</v>
      </c>
      <c r="AO696" s="10" t="s">
        <v>3</v>
      </c>
      <c r="AP696" s="297"/>
      <c r="AQ696" s="178">
        <v>12</v>
      </c>
      <c r="AR696" s="177"/>
      <c r="AS696" s="222"/>
      <c r="AT696" s="177" t="s">
        <v>89</v>
      </c>
      <c r="AU696" s="177" t="s">
        <v>89</v>
      </c>
      <c r="AV696" s="62">
        <v>-345</v>
      </c>
      <c r="AW696" s="173"/>
      <c r="AX696" s="175"/>
      <c r="AY696" s="182"/>
      <c r="AZ696" s="182"/>
      <c r="BA696" s="175"/>
      <c r="BB696" s="180"/>
      <c r="BC696" s="172"/>
      <c r="BD696" s="172"/>
      <c r="BE696" s="142"/>
      <c r="BF696" s="171"/>
      <c r="BG696" s="56"/>
      <c r="BH696" s="57"/>
      <c r="BI696" s="170"/>
      <c r="BJ696" s="169"/>
      <c r="BK696" s="181"/>
      <c r="BL696" s="36"/>
      <c r="BM696" s="36" t="str">
        <f>IF('[1]V1 V2'!X695="","",'[1]V1 V2'!X695)</f>
        <v/>
      </c>
    </row>
    <row r="697" spans="1:65" ht="16" thickBot="1" x14ac:dyDescent="0.4">
      <c r="A697">
        <v>1</v>
      </c>
      <c r="B697" s="304" t="s">
        <v>2117</v>
      </c>
      <c r="C697" s="305"/>
      <c r="D697" s="306"/>
      <c r="E697" s="36">
        <f>VLOOKUP($B697,'[1]V1 V2'!$B$5:$BW$1894,74,0)</f>
        <v>0</v>
      </c>
      <c r="F697" s="168"/>
      <c r="G697" s="169"/>
      <c r="H697" s="170"/>
      <c r="I697" s="57"/>
      <c r="J697" s="56" t="s">
        <v>113</v>
      </c>
      <c r="K697" s="171"/>
      <c r="L697" s="142">
        <v>3.8</v>
      </c>
      <c r="M697" s="172"/>
      <c r="N697" s="173"/>
      <c r="O697" s="174"/>
      <c r="P697" s="175"/>
      <c r="Q697" s="182" t="s">
        <v>100</v>
      </c>
      <c r="R697" s="182" t="s">
        <v>29</v>
      </c>
      <c r="S697" s="175"/>
      <c r="T697" s="173" t="s">
        <v>30</v>
      </c>
      <c r="U697" s="62"/>
      <c r="V697" s="177" t="s">
        <v>2118</v>
      </c>
      <c r="W697" s="177" t="s">
        <v>2119</v>
      </c>
      <c r="X697" s="177">
        <v>29699.429000000011</v>
      </c>
      <c r="Y697" s="177">
        <v>5103.6099999999979</v>
      </c>
      <c r="Z697" s="178"/>
      <c r="AA697" s="297" t="s">
        <v>2117</v>
      </c>
      <c r="AB697" s="21" t="s">
        <v>2</v>
      </c>
      <c r="AH697" s="63">
        <v>1</v>
      </c>
      <c r="AO697" s="10" t="s">
        <v>3</v>
      </c>
      <c r="AP697" s="297" t="s">
        <v>2120</v>
      </c>
      <c r="AQ697" s="178"/>
      <c r="AR697" s="177">
        <v>5103.6100000000006</v>
      </c>
      <c r="AS697" s="222">
        <f>AS695-AQ696</f>
        <v>30157.238999999994</v>
      </c>
      <c r="AT697" s="177" t="s">
        <v>2121</v>
      </c>
      <c r="AU697" s="177" t="s">
        <v>2122</v>
      </c>
      <c r="AV697" s="403" t="s">
        <v>184</v>
      </c>
      <c r="AW697" s="173" t="s">
        <v>30</v>
      </c>
      <c r="AX697" s="175"/>
      <c r="AY697" s="182" t="s">
        <v>29</v>
      </c>
      <c r="AZ697" s="182" t="s">
        <v>100</v>
      </c>
      <c r="BA697" s="175"/>
      <c r="BB697" s="180"/>
      <c r="BC697" s="172"/>
      <c r="BD697" s="172"/>
      <c r="BE697" s="142">
        <v>3.8</v>
      </c>
      <c r="BF697" s="171"/>
      <c r="BG697" s="183" t="s">
        <v>113</v>
      </c>
      <c r="BH697" s="57"/>
      <c r="BI697" s="170"/>
      <c r="BJ697" s="169"/>
      <c r="BK697" s="181"/>
      <c r="BL697" s="36">
        <f>VLOOKUP($AP697,'[1]V1 V2'!$B$5:$BW$1894,74,0)</f>
        <v>0</v>
      </c>
      <c r="BM697" s="36" t="str">
        <f>IF('[1]V1 V2'!X696="","",'[1]V1 V2'!X696)</f>
        <v/>
      </c>
    </row>
    <row r="698" spans="1:65" ht="16" thickBot="1" x14ac:dyDescent="0.4">
      <c r="A698">
        <v>1</v>
      </c>
      <c r="B698" s="304"/>
      <c r="C698" s="305"/>
      <c r="D698" s="306"/>
      <c r="E698" s="36"/>
      <c r="F698" s="168"/>
      <c r="G698" s="169"/>
      <c r="H698" s="170"/>
      <c r="I698" s="57"/>
      <c r="J698" s="56"/>
      <c r="K698" s="171"/>
      <c r="L698" s="142"/>
      <c r="M698" s="172"/>
      <c r="N698" s="173"/>
      <c r="O698" s="174"/>
      <c r="P698" s="175"/>
      <c r="Q698" s="182"/>
      <c r="R698" s="182"/>
      <c r="S698" s="175"/>
      <c r="T698" s="173"/>
      <c r="U698" s="62">
        <v>-345</v>
      </c>
      <c r="V698" s="177" t="s">
        <v>89</v>
      </c>
      <c r="W698" s="177" t="s">
        <v>89</v>
      </c>
      <c r="X698" s="230"/>
      <c r="Y698" s="177"/>
      <c r="Z698" s="178">
        <v>12</v>
      </c>
      <c r="AA698" s="297"/>
      <c r="AB698" s="21" t="s">
        <v>2</v>
      </c>
      <c r="AH698" s="63">
        <v>1</v>
      </c>
      <c r="AO698" s="10" t="s">
        <v>3</v>
      </c>
      <c r="AP698" s="297"/>
      <c r="AQ698" s="178">
        <v>12</v>
      </c>
      <c r="AR698" s="177"/>
      <c r="AS698" s="222"/>
      <c r="AT698" s="177" t="s">
        <v>89</v>
      </c>
      <c r="AU698" s="177" t="s">
        <v>89</v>
      </c>
      <c r="AV698" s="62">
        <v>-345</v>
      </c>
      <c r="AW698" s="173"/>
      <c r="AX698" s="175"/>
      <c r="AY698" s="182"/>
      <c r="AZ698" s="182"/>
      <c r="BA698" s="175"/>
      <c r="BB698" s="180"/>
      <c r="BC698" s="172"/>
      <c r="BD698" s="172"/>
      <c r="BE698" s="142"/>
      <c r="BF698" s="171"/>
      <c r="BG698" s="56"/>
      <c r="BH698" s="57"/>
      <c r="BI698" s="170"/>
      <c r="BJ698" s="169"/>
      <c r="BK698" s="181"/>
      <c r="BL698" s="36"/>
      <c r="BM698" s="36" t="str">
        <f>IF('[1]V1 V2'!X697="","",'[1]V1 V2'!X697)</f>
        <v/>
      </c>
    </row>
    <row r="699" spans="1:65" ht="16" thickBot="1" x14ac:dyDescent="0.4">
      <c r="A699">
        <v>1</v>
      </c>
      <c r="B699" s="304" t="s">
        <v>2123</v>
      </c>
      <c r="C699" s="305"/>
      <c r="D699" s="306"/>
      <c r="E699" s="36">
        <f>VLOOKUP($B699,'[1]V1 V2'!$B$5:$BW$1894,74,0)</f>
        <v>0</v>
      </c>
      <c r="F699" s="168"/>
      <c r="G699" s="169"/>
      <c r="H699" s="170"/>
      <c r="I699" s="57"/>
      <c r="J699" s="56" t="s">
        <v>120</v>
      </c>
      <c r="K699" s="171"/>
      <c r="L699" s="142">
        <v>3.8</v>
      </c>
      <c r="M699" s="172"/>
      <c r="N699" s="173"/>
      <c r="O699" s="174"/>
      <c r="P699" s="175"/>
      <c r="Q699" s="182" t="s">
        <v>100</v>
      </c>
      <c r="R699" s="182" t="s">
        <v>29</v>
      </c>
      <c r="S699" s="175"/>
      <c r="T699" s="173" t="s">
        <v>30</v>
      </c>
      <c r="U699" s="62"/>
      <c r="V699" s="177" t="s">
        <v>2124</v>
      </c>
      <c r="W699" s="177" t="s">
        <v>2125</v>
      </c>
      <c r="X699" s="177">
        <v>29687.429000000011</v>
      </c>
      <c r="Y699" s="177">
        <v>5115.6099999999979</v>
      </c>
      <c r="Z699" s="178"/>
      <c r="AA699" s="297" t="s">
        <v>2123</v>
      </c>
      <c r="AB699" s="21" t="s">
        <v>2</v>
      </c>
      <c r="AH699" s="63">
        <v>1</v>
      </c>
      <c r="AO699" s="10" t="s">
        <v>3</v>
      </c>
      <c r="AP699" s="297" t="s">
        <v>2126</v>
      </c>
      <c r="AQ699" s="178"/>
      <c r="AR699" s="177">
        <v>5115.6100000000006</v>
      </c>
      <c r="AS699" s="222">
        <f>AS697-AQ698</f>
        <v>30145.238999999994</v>
      </c>
      <c r="AT699" s="177" t="s">
        <v>2127</v>
      </c>
      <c r="AU699" s="177" t="s">
        <v>2128</v>
      </c>
      <c r="AV699" s="403" t="s">
        <v>184</v>
      </c>
      <c r="AW699" s="173" t="s">
        <v>30</v>
      </c>
      <c r="AX699" s="175"/>
      <c r="AY699" s="182" t="s">
        <v>29</v>
      </c>
      <c r="AZ699" s="182" t="s">
        <v>100</v>
      </c>
      <c r="BA699" s="175"/>
      <c r="BB699" s="180"/>
      <c r="BC699" s="172"/>
      <c r="BD699" s="172"/>
      <c r="BE699" s="142">
        <v>3.8</v>
      </c>
      <c r="BF699" s="171"/>
      <c r="BG699" s="183" t="s">
        <v>120</v>
      </c>
      <c r="BH699" s="57"/>
      <c r="BI699" s="170"/>
      <c r="BJ699" s="169"/>
      <c r="BK699" s="181"/>
      <c r="BL699" s="36">
        <f>VLOOKUP($AP699,'[1]V1 V2'!$B$5:$BW$1894,74,0)</f>
        <v>0</v>
      </c>
      <c r="BM699" s="36" t="str">
        <f>IF('[1]V1 V2'!X698="","",'[1]V1 V2'!X698)</f>
        <v/>
      </c>
    </row>
    <row r="700" spans="1:65" ht="16" thickBot="1" x14ac:dyDescent="0.4">
      <c r="A700">
        <v>1</v>
      </c>
      <c r="B700" s="304"/>
      <c r="C700" s="305"/>
      <c r="D700" s="306"/>
      <c r="E700" s="36"/>
      <c r="F700" s="168"/>
      <c r="G700" s="169"/>
      <c r="H700" s="170"/>
      <c r="I700" s="57"/>
      <c r="J700" s="56"/>
      <c r="K700" s="171"/>
      <c r="L700" s="142"/>
      <c r="M700" s="172"/>
      <c r="N700" s="173"/>
      <c r="O700" s="174"/>
      <c r="P700" s="175"/>
      <c r="Q700" s="182"/>
      <c r="R700" s="182"/>
      <c r="S700" s="175"/>
      <c r="T700" s="173"/>
      <c r="U700" s="62">
        <v>-345</v>
      </c>
      <c r="V700" s="177" t="s">
        <v>89</v>
      </c>
      <c r="W700" s="177" t="s">
        <v>89</v>
      </c>
      <c r="X700" s="230"/>
      <c r="Y700" s="177"/>
      <c r="Z700" s="178">
        <v>12</v>
      </c>
      <c r="AA700" s="297"/>
      <c r="AB700" s="21" t="s">
        <v>2</v>
      </c>
      <c r="AH700" s="63">
        <v>1</v>
      </c>
      <c r="AO700" s="10" t="s">
        <v>3</v>
      </c>
      <c r="AP700" s="297"/>
      <c r="AQ700" s="178">
        <v>12</v>
      </c>
      <c r="AR700" s="177"/>
      <c r="AS700" s="222"/>
      <c r="AT700" s="177" t="s">
        <v>89</v>
      </c>
      <c r="AU700" s="177" t="s">
        <v>89</v>
      </c>
      <c r="AV700" s="62">
        <v>-345</v>
      </c>
      <c r="AW700" s="173"/>
      <c r="AX700" s="175"/>
      <c r="AY700" s="182"/>
      <c r="AZ700" s="182"/>
      <c r="BA700" s="175"/>
      <c r="BB700" s="180"/>
      <c r="BC700" s="172"/>
      <c r="BD700" s="172"/>
      <c r="BE700" s="142"/>
      <c r="BF700" s="171"/>
      <c r="BG700" s="56"/>
      <c r="BH700" s="57"/>
      <c r="BI700" s="170"/>
      <c r="BJ700" s="169"/>
      <c r="BK700" s="181"/>
      <c r="BL700" s="36"/>
      <c r="BM700" s="36" t="str">
        <f>IF('[1]V1 V2'!X699="","",'[1]V1 V2'!X699)</f>
        <v/>
      </c>
    </row>
    <row r="701" spans="1:65" ht="16" thickBot="1" x14ac:dyDescent="0.4">
      <c r="A701">
        <v>1</v>
      </c>
      <c r="B701" s="304" t="s">
        <v>2129</v>
      </c>
      <c r="C701" s="305"/>
      <c r="D701" s="306"/>
      <c r="E701" s="36">
        <f>VLOOKUP($B701,'[1]V1 V2'!$B$5:$BW$1894,74,0)</f>
        <v>0</v>
      </c>
      <c r="F701" s="168"/>
      <c r="G701" s="169"/>
      <c r="H701" s="170"/>
      <c r="I701" s="57"/>
      <c r="J701" s="56" t="s">
        <v>127</v>
      </c>
      <c r="K701" s="171"/>
      <c r="L701" s="142">
        <v>3.8</v>
      </c>
      <c r="M701" s="172"/>
      <c r="N701" s="173"/>
      <c r="O701" s="174"/>
      <c r="P701" s="175"/>
      <c r="Q701" s="182" t="s">
        <v>100</v>
      </c>
      <c r="R701" s="182" t="s">
        <v>29</v>
      </c>
      <c r="S701" s="175"/>
      <c r="T701" s="173" t="s">
        <v>30</v>
      </c>
      <c r="U701" s="62"/>
      <c r="V701" s="177" t="s">
        <v>2130</v>
      </c>
      <c r="W701" s="177" t="s">
        <v>2131</v>
      </c>
      <c r="X701" s="177">
        <v>29675.429000000011</v>
      </c>
      <c r="Y701" s="177">
        <v>5127.6099999999979</v>
      </c>
      <c r="Z701" s="178"/>
      <c r="AA701" s="297" t="s">
        <v>2129</v>
      </c>
      <c r="AB701" s="21" t="s">
        <v>2</v>
      </c>
      <c r="AH701" s="63">
        <v>1</v>
      </c>
      <c r="AO701" s="10" t="s">
        <v>3</v>
      </c>
      <c r="AP701" s="297" t="s">
        <v>2132</v>
      </c>
      <c r="AQ701" s="178"/>
      <c r="AR701" s="177">
        <v>5127.6100000000006</v>
      </c>
      <c r="AS701" s="222">
        <f>AS699-AQ700</f>
        <v>30133.238999999994</v>
      </c>
      <c r="AT701" s="177" t="s">
        <v>2133</v>
      </c>
      <c r="AU701" s="177" t="s">
        <v>2134</v>
      </c>
      <c r="AV701" s="403" t="s">
        <v>184</v>
      </c>
      <c r="AW701" s="173" t="s">
        <v>30</v>
      </c>
      <c r="AX701" s="175"/>
      <c r="AY701" s="182" t="s">
        <v>29</v>
      </c>
      <c r="AZ701" s="182" t="s">
        <v>100</v>
      </c>
      <c r="BA701" s="175"/>
      <c r="BB701" s="180"/>
      <c r="BC701" s="172"/>
      <c r="BD701" s="172"/>
      <c r="BE701" s="142">
        <v>3.8</v>
      </c>
      <c r="BF701" s="171"/>
      <c r="BG701" s="183" t="s">
        <v>127</v>
      </c>
      <c r="BH701" s="57"/>
      <c r="BI701" s="170"/>
      <c r="BJ701" s="169"/>
      <c r="BK701" s="181"/>
      <c r="BL701" s="36">
        <f>VLOOKUP($AP701,'[1]V1 V2'!$B$5:$BW$1894,74,0)</f>
        <v>0</v>
      </c>
      <c r="BM701" s="36" t="str">
        <f>IF('[1]V1 V2'!X700="","",'[1]V1 V2'!X700)</f>
        <v/>
      </c>
    </row>
    <row r="702" spans="1:65" ht="16" thickBot="1" x14ac:dyDescent="0.4">
      <c r="A702">
        <v>1</v>
      </c>
      <c r="B702" s="304"/>
      <c r="C702" s="305"/>
      <c r="D702" s="306"/>
      <c r="E702" s="36"/>
      <c r="F702" s="168"/>
      <c r="G702" s="169"/>
      <c r="H702" s="170"/>
      <c r="I702" s="57"/>
      <c r="J702" s="56"/>
      <c r="K702" s="171"/>
      <c r="L702" s="142"/>
      <c r="M702" s="172"/>
      <c r="N702" s="173"/>
      <c r="O702" s="174"/>
      <c r="P702" s="175"/>
      <c r="Q702" s="182"/>
      <c r="R702" s="182"/>
      <c r="S702" s="175"/>
      <c r="T702" s="173"/>
      <c r="U702" s="62" t="s">
        <v>48</v>
      </c>
      <c r="V702" s="177" t="s">
        <v>89</v>
      </c>
      <c r="W702" s="177" t="s">
        <v>89</v>
      </c>
      <c r="X702" s="230"/>
      <c r="Y702" s="177"/>
      <c r="Z702" s="178">
        <v>12</v>
      </c>
      <c r="AA702" s="297"/>
      <c r="AB702" s="21" t="s">
        <v>2</v>
      </c>
      <c r="AH702" s="63">
        <v>1</v>
      </c>
      <c r="AO702" s="10" t="s">
        <v>3</v>
      </c>
      <c r="AP702" s="297"/>
      <c r="AQ702" s="178">
        <v>12</v>
      </c>
      <c r="AR702" s="177"/>
      <c r="AS702" s="222"/>
      <c r="AT702" s="177" t="s">
        <v>89</v>
      </c>
      <c r="AU702" s="177" t="s">
        <v>89</v>
      </c>
      <c r="AV702" s="62" t="s">
        <v>48</v>
      </c>
      <c r="AW702" s="173"/>
      <c r="AX702" s="175"/>
      <c r="AY702" s="182"/>
      <c r="AZ702" s="182"/>
      <c r="BA702" s="175"/>
      <c r="BB702" s="180"/>
      <c r="BC702" s="172"/>
      <c r="BD702" s="172"/>
      <c r="BE702" s="142"/>
      <c r="BF702" s="171"/>
      <c r="BG702" s="56"/>
      <c r="BH702" s="57"/>
      <c r="BI702" s="170"/>
      <c r="BJ702" s="169"/>
      <c r="BK702" s="181"/>
      <c r="BL702" s="36"/>
      <c r="BM702" s="36" t="str">
        <f>IF('[1]V1 V2'!X701="","",'[1]V1 V2'!X701)</f>
        <v/>
      </c>
    </row>
    <row r="703" spans="1:65" ht="16" thickBot="1" x14ac:dyDescent="0.4">
      <c r="A703">
        <v>1</v>
      </c>
      <c r="B703" s="304" t="s">
        <v>2135</v>
      </c>
      <c r="C703" s="305"/>
      <c r="D703" s="306"/>
      <c r="E703" s="36">
        <f>VLOOKUP($B703,'[1]V1 V2'!$B$5:$BW$1894,74,0)</f>
        <v>0</v>
      </c>
      <c r="F703" s="168"/>
      <c r="G703" s="169"/>
      <c r="H703" s="170"/>
      <c r="I703" s="57"/>
      <c r="J703" s="56" t="s">
        <v>120</v>
      </c>
      <c r="K703" s="171"/>
      <c r="L703" s="142">
        <v>3.8</v>
      </c>
      <c r="M703" s="172"/>
      <c r="N703" s="173"/>
      <c r="O703" s="174"/>
      <c r="P703" s="175"/>
      <c r="Q703" s="182" t="s">
        <v>140</v>
      </c>
      <c r="R703" s="182" t="s">
        <v>29</v>
      </c>
      <c r="S703" s="175"/>
      <c r="T703" s="173" t="s">
        <v>141</v>
      </c>
      <c r="U703" s="62"/>
      <c r="V703" s="177" t="s">
        <v>2136</v>
      </c>
      <c r="W703" s="177" t="s">
        <v>2137</v>
      </c>
      <c r="X703" s="177">
        <v>29663.429000000011</v>
      </c>
      <c r="Y703" s="177">
        <v>5139.6099999999979</v>
      </c>
      <c r="Z703" s="178"/>
      <c r="AA703" s="297" t="s">
        <v>2135</v>
      </c>
      <c r="AB703" s="21" t="s">
        <v>2</v>
      </c>
      <c r="AH703" s="63">
        <v>1</v>
      </c>
      <c r="AO703" s="10" t="s">
        <v>3</v>
      </c>
      <c r="AP703" s="297" t="s">
        <v>2138</v>
      </c>
      <c r="AQ703" s="178"/>
      <c r="AR703" s="177">
        <v>5139.6100000000006</v>
      </c>
      <c r="AS703" s="222">
        <f>AS701-AQ702</f>
        <v>30121.238999999994</v>
      </c>
      <c r="AT703" s="177" t="s">
        <v>2139</v>
      </c>
      <c r="AU703" s="177" t="s">
        <v>2140</v>
      </c>
      <c r="AV703" s="403" t="s">
        <v>184</v>
      </c>
      <c r="AW703" s="173" t="s">
        <v>141</v>
      </c>
      <c r="AX703" s="175"/>
      <c r="AY703" s="182" t="s">
        <v>29</v>
      </c>
      <c r="AZ703" s="182" t="s">
        <v>140</v>
      </c>
      <c r="BA703" s="175"/>
      <c r="BB703" s="180"/>
      <c r="BC703" s="172"/>
      <c r="BD703" s="172"/>
      <c r="BE703" s="142">
        <v>3.8</v>
      </c>
      <c r="BF703" s="171"/>
      <c r="BG703" s="183" t="s">
        <v>120</v>
      </c>
      <c r="BH703" s="57"/>
      <c r="BI703" s="170"/>
      <c r="BJ703" s="169"/>
      <c r="BK703" s="181"/>
      <c r="BL703" s="36">
        <f>VLOOKUP($AP703,'[1]V1 V2'!$B$5:$BW$1894,74,0)</f>
        <v>0</v>
      </c>
      <c r="BM703" s="36" t="str">
        <f>IF('[1]V1 V2'!X702="","",'[1]V1 V2'!X702)</f>
        <v/>
      </c>
    </row>
    <row r="704" spans="1:65" ht="16" thickBot="1" x14ac:dyDescent="0.4">
      <c r="A704">
        <v>1</v>
      </c>
      <c r="B704" s="304"/>
      <c r="C704" s="305"/>
      <c r="D704" s="306"/>
      <c r="E704" s="36"/>
      <c r="F704" s="168"/>
      <c r="G704" s="169"/>
      <c r="H704" s="170"/>
      <c r="I704" s="57"/>
      <c r="J704" s="56"/>
      <c r="K704" s="171"/>
      <c r="L704" s="142"/>
      <c r="M704" s="172"/>
      <c r="N704" s="173"/>
      <c r="O704" s="174"/>
      <c r="P704" s="175"/>
      <c r="Q704" s="182"/>
      <c r="R704" s="182"/>
      <c r="S704" s="175"/>
      <c r="T704" s="173"/>
      <c r="U704" s="62" t="s">
        <v>48</v>
      </c>
      <c r="V704" s="177" t="s">
        <v>89</v>
      </c>
      <c r="W704" s="177" t="s">
        <v>89</v>
      </c>
      <c r="X704" s="230"/>
      <c r="Y704" s="177"/>
      <c r="Z704" s="178">
        <v>12</v>
      </c>
      <c r="AA704" s="297"/>
      <c r="AB704" s="21" t="s">
        <v>2</v>
      </c>
      <c r="AH704" s="63">
        <v>1</v>
      </c>
      <c r="AO704" s="10" t="s">
        <v>3</v>
      </c>
      <c r="AP704" s="297"/>
      <c r="AQ704" s="178">
        <v>12</v>
      </c>
      <c r="AR704" s="177"/>
      <c r="AS704" s="222"/>
      <c r="AT704" s="177" t="s">
        <v>89</v>
      </c>
      <c r="AU704" s="177" t="s">
        <v>89</v>
      </c>
      <c r="AV704" s="62" t="s">
        <v>48</v>
      </c>
      <c r="AW704" s="173"/>
      <c r="AX704" s="175"/>
      <c r="AY704" s="182"/>
      <c r="AZ704" s="182"/>
      <c r="BA704" s="175"/>
      <c r="BB704" s="180"/>
      <c r="BC704" s="172"/>
      <c r="BD704" s="172"/>
      <c r="BE704" s="142"/>
      <c r="BF704" s="171"/>
      <c r="BG704" s="56"/>
      <c r="BH704" s="57"/>
      <c r="BI704" s="170"/>
      <c r="BJ704" s="169"/>
      <c r="BK704" s="181"/>
      <c r="BL704" s="36"/>
      <c r="BM704" s="36" t="str">
        <f>IF('[1]V1 V2'!X703="","",'[1]V1 V2'!X703)</f>
        <v/>
      </c>
    </row>
    <row r="705" spans="1:65" ht="16" thickBot="1" x14ac:dyDescent="0.4">
      <c r="A705">
        <v>1</v>
      </c>
      <c r="B705" s="304" t="s">
        <v>2141</v>
      </c>
      <c r="C705" s="305"/>
      <c r="D705" s="306"/>
      <c r="E705" s="36">
        <f>VLOOKUP($B705,'[1]V1 V2'!$B$5:$BW$1894,74,0)</f>
        <v>0</v>
      </c>
      <c r="F705" s="168"/>
      <c r="G705" s="169"/>
      <c r="H705" s="170"/>
      <c r="I705" s="57"/>
      <c r="J705" s="56" t="s">
        <v>113</v>
      </c>
      <c r="K705" s="171"/>
      <c r="L705" s="142">
        <v>3.8</v>
      </c>
      <c r="M705" s="172"/>
      <c r="N705" s="173"/>
      <c r="O705" s="174"/>
      <c r="P705" s="175"/>
      <c r="Q705" s="182" t="s">
        <v>100</v>
      </c>
      <c r="R705" s="182" t="s">
        <v>29</v>
      </c>
      <c r="S705" s="175"/>
      <c r="T705" s="173" t="s">
        <v>30</v>
      </c>
      <c r="U705" s="62"/>
      <c r="V705" s="177" t="s">
        <v>2142</v>
      </c>
      <c r="W705" s="177" t="s">
        <v>2143</v>
      </c>
      <c r="X705" s="177">
        <v>29651.429000000011</v>
      </c>
      <c r="Y705" s="177">
        <v>5151.6099999999979</v>
      </c>
      <c r="Z705" s="178"/>
      <c r="AA705" s="297" t="s">
        <v>2141</v>
      </c>
      <c r="AB705" s="21" t="s">
        <v>2</v>
      </c>
      <c r="AH705" s="63">
        <v>1</v>
      </c>
      <c r="AO705" s="10" t="s">
        <v>3</v>
      </c>
      <c r="AP705" s="297" t="s">
        <v>2144</v>
      </c>
      <c r="AQ705" s="178"/>
      <c r="AR705" s="177">
        <v>5151.6100000000006</v>
      </c>
      <c r="AS705" s="222">
        <f>AS703-AQ704</f>
        <v>30109.238999999994</v>
      </c>
      <c r="AT705" s="177" t="s">
        <v>2145</v>
      </c>
      <c r="AU705" s="177" t="s">
        <v>2146</v>
      </c>
      <c r="AV705" s="403" t="s">
        <v>184</v>
      </c>
      <c r="AW705" s="173" t="s">
        <v>30</v>
      </c>
      <c r="AX705" s="175"/>
      <c r="AY705" s="182" t="s">
        <v>29</v>
      </c>
      <c r="AZ705" s="182" t="s">
        <v>100</v>
      </c>
      <c r="BA705" s="175"/>
      <c r="BB705" s="180"/>
      <c r="BC705" s="172"/>
      <c r="BD705" s="172"/>
      <c r="BE705" s="142">
        <v>3.8</v>
      </c>
      <c r="BF705" s="171"/>
      <c r="BG705" s="183" t="s">
        <v>113</v>
      </c>
      <c r="BH705" s="57"/>
      <c r="BI705" s="170"/>
      <c r="BJ705" s="169"/>
      <c r="BK705" s="181"/>
      <c r="BL705" s="36">
        <f>VLOOKUP($AP705,'[1]V1 V2'!$B$5:$BW$1894,74,0)</f>
        <v>0</v>
      </c>
      <c r="BM705" s="36" t="str">
        <f>IF('[1]V1 V2'!X704="","",'[1]V1 V2'!X704)</f>
        <v/>
      </c>
    </row>
    <row r="706" spans="1:65" ht="16" thickBot="1" x14ac:dyDescent="0.4">
      <c r="A706">
        <v>1</v>
      </c>
      <c r="B706" s="304"/>
      <c r="C706" s="305"/>
      <c r="D706" s="306"/>
      <c r="E706" s="36"/>
      <c r="F706" s="168"/>
      <c r="G706" s="169"/>
      <c r="H706" s="170"/>
      <c r="I706" s="57"/>
      <c r="J706" s="56"/>
      <c r="K706" s="171"/>
      <c r="L706" s="142"/>
      <c r="M706" s="172"/>
      <c r="N706" s="173"/>
      <c r="O706" s="174"/>
      <c r="P706" s="175"/>
      <c r="Q706" s="182"/>
      <c r="R706" s="182"/>
      <c r="S706" s="175"/>
      <c r="T706" s="173"/>
      <c r="U706" s="62" t="s">
        <v>48</v>
      </c>
      <c r="V706" s="177" t="s">
        <v>89</v>
      </c>
      <c r="W706" s="177" t="s">
        <v>89</v>
      </c>
      <c r="X706" s="230"/>
      <c r="Y706" s="177"/>
      <c r="Z706" s="178">
        <v>12</v>
      </c>
      <c r="AA706" s="297"/>
      <c r="AB706" s="21" t="s">
        <v>2</v>
      </c>
      <c r="AH706" s="63">
        <v>1</v>
      </c>
      <c r="AO706" s="10" t="s">
        <v>3</v>
      </c>
      <c r="AP706" s="297"/>
      <c r="AQ706" s="178">
        <v>12</v>
      </c>
      <c r="AR706" s="177"/>
      <c r="AS706" s="222"/>
      <c r="AT706" s="177" t="s">
        <v>89</v>
      </c>
      <c r="AU706" s="177" t="s">
        <v>89</v>
      </c>
      <c r="AV706" s="62" t="s">
        <v>48</v>
      </c>
      <c r="AW706" s="173"/>
      <c r="AX706" s="175"/>
      <c r="AY706" s="182"/>
      <c r="AZ706" s="182"/>
      <c r="BA706" s="175"/>
      <c r="BB706" s="180"/>
      <c r="BC706" s="172"/>
      <c r="BD706" s="172"/>
      <c r="BE706" s="142"/>
      <c r="BF706" s="171"/>
      <c r="BG706" s="56"/>
      <c r="BH706" s="57"/>
      <c r="BI706" s="170"/>
      <c r="BJ706" s="169"/>
      <c r="BK706" s="181"/>
      <c r="BL706" s="36"/>
      <c r="BM706" s="36" t="str">
        <f>IF('[1]V1 V2'!X705="","",'[1]V1 V2'!X705)</f>
        <v/>
      </c>
    </row>
    <row r="707" spans="1:65" ht="16" thickBot="1" x14ac:dyDescent="0.4">
      <c r="A707">
        <v>1</v>
      </c>
      <c r="B707" s="304" t="s">
        <v>2147</v>
      </c>
      <c r="C707" s="305"/>
      <c r="D707" s="306"/>
      <c r="E707" s="36">
        <f>VLOOKUP($B707,'[1]V1 V2'!$B$5:$BW$1894,74,0)</f>
        <v>0</v>
      </c>
      <c r="F707" s="168"/>
      <c r="G707" s="169"/>
      <c r="H707" s="170"/>
      <c r="I707" s="57"/>
      <c r="J707" s="56">
        <v>-4</v>
      </c>
      <c r="K707" s="171"/>
      <c r="L707" s="142">
        <v>3.8</v>
      </c>
      <c r="M707" s="172"/>
      <c r="N707" s="173"/>
      <c r="O707" s="174"/>
      <c r="P707" s="175"/>
      <c r="Q707" s="182" t="s">
        <v>100</v>
      </c>
      <c r="R707" s="182" t="s">
        <v>29</v>
      </c>
      <c r="S707" s="175"/>
      <c r="T707" s="173" t="s">
        <v>30</v>
      </c>
      <c r="U707" s="62"/>
      <c r="V707" s="177" t="s">
        <v>2148</v>
      </c>
      <c r="W707" s="177" t="s">
        <v>2149</v>
      </c>
      <c r="X707" s="177">
        <v>29639.429000000011</v>
      </c>
      <c r="Y707" s="177">
        <v>5163.6099999999979</v>
      </c>
      <c r="Z707" s="178"/>
      <c r="AA707" s="297" t="s">
        <v>2147</v>
      </c>
      <c r="AB707" s="21" t="s">
        <v>2</v>
      </c>
      <c r="AH707" s="63">
        <v>1</v>
      </c>
      <c r="AO707" s="10" t="s">
        <v>3</v>
      </c>
      <c r="AP707" s="297" t="s">
        <v>2150</v>
      </c>
      <c r="AQ707" s="178"/>
      <c r="AR707" s="177">
        <v>5163.6100000000006</v>
      </c>
      <c r="AS707" s="222">
        <f>AS705-AQ706</f>
        <v>30097.238999999994</v>
      </c>
      <c r="AT707" s="177" t="s">
        <v>2151</v>
      </c>
      <c r="AU707" s="177" t="s">
        <v>2152</v>
      </c>
      <c r="AV707" s="403" t="s">
        <v>184</v>
      </c>
      <c r="AW707" s="173" t="s">
        <v>30</v>
      </c>
      <c r="AX707" s="175"/>
      <c r="AY707" s="182" t="s">
        <v>29</v>
      </c>
      <c r="AZ707" s="182" t="s">
        <v>100</v>
      </c>
      <c r="BA707" s="175"/>
      <c r="BB707" s="180"/>
      <c r="BC707" s="172"/>
      <c r="BD707" s="172"/>
      <c r="BE707" s="142">
        <v>3.8</v>
      </c>
      <c r="BF707" s="171"/>
      <c r="BG707" s="56">
        <v>-4</v>
      </c>
      <c r="BH707" s="57"/>
      <c r="BI707" s="170"/>
      <c r="BJ707" s="169"/>
      <c r="BK707" s="181"/>
      <c r="BL707" s="36">
        <f>VLOOKUP($AP707,'[1]V1 V2'!$B$5:$BW$1894,74,0)</f>
        <v>0</v>
      </c>
      <c r="BM707" s="36" t="str">
        <f>IF('[1]V1 V2'!X706="","",'[1]V1 V2'!X706)</f>
        <v/>
      </c>
    </row>
    <row r="708" spans="1:65" ht="16" thickBot="1" x14ac:dyDescent="0.4">
      <c r="A708">
        <v>1</v>
      </c>
      <c r="B708" s="304"/>
      <c r="C708" s="305"/>
      <c r="D708" s="306"/>
      <c r="E708" s="36"/>
      <c r="F708" s="168"/>
      <c r="G708" s="169"/>
      <c r="H708" s="170"/>
      <c r="I708" s="57"/>
      <c r="J708" s="56"/>
      <c r="K708" s="171"/>
      <c r="L708" s="142"/>
      <c r="M708" s="172"/>
      <c r="N708" s="173"/>
      <c r="O708" s="174"/>
      <c r="P708" s="175"/>
      <c r="Q708" s="182"/>
      <c r="R708" s="182"/>
      <c r="S708" s="175"/>
      <c r="T708" s="173"/>
      <c r="U708" s="62" t="s">
        <v>48</v>
      </c>
      <c r="V708" s="177" t="s">
        <v>89</v>
      </c>
      <c r="W708" s="177" t="s">
        <v>89</v>
      </c>
      <c r="X708" s="230"/>
      <c r="Y708" s="177"/>
      <c r="Z708" s="178">
        <v>12</v>
      </c>
      <c r="AA708" s="297"/>
      <c r="AB708" s="21" t="s">
        <v>2</v>
      </c>
      <c r="AH708" s="63">
        <v>1</v>
      </c>
      <c r="AO708" s="10" t="s">
        <v>3</v>
      </c>
      <c r="AP708" s="297"/>
      <c r="AQ708" s="178">
        <v>12</v>
      </c>
      <c r="AR708" s="177"/>
      <c r="AS708" s="222"/>
      <c r="AT708" s="177" t="s">
        <v>89</v>
      </c>
      <c r="AU708" s="177" t="s">
        <v>89</v>
      </c>
      <c r="AV708" s="62" t="s">
        <v>48</v>
      </c>
      <c r="AW708" s="173"/>
      <c r="AX708" s="175"/>
      <c r="AY708" s="182"/>
      <c r="AZ708" s="182"/>
      <c r="BA708" s="175"/>
      <c r="BB708" s="180"/>
      <c r="BC708" s="172"/>
      <c r="BD708" s="172"/>
      <c r="BE708" s="142"/>
      <c r="BF708" s="171"/>
      <c r="BG708" s="56"/>
      <c r="BH708" s="57"/>
      <c r="BI708" s="170"/>
      <c r="BJ708" s="169"/>
      <c r="BK708" s="181"/>
      <c r="BL708" s="36"/>
      <c r="BM708" s="36" t="str">
        <f>IF('[1]V1 V2'!X707="","",'[1]V1 V2'!X707)</f>
        <v/>
      </c>
    </row>
    <row r="709" spans="1:65" ht="16" thickBot="1" x14ac:dyDescent="0.4">
      <c r="A709">
        <v>1</v>
      </c>
      <c r="B709" s="304" t="s">
        <v>2153</v>
      </c>
      <c r="C709" s="305"/>
      <c r="D709" s="306"/>
      <c r="E709" s="36">
        <f>VLOOKUP($B709,'[1]V1 V2'!$B$5:$BW$1894,74,0)</f>
        <v>0</v>
      </c>
      <c r="F709" s="168"/>
      <c r="G709" s="169"/>
      <c r="H709" s="170"/>
      <c r="I709" s="57"/>
      <c r="J709" s="56">
        <v>-12</v>
      </c>
      <c r="K709" s="171"/>
      <c r="L709" s="142">
        <v>3.8</v>
      </c>
      <c r="M709" s="172"/>
      <c r="N709" s="173"/>
      <c r="O709" s="174"/>
      <c r="P709" s="175"/>
      <c r="Q709" s="182" t="s">
        <v>100</v>
      </c>
      <c r="R709" s="182" t="s">
        <v>29</v>
      </c>
      <c r="S709" s="175"/>
      <c r="T709" s="173" t="s">
        <v>30</v>
      </c>
      <c r="U709" s="62"/>
      <c r="V709" s="177" t="s">
        <v>2154</v>
      </c>
      <c r="W709" s="177" t="s">
        <v>2155</v>
      </c>
      <c r="X709" s="177">
        <v>29627.429000000011</v>
      </c>
      <c r="Y709" s="177">
        <v>5175.6099999999979</v>
      </c>
      <c r="Z709" s="178"/>
      <c r="AA709" s="297" t="s">
        <v>2153</v>
      </c>
      <c r="AB709" s="21" t="s">
        <v>2</v>
      </c>
      <c r="AH709" s="63">
        <v>1</v>
      </c>
      <c r="AO709" s="10" t="s">
        <v>3</v>
      </c>
      <c r="AP709" s="297" t="s">
        <v>2156</v>
      </c>
      <c r="AQ709" s="178"/>
      <c r="AR709" s="177">
        <v>5175.6100000000006</v>
      </c>
      <c r="AS709" s="222">
        <f>AS707-AQ708</f>
        <v>30085.238999999994</v>
      </c>
      <c r="AT709" s="177" t="s">
        <v>2157</v>
      </c>
      <c r="AU709" s="177" t="s">
        <v>2158</v>
      </c>
      <c r="AV709" s="62"/>
      <c r="AW709" s="173" t="s">
        <v>30</v>
      </c>
      <c r="AX709" s="175"/>
      <c r="AY709" s="182" t="s">
        <v>29</v>
      </c>
      <c r="AZ709" s="182" t="s">
        <v>100</v>
      </c>
      <c r="BA709" s="175"/>
      <c r="BB709" s="180"/>
      <c r="BC709" s="172"/>
      <c r="BD709" s="172"/>
      <c r="BE709" s="142">
        <v>3.8</v>
      </c>
      <c r="BF709" s="171"/>
      <c r="BG709" s="56">
        <v>-12</v>
      </c>
      <c r="BH709" s="57"/>
      <c r="BI709" s="170"/>
      <c r="BJ709" s="169"/>
      <c r="BK709" s="181"/>
      <c r="BL709" s="36">
        <f>VLOOKUP($AP709,'[1]V1 V2'!$B$5:$BW$1894,74,0)</f>
        <v>0</v>
      </c>
      <c r="BM709" s="36" t="str">
        <f>IF('[1]V1 V2'!X708="","",'[1]V1 V2'!X708)</f>
        <v/>
      </c>
    </row>
    <row r="710" spans="1:65" ht="16" thickBot="1" x14ac:dyDescent="0.4">
      <c r="A710">
        <v>1</v>
      </c>
      <c r="B710" s="304"/>
      <c r="C710" s="305"/>
      <c r="D710" s="306"/>
      <c r="E710" s="36"/>
      <c r="F710" s="168"/>
      <c r="G710" s="169"/>
      <c r="H710" s="170"/>
      <c r="I710" s="57"/>
      <c r="J710" s="56"/>
      <c r="K710" s="171"/>
      <c r="L710" s="142"/>
      <c r="M710" s="172"/>
      <c r="N710" s="173"/>
      <c r="O710" s="174"/>
      <c r="P710" s="175"/>
      <c r="Q710" s="182"/>
      <c r="R710" s="182"/>
      <c r="S710" s="175"/>
      <c r="T710" s="173"/>
      <c r="U710" s="62"/>
      <c r="V710" s="177" t="s">
        <v>89</v>
      </c>
      <c r="W710" s="177" t="s">
        <v>89</v>
      </c>
      <c r="X710" s="230"/>
      <c r="Y710" s="177"/>
      <c r="Z710" s="178">
        <v>12</v>
      </c>
      <c r="AA710" s="297"/>
      <c r="AB710" s="21" t="s">
        <v>2</v>
      </c>
      <c r="AH710" s="63">
        <v>1</v>
      </c>
      <c r="AO710" s="10" t="s">
        <v>3</v>
      </c>
      <c r="AP710" s="297"/>
      <c r="AQ710" s="178">
        <v>12</v>
      </c>
      <c r="AR710" s="177"/>
      <c r="AS710" s="222"/>
      <c r="AT710" s="177" t="s">
        <v>89</v>
      </c>
      <c r="AU710" s="177" t="s">
        <v>89</v>
      </c>
      <c r="AV710" s="62"/>
      <c r="AW710" s="173"/>
      <c r="AX710" s="175"/>
      <c r="AY710" s="182"/>
      <c r="AZ710" s="182"/>
      <c r="BA710" s="175"/>
      <c r="BB710" s="180"/>
      <c r="BC710" s="172"/>
      <c r="BD710" s="172"/>
      <c r="BE710" s="142"/>
      <c r="BF710" s="171"/>
      <c r="BG710" s="56"/>
      <c r="BH710" s="57"/>
      <c r="BI710" s="170"/>
      <c r="BJ710" s="169"/>
      <c r="BK710" s="181"/>
      <c r="BL710" s="36"/>
      <c r="BM710" s="36" t="str">
        <f>IF('[1]V1 V2'!X709="","",'[1]V1 V2'!X709)</f>
        <v/>
      </c>
    </row>
    <row r="711" spans="1:65" ht="16" thickBot="1" x14ac:dyDescent="0.4">
      <c r="A711">
        <v>1</v>
      </c>
      <c r="B711" s="304" t="s">
        <v>2159</v>
      </c>
      <c r="C711" s="305"/>
      <c r="D711" s="306"/>
      <c r="E711" s="36">
        <f>VLOOKUP($B711,'[1]V1 V2'!$B$5:$BW$1894,74,0)</f>
        <v>0</v>
      </c>
      <c r="F711" s="168"/>
      <c r="G711" s="169"/>
      <c r="H711" s="170"/>
      <c r="I711" s="57"/>
      <c r="J711" s="56">
        <v>-20</v>
      </c>
      <c r="K711" s="171"/>
      <c r="L711" s="142">
        <v>3.8</v>
      </c>
      <c r="M711" s="172"/>
      <c r="N711" s="173"/>
      <c r="O711" s="174"/>
      <c r="P711" s="175"/>
      <c r="Q711" s="182" t="s">
        <v>100</v>
      </c>
      <c r="R711" s="182" t="s">
        <v>29</v>
      </c>
      <c r="S711" s="175"/>
      <c r="T711" s="173" t="s">
        <v>30</v>
      </c>
      <c r="U711" s="62"/>
      <c r="V711" s="177" t="s">
        <v>2160</v>
      </c>
      <c r="W711" s="177" t="s">
        <v>2161</v>
      </c>
      <c r="X711" s="177">
        <v>29615.429000000011</v>
      </c>
      <c r="Y711" s="177">
        <v>5187.6099999999979</v>
      </c>
      <c r="Z711" s="178"/>
      <c r="AA711" s="297" t="s">
        <v>2159</v>
      </c>
      <c r="AB711" s="21" t="s">
        <v>2</v>
      </c>
      <c r="AH711" s="63">
        <v>1</v>
      </c>
      <c r="AO711" s="10" t="s">
        <v>3</v>
      </c>
      <c r="AP711" s="297" t="s">
        <v>2162</v>
      </c>
      <c r="AQ711" s="178"/>
      <c r="AR711" s="177">
        <v>5187.6100000000006</v>
      </c>
      <c r="AS711" s="222">
        <f>AS709-AQ710</f>
        <v>30073.238999999994</v>
      </c>
      <c r="AT711" s="177" t="s">
        <v>2163</v>
      </c>
      <c r="AU711" s="177" t="s">
        <v>2164</v>
      </c>
      <c r="AV711" s="62"/>
      <c r="AW711" s="173" t="s">
        <v>30</v>
      </c>
      <c r="AX711" s="175"/>
      <c r="AY711" s="182" t="s">
        <v>29</v>
      </c>
      <c r="AZ711" s="182" t="s">
        <v>100</v>
      </c>
      <c r="BA711" s="175"/>
      <c r="BB711" s="180"/>
      <c r="BC711" s="172"/>
      <c r="BD711" s="172"/>
      <c r="BE711" s="142">
        <v>3.8</v>
      </c>
      <c r="BF711" s="171"/>
      <c r="BG711" s="56">
        <v>-20</v>
      </c>
      <c r="BH711" s="57"/>
      <c r="BI711" s="170"/>
      <c r="BJ711" s="169"/>
      <c r="BK711" s="181"/>
      <c r="BL711" s="36">
        <f>VLOOKUP($AP711,'[1]V1 V2'!$B$5:$BW$1894,74,0)</f>
        <v>0</v>
      </c>
      <c r="BM711" s="36" t="str">
        <f>IF('[1]V1 V2'!X710="","",'[1]V1 V2'!X710)</f>
        <v/>
      </c>
    </row>
    <row r="712" spans="1:65" ht="16" thickBot="1" x14ac:dyDescent="0.4">
      <c r="A712">
        <v>1</v>
      </c>
      <c r="B712" s="304"/>
      <c r="C712" s="305"/>
      <c r="D712" s="306"/>
      <c r="E712" s="36"/>
      <c r="F712" s="168"/>
      <c r="G712" s="169"/>
      <c r="H712" s="170"/>
      <c r="I712" s="57"/>
      <c r="J712" s="56"/>
      <c r="K712" s="171"/>
      <c r="L712" s="142"/>
      <c r="M712" s="172"/>
      <c r="N712" s="173"/>
      <c r="O712" s="174"/>
      <c r="P712" s="175"/>
      <c r="Q712" s="182"/>
      <c r="R712" s="182"/>
      <c r="S712" s="175"/>
      <c r="T712" s="173"/>
      <c r="U712" s="62"/>
      <c r="V712" s="177" t="s">
        <v>89</v>
      </c>
      <c r="W712" s="177" t="s">
        <v>89</v>
      </c>
      <c r="X712" s="230"/>
      <c r="Y712" s="177"/>
      <c r="Z712" s="178">
        <v>12</v>
      </c>
      <c r="AA712" s="297"/>
      <c r="AB712" s="21" t="s">
        <v>2</v>
      </c>
      <c r="AH712" s="63">
        <v>1</v>
      </c>
      <c r="AO712" s="10" t="s">
        <v>3</v>
      </c>
      <c r="AP712" s="297"/>
      <c r="AQ712" s="178">
        <v>12</v>
      </c>
      <c r="AR712" s="177"/>
      <c r="AS712" s="222"/>
      <c r="AT712" s="177" t="s">
        <v>89</v>
      </c>
      <c r="AU712" s="177" t="s">
        <v>89</v>
      </c>
      <c r="AV712" s="62"/>
      <c r="AW712" s="173"/>
      <c r="AX712" s="175"/>
      <c r="AY712" s="182"/>
      <c r="AZ712" s="182"/>
      <c r="BA712" s="175"/>
      <c r="BB712" s="180"/>
      <c r="BC712" s="172"/>
      <c r="BD712" s="172"/>
      <c r="BE712" s="142"/>
      <c r="BF712" s="171"/>
      <c r="BG712" s="56"/>
      <c r="BH712" s="57"/>
      <c r="BI712" s="170"/>
      <c r="BJ712" s="169"/>
      <c r="BK712" s="181"/>
      <c r="BL712" s="36"/>
      <c r="BM712" s="36" t="str">
        <f>IF('[1]V1 V2'!X711="","",'[1]V1 V2'!X711)</f>
        <v/>
      </c>
    </row>
    <row r="713" spans="1:65" ht="16" thickBot="1" x14ac:dyDescent="0.4">
      <c r="A713">
        <v>1</v>
      </c>
      <c r="B713" s="304" t="s">
        <v>2165</v>
      </c>
      <c r="C713" s="305"/>
      <c r="D713" s="306"/>
      <c r="E713" s="36">
        <f>VLOOKUP($B713,'[1]V1 V2'!$B$5:$BW$1894,74,0)</f>
        <v>0</v>
      </c>
      <c r="F713" s="168"/>
      <c r="G713" s="169"/>
      <c r="H713" s="170"/>
      <c r="I713" s="57"/>
      <c r="J713" s="56">
        <v>-12</v>
      </c>
      <c r="K713" s="171"/>
      <c r="L713" s="142">
        <v>3.8</v>
      </c>
      <c r="M713" s="172"/>
      <c r="N713" s="173"/>
      <c r="O713" s="174"/>
      <c r="P713" s="175"/>
      <c r="Q713" s="182" t="s">
        <v>100</v>
      </c>
      <c r="R713" s="182" t="s">
        <v>29</v>
      </c>
      <c r="S713" s="175"/>
      <c r="T713" s="173" t="s">
        <v>30</v>
      </c>
      <c r="U713" s="62"/>
      <c r="V713" s="177" t="s">
        <v>2166</v>
      </c>
      <c r="W713" s="177" t="s">
        <v>2167</v>
      </c>
      <c r="X713" s="177">
        <v>29603.429000000011</v>
      </c>
      <c r="Y713" s="177">
        <v>5199.6099999999979</v>
      </c>
      <c r="Z713" s="178"/>
      <c r="AA713" s="297" t="s">
        <v>2165</v>
      </c>
      <c r="AB713" s="21" t="s">
        <v>2</v>
      </c>
      <c r="AH713" s="63">
        <v>1</v>
      </c>
      <c r="AO713" s="10" t="s">
        <v>3</v>
      </c>
      <c r="AP713" s="297" t="s">
        <v>2168</v>
      </c>
      <c r="AQ713" s="178"/>
      <c r="AR713" s="177">
        <v>5199.6100000000006</v>
      </c>
      <c r="AS713" s="222">
        <f>AS711-AQ712</f>
        <v>30061.238999999994</v>
      </c>
      <c r="AT713" s="177" t="s">
        <v>2169</v>
      </c>
      <c r="AU713" s="177" t="s">
        <v>2170</v>
      </c>
      <c r="AV713" s="62"/>
      <c r="AW713" s="173" t="s">
        <v>30</v>
      </c>
      <c r="AX713" s="175"/>
      <c r="AY713" s="182" t="s">
        <v>29</v>
      </c>
      <c r="AZ713" s="182" t="s">
        <v>100</v>
      </c>
      <c r="BA713" s="175"/>
      <c r="BB713" s="180"/>
      <c r="BC713" s="172"/>
      <c r="BD713" s="172"/>
      <c r="BE713" s="142">
        <v>3.8</v>
      </c>
      <c r="BF713" s="171"/>
      <c r="BG713" s="56">
        <v>-12</v>
      </c>
      <c r="BH713" s="57"/>
      <c r="BI713" s="170"/>
      <c r="BJ713" s="169"/>
      <c r="BK713" s="181"/>
      <c r="BL713" s="36">
        <f>VLOOKUP($AP713,'[1]V1 V2'!$B$5:$BW$1894,74,0)</f>
        <v>0</v>
      </c>
      <c r="BM713" s="36" t="str">
        <f>IF('[1]V1 V2'!X712="","",'[1]V1 V2'!X712)</f>
        <v/>
      </c>
    </row>
    <row r="714" spans="1:65" ht="16" thickBot="1" x14ac:dyDescent="0.4">
      <c r="A714">
        <v>1</v>
      </c>
      <c r="B714" s="304"/>
      <c r="C714" s="305"/>
      <c r="D714" s="306"/>
      <c r="E714" s="36"/>
      <c r="F714" s="168"/>
      <c r="G714" s="169"/>
      <c r="H714" s="170"/>
      <c r="I714" s="57"/>
      <c r="J714" s="56"/>
      <c r="K714" s="171"/>
      <c r="L714" s="142"/>
      <c r="M714" s="172"/>
      <c r="N714" s="173"/>
      <c r="O714" s="174"/>
      <c r="P714" s="175"/>
      <c r="Q714" s="182"/>
      <c r="R714" s="182"/>
      <c r="S714" s="175"/>
      <c r="T714" s="173"/>
      <c r="U714" s="62"/>
      <c r="V714" s="177" t="s">
        <v>89</v>
      </c>
      <c r="W714" s="177" t="s">
        <v>89</v>
      </c>
      <c r="X714" s="230"/>
      <c r="Y714" s="177"/>
      <c r="Z714" s="178">
        <v>12</v>
      </c>
      <c r="AA714" s="297"/>
      <c r="AB714" s="21" t="s">
        <v>2</v>
      </c>
      <c r="AH714" s="63">
        <v>1</v>
      </c>
      <c r="AO714" s="10" t="s">
        <v>3</v>
      </c>
      <c r="AP714" s="297"/>
      <c r="AQ714" s="178">
        <v>12</v>
      </c>
      <c r="AR714" s="177"/>
      <c r="AS714" s="222"/>
      <c r="AT714" s="177" t="s">
        <v>89</v>
      </c>
      <c r="AU714" s="177" t="s">
        <v>89</v>
      </c>
      <c r="AV714" s="62"/>
      <c r="AW714" s="173"/>
      <c r="AX714" s="175"/>
      <c r="AY714" s="182"/>
      <c r="AZ714" s="182"/>
      <c r="BA714" s="175"/>
      <c r="BB714" s="180"/>
      <c r="BC714" s="172"/>
      <c r="BD714" s="172"/>
      <c r="BE714" s="142"/>
      <c r="BF714" s="171"/>
      <c r="BG714" s="56"/>
      <c r="BH714" s="57"/>
      <c r="BI714" s="170"/>
      <c r="BJ714" s="169"/>
      <c r="BK714" s="181"/>
      <c r="BL714" s="36"/>
      <c r="BM714" s="36" t="str">
        <f>IF('[1]V1 V2'!X713="","",'[1]V1 V2'!X713)</f>
        <v/>
      </c>
    </row>
    <row r="715" spans="1:65" ht="16" thickBot="1" x14ac:dyDescent="0.4">
      <c r="A715">
        <v>1</v>
      </c>
      <c r="B715" s="304" t="s">
        <v>2171</v>
      </c>
      <c r="C715" s="305"/>
      <c r="D715" s="306"/>
      <c r="E715" s="36">
        <f>VLOOKUP($B715,'[1]V1 V2'!$B$5:$BW$1894,74,0)</f>
        <v>0</v>
      </c>
      <c r="F715" s="168"/>
      <c r="G715" s="169"/>
      <c r="H715" s="170"/>
      <c r="I715" s="57"/>
      <c r="J715" s="56">
        <v>-4</v>
      </c>
      <c r="K715" s="171"/>
      <c r="L715" s="142">
        <v>3.8</v>
      </c>
      <c r="M715" s="172"/>
      <c r="N715" s="173"/>
      <c r="O715" s="174"/>
      <c r="P715" s="175"/>
      <c r="Q715" s="182" t="s">
        <v>100</v>
      </c>
      <c r="R715" s="182" t="s">
        <v>29</v>
      </c>
      <c r="S715" s="175"/>
      <c r="T715" s="173" t="s">
        <v>30</v>
      </c>
      <c r="U715" s="62"/>
      <c r="V715" s="177" t="s">
        <v>2172</v>
      </c>
      <c r="W715" s="177" t="s">
        <v>2173</v>
      </c>
      <c r="X715" s="177">
        <v>29591.429000000011</v>
      </c>
      <c r="Y715" s="177">
        <v>5211.6099999999979</v>
      </c>
      <c r="Z715" s="178"/>
      <c r="AA715" s="297" t="s">
        <v>2171</v>
      </c>
      <c r="AB715" s="21" t="s">
        <v>2</v>
      </c>
      <c r="AH715" s="63">
        <v>1</v>
      </c>
      <c r="AO715" s="10" t="s">
        <v>3</v>
      </c>
      <c r="AP715" s="297" t="s">
        <v>2174</v>
      </c>
      <c r="AQ715" s="178"/>
      <c r="AR715" s="177">
        <v>5211.6100000000006</v>
      </c>
      <c r="AS715" s="222">
        <f>AS713-AQ714</f>
        <v>30049.238999999994</v>
      </c>
      <c r="AT715" s="177" t="s">
        <v>2175</v>
      </c>
      <c r="AU715" s="177" t="s">
        <v>2176</v>
      </c>
      <c r="AV715" s="62"/>
      <c r="AW715" s="173" t="s">
        <v>30</v>
      </c>
      <c r="AX715" s="175"/>
      <c r="AY715" s="182" t="s">
        <v>29</v>
      </c>
      <c r="AZ715" s="182" t="s">
        <v>100</v>
      </c>
      <c r="BA715" s="175"/>
      <c r="BB715" s="180"/>
      <c r="BC715" s="172"/>
      <c r="BD715" s="172"/>
      <c r="BE715" s="142">
        <v>3.8</v>
      </c>
      <c r="BF715" s="171"/>
      <c r="BG715" s="56">
        <v>-4</v>
      </c>
      <c r="BH715" s="57"/>
      <c r="BI715" s="170"/>
      <c r="BJ715" s="169"/>
      <c r="BK715" s="181"/>
      <c r="BL715" s="36">
        <f>VLOOKUP($AP715,'[1]V1 V2'!$B$5:$BW$1894,74,0)</f>
        <v>0</v>
      </c>
      <c r="BM715" s="36" t="str">
        <f>IF('[1]V1 V2'!X714="","",'[1]V1 V2'!X714)</f>
        <v/>
      </c>
    </row>
    <row r="716" spans="1:65" ht="16" thickBot="1" x14ac:dyDescent="0.4">
      <c r="A716">
        <v>1</v>
      </c>
      <c r="B716" s="304"/>
      <c r="C716" s="305"/>
      <c r="D716" s="306"/>
      <c r="E716" s="36"/>
      <c r="F716" s="168"/>
      <c r="G716" s="169"/>
      <c r="H716" s="170"/>
      <c r="I716" s="57"/>
      <c r="J716" s="56"/>
      <c r="K716" s="171"/>
      <c r="L716" s="142"/>
      <c r="M716" s="172"/>
      <c r="N716" s="173"/>
      <c r="O716" s="174"/>
      <c r="P716" s="175"/>
      <c r="Q716" s="182"/>
      <c r="R716" s="182"/>
      <c r="S716" s="175"/>
      <c r="T716" s="173"/>
      <c r="U716" s="62"/>
      <c r="V716" s="177" t="s">
        <v>89</v>
      </c>
      <c r="W716" s="177" t="s">
        <v>89</v>
      </c>
      <c r="X716" s="230"/>
      <c r="Y716" s="177"/>
      <c r="Z716" s="178">
        <v>12</v>
      </c>
      <c r="AA716" s="297"/>
      <c r="AB716" s="21" t="s">
        <v>2</v>
      </c>
      <c r="AH716" s="63">
        <v>1</v>
      </c>
      <c r="AO716" s="10" t="s">
        <v>3</v>
      </c>
      <c r="AP716" s="297"/>
      <c r="AQ716" s="178">
        <v>12</v>
      </c>
      <c r="AR716" s="177"/>
      <c r="AS716" s="222"/>
      <c r="AT716" s="177" t="s">
        <v>89</v>
      </c>
      <c r="AU716" s="177" t="s">
        <v>89</v>
      </c>
      <c r="AV716" s="62"/>
      <c r="AW716" s="173"/>
      <c r="AX716" s="175"/>
      <c r="AY716" s="182"/>
      <c r="AZ716" s="182"/>
      <c r="BA716" s="175"/>
      <c r="BB716" s="180"/>
      <c r="BC716" s="172"/>
      <c r="BD716" s="172"/>
      <c r="BE716" s="142"/>
      <c r="BF716" s="171"/>
      <c r="BG716" s="56"/>
      <c r="BH716" s="57"/>
      <c r="BI716" s="170"/>
      <c r="BJ716" s="169"/>
      <c r="BK716" s="181"/>
      <c r="BL716" s="36"/>
      <c r="BM716" s="36" t="str">
        <f>IF('[1]V1 V2'!X715="","",'[1]V1 V2'!X715)</f>
        <v/>
      </c>
    </row>
    <row r="717" spans="1:65" ht="16" thickBot="1" x14ac:dyDescent="0.4">
      <c r="A717">
        <v>1</v>
      </c>
      <c r="B717" s="304" t="s">
        <v>2177</v>
      </c>
      <c r="C717" s="305"/>
      <c r="D717" s="306"/>
      <c r="E717" s="36">
        <f>VLOOKUP($B717,'[1]V1 V2'!$B$5:$BW$1894,74,0)</f>
        <v>0</v>
      </c>
      <c r="F717" s="168"/>
      <c r="G717" s="169"/>
      <c r="H717" s="170"/>
      <c r="I717" s="57"/>
      <c r="J717" s="56" t="s">
        <v>113</v>
      </c>
      <c r="K717" s="171"/>
      <c r="L717" s="142">
        <v>3.8</v>
      </c>
      <c r="M717" s="172"/>
      <c r="N717" s="173"/>
      <c r="O717" s="174"/>
      <c r="P717" s="175"/>
      <c r="Q717" s="182" t="s">
        <v>100</v>
      </c>
      <c r="R717" s="182" t="s">
        <v>29</v>
      </c>
      <c r="S717" s="175"/>
      <c r="T717" s="173" t="s">
        <v>30</v>
      </c>
      <c r="U717" s="62"/>
      <c r="V717" s="177" t="s">
        <v>2178</v>
      </c>
      <c r="W717" s="177" t="s">
        <v>2179</v>
      </c>
      <c r="X717" s="177">
        <v>29579.429000000011</v>
      </c>
      <c r="Y717" s="177">
        <v>5223.6099999999979</v>
      </c>
      <c r="Z717" s="178"/>
      <c r="AA717" s="297" t="s">
        <v>2177</v>
      </c>
      <c r="AB717" s="21" t="s">
        <v>2</v>
      </c>
      <c r="AH717" s="63">
        <v>1</v>
      </c>
      <c r="AO717" s="10" t="s">
        <v>3</v>
      </c>
      <c r="AP717" s="297" t="s">
        <v>2180</v>
      </c>
      <c r="AQ717" s="178"/>
      <c r="AR717" s="177">
        <v>5223.6100000000006</v>
      </c>
      <c r="AS717" s="222">
        <f>AS715-AQ716</f>
        <v>30037.238999999994</v>
      </c>
      <c r="AT717" s="177" t="s">
        <v>2181</v>
      </c>
      <c r="AU717" s="177" t="s">
        <v>2182</v>
      </c>
      <c r="AV717" s="62"/>
      <c r="AW717" s="173" t="s">
        <v>30</v>
      </c>
      <c r="AX717" s="175"/>
      <c r="AY717" s="182" t="s">
        <v>29</v>
      </c>
      <c r="AZ717" s="182" t="s">
        <v>100</v>
      </c>
      <c r="BA717" s="175"/>
      <c r="BB717" s="180"/>
      <c r="BC717" s="172"/>
      <c r="BD717" s="172"/>
      <c r="BE717" s="142">
        <v>3.8</v>
      </c>
      <c r="BF717" s="171"/>
      <c r="BG717" s="183" t="s">
        <v>113</v>
      </c>
      <c r="BH717" s="57"/>
      <c r="BI717" s="170"/>
      <c r="BJ717" s="169"/>
      <c r="BK717" s="181"/>
      <c r="BL717" s="36">
        <f>VLOOKUP($AP717,'[1]V1 V2'!$B$5:$BW$1894,74,0)</f>
        <v>0</v>
      </c>
      <c r="BM717" s="36" t="str">
        <f>IF('[1]V1 V2'!X716="","",'[1]V1 V2'!X716)</f>
        <v/>
      </c>
    </row>
    <row r="718" spans="1:65" ht="16" thickBot="1" x14ac:dyDescent="0.4">
      <c r="A718">
        <v>1</v>
      </c>
      <c r="B718" s="304"/>
      <c r="C718" s="305"/>
      <c r="D718" s="306"/>
      <c r="E718" s="36"/>
      <c r="F718" s="168"/>
      <c r="G718" s="169"/>
      <c r="H718" s="170"/>
      <c r="I718" s="57"/>
      <c r="J718" s="56"/>
      <c r="K718" s="171"/>
      <c r="L718" s="142"/>
      <c r="M718" s="172"/>
      <c r="N718" s="173"/>
      <c r="O718" s="174"/>
      <c r="P718" s="175"/>
      <c r="Q718" s="182"/>
      <c r="R718" s="182"/>
      <c r="S718" s="175"/>
      <c r="T718" s="173"/>
      <c r="U718" s="62"/>
      <c r="V718" s="177" t="s">
        <v>89</v>
      </c>
      <c r="W718" s="177" t="s">
        <v>89</v>
      </c>
      <c r="X718" s="230"/>
      <c r="Y718" s="177"/>
      <c r="Z718" s="178">
        <v>12</v>
      </c>
      <c r="AA718" s="297"/>
      <c r="AB718" s="21" t="s">
        <v>2</v>
      </c>
      <c r="AH718" s="63">
        <v>1</v>
      </c>
      <c r="AO718" s="10" t="s">
        <v>3</v>
      </c>
      <c r="AP718" s="297"/>
      <c r="AQ718" s="178">
        <v>12</v>
      </c>
      <c r="AR718" s="177"/>
      <c r="AS718" s="222"/>
      <c r="AT718" s="177" t="s">
        <v>89</v>
      </c>
      <c r="AU718" s="177" t="s">
        <v>89</v>
      </c>
      <c r="AV718" s="62"/>
      <c r="AW718" s="173"/>
      <c r="AX718" s="175"/>
      <c r="AY718" s="182"/>
      <c r="AZ718" s="182"/>
      <c r="BA718" s="175"/>
      <c r="BB718" s="180"/>
      <c r="BC718" s="172"/>
      <c r="BD718" s="172"/>
      <c r="BE718" s="142"/>
      <c r="BF718" s="171"/>
      <c r="BG718" s="56"/>
      <c r="BH718" s="57"/>
      <c r="BI718" s="170"/>
      <c r="BJ718" s="169"/>
      <c r="BK718" s="181"/>
      <c r="BL718" s="36"/>
      <c r="BM718" s="36" t="str">
        <f>IF('[1]V1 V2'!X717="","",'[1]V1 V2'!X717)</f>
        <v/>
      </c>
    </row>
    <row r="719" spans="1:65" ht="16" thickBot="1" x14ac:dyDescent="0.4">
      <c r="A719">
        <v>1</v>
      </c>
      <c r="B719" s="304" t="s">
        <v>2183</v>
      </c>
      <c r="C719" s="305"/>
      <c r="D719" s="306"/>
      <c r="E719" s="36">
        <f>VLOOKUP($B719,'[1]V1 V2'!$B$5:$BW$1894,74,0)</f>
        <v>0</v>
      </c>
      <c r="F719" s="168"/>
      <c r="G719" s="169"/>
      <c r="H719" s="170"/>
      <c r="I719" s="57"/>
      <c r="J719" s="56" t="s">
        <v>120</v>
      </c>
      <c r="K719" s="171"/>
      <c r="L719" s="142">
        <v>3.8</v>
      </c>
      <c r="M719" s="172"/>
      <c r="N719" s="173"/>
      <c r="O719" s="174"/>
      <c r="P719" s="175"/>
      <c r="Q719" s="182" t="s">
        <v>100</v>
      </c>
      <c r="R719" s="182" t="s">
        <v>29</v>
      </c>
      <c r="S719" s="175"/>
      <c r="T719" s="173" t="s">
        <v>30</v>
      </c>
      <c r="U719" s="62"/>
      <c r="V719" s="177" t="s">
        <v>2184</v>
      </c>
      <c r="W719" s="177" t="s">
        <v>2185</v>
      </c>
      <c r="X719" s="177">
        <v>29567.429000000011</v>
      </c>
      <c r="Y719" s="177">
        <v>5235.6099999999979</v>
      </c>
      <c r="Z719" s="178"/>
      <c r="AA719" s="297" t="s">
        <v>2183</v>
      </c>
      <c r="AB719" s="21" t="s">
        <v>2</v>
      </c>
      <c r="AH719" s="63">
        <v>1</v>
      </c>
      <c r="AO719" s="10" t="s">
        <v>3</v>
      </c>
      <c r="AP719" s="297" t="s">
        <v>2186</v>
      </c>
      <c r="AQ719" s="178"/>
      <c r="AR719" s="177">
        <v>5235.6100000000006</v>
      </c>
      <c r="AS719" s="222">
        <f>AS717-AQ718</f>
        <v>30025.238999999994</v>
      </c>
      <c r="AT719" s="177" t="s">
        <v>2187</v>
      </c>
      <c r="AU719" s="177" t="s">
        <v>2188</v>
      </c>
      <c r="AV719" s="62"/>
      <c r="AW719" s="173" t="s">
        <v>30</v>
      </c>
      <c r="AX719" s="175"/>
      <c r="AY719" s="182" t="s">
        <v>29</v>
      </c>
      <c r="AZ719" s="182" t="s">
        <v>100</v>
      </c>
      <c r="BA719" s="175"/>
      <c r="BB719" s="180"/>
      <c r="BC719" s="172"/>
      <c r="BD719" s="172"/>
      <c r="BE719" s="142">
        <v>3.8</v>
      </c>
      <c r="BF719" s="171"/>
      <c r="BG719" s="183" t="s">
        <v>120</v>
      </c>
      <c r="BH719" s="57"/>
      <c r="BI719" s="170"/>
      <c r="BJ719" s="169"/>
      <c r="BK719" s="181"/>
      <c r="BL719" s="36">
        <f>VLOOKUP($AP719,'[1]V1 V2'!$B$5:$BW$1894,74,0)</f>
        <v>0</v>
      </c>
      <c r="BM719" s="36" t="str">
        <f>IF('[1]V1 V2'!X718="","",'[1]V1 V2'!X718)</f>
        <v/>
      </c>
    </row>
    <row r="720" spans="1:65" ht="16" thickBot="1" x14ac:dyDescent="0.4">
      <c r="A720">
        <v>1</v>
      </c>
      <c r="B720" s="304"/>
      <c r="C720" s="305"/>
      <c r="D720" s="306"/>
      <c r="E720" s="36"/>
      <c r="F720" s="168"/>
      <c r="G720" s="169"/>
      <c r="H720" s="170"/>
      <c r="I720" s="57"/>
      <c r="J720" s="56"/>
      <c r="K720" s="171"/>
      <c r="L720" s="142"/>
      <c r="M720" s="172"/>
      <c r="N720" s="173"/>
      <c r="O720" s="174"/>
      <c r="P720" s="175"/>
      <c r="Q720" s="182"/>
      <c r="R720" s="182"/>
      <c r="S720" s="175"/>
      <c r="T720" s="173"/>
      <c r="U720" s="62"/>
      <c r="V720" s="177" t="s">
        <v>89</v>
      </c>
      <c r="W720" s="177" t="s">
        <v>89</v>
      </c>
      <c r="X720" s="230"/>
      <c r="Y720" s="177"/>
      <c r="Z720" s="178">
        <v>12</v>
      </c>
      <c r="AA720" s="297"/>
      <c r="AB720" s="21" t="s">
        <v>2</v>
      </c>
      <c r="AH720" s="63">
        <v>1</v>
      </c>
      <c r="AO720" s="10" t="s">
        <v>3</v>
      </c>
      <c r="AP720" s="297"/>
      <c r="AQ720" s="178">
        <v>12</v>
      </c>
      <c r="AR720" s="177"/>
      <c r="AS720" s="222"/>
      <c r="AT720" s="177" t="s">
        <v>89</v>
      </c>
      <c r="AU720" s="177" t="s">
        <v>89</v>
      </c>
      <c r="AV720" s="62"/>
      <c r="AW720" s="173"/>
      <c r="AX720" s="175"/>
      <c r="AY720" s="182"/>
      <c r="AZ720" s="182"/>
      <c r="BA720" s="175"/>
      <c r="BB720" s="180"/>
      <c r="BC720" s="172"/>
      <c r="BD720" s="172"/>
      <c r="BE720" s="142"/>
      <c r="BF720" s="171"/>
      <c r="BG720" s="56"/>
      <c r="BH720" s="57"/>
      <c r="BI720" s="170"/>
      <c r="BJ720" s="169"/>
      <c r="BK720" s="181"/>
      <c r="BL720" s="36"/>
      <c r="BM720" s="36" t="str">
        <f>IF('[1]V1 V2'!X719="","",'[1]V1 V2'!X719)</f>
        <v/>
      </c>
    </row>
    <row r="721" spans="1:65" ht="16" thickBot="1" x14ac:dyDescent="0.4">
      <c r="A721">
        <v>1</v>
      </c>
      <c r="B721" s="304" t="s">
        <v>2189</v>
      </c>
      <c r="C721" s="305"/>
      <c r="D721" s="306"/>
      <c r="E721" s="36">
        <f>VLOOKUP($B721,'[1]V1 V2'!$B$5:$BW$1894,74,0)</f>
        <v>0</v>
      </c>
      <c r="F721" s="168"/>
      <c r="G721" s="169"/>
      <c r="H721" s="170"/>
      <c r="I721" s="57"/>
      <c r="J721" s="56" t="s">
        <v>127</v>
      </c>
      <c r="K721" s="171"/>
      <c r="L721" s="142">
        <v>3.8</v>
      </c>
      <c r="M721" s="172"/>
      <c r="N721" s="173"/>
      <c r="O721" s="174"/>
      <c r="P721" s="175"/>
      <c r="Q721" s="182" t="s">
        <v>100</v>
      </c>
      <c r="R721" s="182" t="s">
        <v>29</v>
      </c>
      <c r="S721" s="175"/>
      <c r="T721" s="173" t="s">
        <v>30</v>
      </c>
      <c r="U721" s="62"/>
      <c r="V721" s="177" t="s">
        <v>2190</v>
      </c>
      <c r="W721" s="177" t="s">
        <v>2191</v>
      </c>
      <c r="X721" s="177">
        <v>29555.429000000011</v>
      </c>
      <c r="Y721" s="177">
        <v>5247.6099999999979</v>
      </c>
      <c r="Z721" s="178"/>
      <c r="AA721" s="297" t="s">
        <v>2189</v>
      </c>
      <c r="AB721" s="21" t="s">
        <v>2</v>
      </c>
      <c r="AH721" s="63">
        <v>1</v>
      </c>
      <c r="AO721" s="10" t="s">
        <v>3</v>
      </c>
      <c r="AP721" s="297" t="s">
        <v>2192</v>
      </c>
      <c r="AQ721" s="178"/>
      <c r="AR721" s="177">
        <v>5247.6100000000006</v>
      </c>
      <c r="AS721" s="222">
        <f>AS719-AQ720</f>
        <v>30013.238999999994</v>
      </c>
      <c r="AT721" s="177" t="s">
        <v>2193</v>
      </c>
      <c r="AU721" s="177" t="s">
        <v>2194</v>
      </c>
      <c r="AV721" s="62"/>
      <c r="AW721" s="173" t="s">
        <v>30</v>
      </c>
      <c r="AX721" s="175"/>
      <c r="AY721" s="182" t="s">
        <v>29</v>
      </c>
      <c r="AZ721" s="182" t="s">
        <v>100</v>
      </c>
      <c r="BA721" s="175"/>
      <c r="BB721" s="180"/>
      <c r="BC721" s="172"/>
      <c r="BD721" s="172"/>
      <c r="BE721" s="142">
        <v>3.8</v>
      </c>
      <c r="BF721" s="171"/>
      <c r="BG721" s="183" t="s">
        <v>127</v>
      </c>
      <c r="BH721" s="57"/>
      <c r="BI721" s="170"/>
      <c r="BJ721" s="169"/>
      <c r="BK721" s="181"/>
      <c r="BL721" s="36">
        <f>VLOOKUP($AP721,'[1]V1 V2'!$B$5:$BW$1894,74,0)</f>
        <v>0</v>
      </c>
      <c r="BM721" s="36" t="str">
        <f>IF('[1]V1 V2'!X720="","",'[1]V1 V2'!X720)</f>
        <v/>
      </c>
    </row>
    <row r="722" spans="1:65" ht="16" thickBot="1" x14ac:dyDescent="0.4">
      <c r="A722">
        <v>1</v>
      </c>
      <c r="B722" s="304"/>
      <c r="C722" s="305"/>
      <c r="D722" s="306"/>
      <c r="E722" s="36"/>
      <c r="F722" s="168"/>
      <c r="G722" s="169"/>
      <c r="H722" s="170"/>
      <c r="I722" s="57"/>
      <c r="J722" s="56"/>
      <c r="K722" s="171"/>
      <c r="L722" s="142"/>
      <c r="M722" s="172"/>
      <c r="N722" s="173"/>
      <c r="O722" s="174"/>
      <c r="P722" s="175"/>
      <c r="Q722" s="182"/>
      <c r="R722" s="182"/>
      <c r="S722" s="175"/>
      <c r="T722" s="173"/>
      <c r="U722" s="62"/>
      <c r="V722" s="177" t="s">
        <v>89</v>
      </c>
      <c r="W722" s="177" t="s">
        <v>89</v>
      </c>
      <c r="X722" s="230"/>
      <c r="Y722" s="177"/>
      <c r="Z722" s="178">
        <v>12</v>
      </c>
      <c r="AA722" s="297"/>
      <c r="AB722" s="21" t="s">
        <v>2</v>
      </c>
      <c r="AH722" s="63">
        <v>1</v>
      </c>
      <c r="AO722" s="10" t="s">
        <v>3</v>
      </c>
      <c r="AP722" s="297"/>
      <c r="AQ722" s="178">
        <v>12</v>
      </c>
      <c r="AR722" s="177"/>
      <c r="AS722" s="222"/>
      <c r="AT722" s="177" t="s">
        <v>89</v>
      </c>
      <c r="AU722" s="177" t="s">
        <v>89</v>
      </c>
      <c r="AV722" s="62"/>
      <c r="AW722" s="173"/>
      <c r="AX722" s="175"/>
      <c r="AY722" s="182"/>
      <c r="AZ722" s="182"/>
      <c r="BA722" s="175"/>
      <c r="BB722" s="180"/>
      <c r="BC722" s="172"/>
      <c r="BD722" s="172"/>
      <c r="BE722" s="142"/>
      <c r="BF722" s="171"/>
      <c r="BG722" s="56"/>
      <c r="BH722" s="57"/>
      <c r="BI722" s="170"/>
      <c r="BJ722" s="169"/>
      <c r="BK722" s="181"/>
      <c r="BL722" s="36"/>
      <c r="BM722" s="36" t="str">
        <f>IF('[1]V1 V2'!X721="","",'[1]V1 V2'!X721)</f>
        <v/>
      </c>
    </row>
    <row r="723" spans="1:65" ht="16" thickBot="1" x14ac:dyDescent="0.4">
      <c r="A723">
        <v>1</v>
      </c>
      <c r="B723" s="304" t="s">
        <v>2195</v>
      </c>
      <c r="C723" s="305"/>
      <c r="D723" s="306"/>
      <c r="E723" s="36">
        <f>VLOOKUP($B723,'[1]V1 V2'!$B$5:$BW$1894,74,0)</f>
        <v>0</v>
      </c>
      <c r="F723" s="168"/>
      <c r="G723" s="169"/>
      <c r="H723" s="170"/>
      <c r="I723" s="57"/>
      <c r="J723" s="56" t="s">
        <v>120</v>
      </c>
      <c r="K723" s="171"/>
      <c r="L723" s="142">
        <v>3.8</v>
      </c>
      <c r="M723" s="172"/>
      <c r="N723" s="173"/>
      <c r="O723" s="174"/>
      <c r="P723" s="175"/>
      <c r="Q723" s="182" t="s">
        <v>100</v>
      </c>
      <c r="R723" s="182" t="s">
        <v>29</v>
      </c>
      <c r="S723" s="175"/>
      <c r="T723" s="173" t="s">
        <v>30</v>
      </c>
      <c r="U723" s="62"/>
      <c r="V723" s="177" t="s">
        <v>2196</v>
      </c>
      <c r="W723" s="177" t="s">
        <v>2197</v>
      </c>
      <c r="X723" s="177">
        <v>29543.429000000011</v>
      </c>
      <c r="Y723" s="177">
        <v>5259.6099999999979</v>
      </c>
      <c r="Z723" s="178"/>
      <c r="AA723" s="297" t="s">
        <v>2195</v>
      </c>
      <c r="AB723" s="21" t="s">
        <v>2</v>
      </c>
      <c r="AH723" s="63">
        <v>1</v>
      </c>
      <c r="AO723" s="10" t="s">
        <v>3</v>
      </c>
      <c r="AP723" s="297" t="s">
        <v>2198</v>
      </c>
      <c r="AQ723" s="178"/>
      <c r="AR723" s="177">
        <v>5259.6100000000006</v>
      </c>
      <c r="AS723" s="222">
        <f>AS721-AQ722</f>
        <v>30001.238999999994</v>
      </c>
      <c r="AT723" s="177" t="s">
        <v>2199</v>
      </c>
      <c r="AU723" s="177" t="s">
        <v>2200</v>
      </c>
      <c r="AV723" s="62"/>
      <c r="AW723" s="173" t="s">
        <v>30</v>
      </c>
      <c r="AX723" s="175"/>
      <c r="AY723" s="182" t="s">
        <v>29</v>
      </c>
      <c r="AZ723" s="182" t="s">
        <v>100</v>
      </c>
      <c r="BA723" s="175"/>
      <c r="BB723" s="180"/>
      <c r="BC723" s="172"/>
      <c r="BD723" s="172"/>
      <c r="BE723" s="142">
        <v>3.8</v>
      </c>
      <c r="BF723" s="171"/>
      <c r="BG723" s="183" t="s">
        <v>120</v>
      </c>
      <c r="BH723" s="57"/>
      <c r="BI723" s="170"/>
      <c r="BJ723" s="169"/>
      <c r="BK723" s="181"/>
      <c r="BL723" s="36">
        <f>VLOOKUP($AP723,'[1]V1 V2'!$B$5:$BW$1894,74,0)</f>
        <v>0</v>
      </c>
      <c r="BM723" s="36" t="str">
        <f>IF('[1]V1 V2'!X722="","",'[1]V1 V2'!X722)</f>
        <v/>
      </c>
    </row>
    <row r="724" spans="1:65" ht="16" thickBot="1" x14ac:dyDescent="0.4">
      <c r="A724">
        <v>1</v>
      </c>
      <c r="B724" s="304"/>
      <c r="C724" s="305"/>
      <c r="D724" s="306"/>
      <c r="E724" s="36"/>
      <c r="F724" s="168"/>
      <c r="G724" s="169"/>
      <c r="H724" s="170"/>
      <c r="I724" s="57"/>
      <c r="J724" s="56"/>
      <c r="K724" s="171"/>
      <c r="L724" s="142"/>
      <c r="M724" s="172"/>
      <c r="N724" s="173"/>
      <c r="O724" s="174"/>
      <c r="P724" s="175"/>
      <c r="Q724" s="182"/>
      <c r="R724" s="182"/>
      <c r="S724" s="175"/>
      <c r="T724" s="173"/>
      <c r="U724" s="62"/>
      <c r="V724" s="177" t="s">
        <v>89</v>
      </c>
      <c r="W724" s="177" t="s">
        <v>89</v>
      </c>
      <c r="X724" s="230"/>
      <c r="Y724" s="177"/>
      <c r="Z724" s="178">
        <v>12</v>
      </c>
      <c r="AA724" s="297"/>
      <c r="AB724" s="21" t="s">
        <v>2</v>
      </c>
      <c r="AH724" s="63">
        <v>1</v>
      </c>
      <c r="AO724" s="10" t="s">
        <v>3</v>
      </c>
      <c r="AP724" s="297"/>
      <c r="AQ724" s="178">
        <v>12</v>
      </c>
      <c r="AR724" s="177"/>
      <c r="AS724" s="222"/>
      <c r="AT724" s="177" t="s">
        <v>89</v>
      </c>
      <c r="AU724" s="177" t="s">
        <v>89</v>
      </c>
      <c r="AV724" s="62"/>
      <c r="AW724" s="173"/>
      <c r="AX724" s="175"/>
      <c r="AY724" s="182"/>
      <c r="AZ724" s="182"/>
      <c r="BA724" s="175"/>
      <c r="BB724" s="180"/>
      <c r="BC724" s="172"/>
      <c r="BD724" s="172"/>
      <c r="BE724" s="142"/>
      <c r="BF724" s="171"/>
      <c r="BG724" s="56"/>
      <c r="BH724" s="57"/>
      <c r="BI724" s="170"/>
      <c r="BJ724" s="169"/>
      <c r="BK724" s="181"/>
      <c r="BL724" s="36"/>
      <c r="BM724" s="36" t="str">
        <f>IF('[1]V1 V2'!X723="","",'[1]V1 V2'!X723)</f>
        <v/>
      </c>
    </row>
    <row r="725" spans="1:65" ht="16" thickBot="1" x14ac:dyDescent="0.4">
      <c r="A725">
        <v>1</v>
      </c>
      <c r="B725" s="304" t="s">
        <v>2201</v>
      </c>
      <c r="C725" s="305"/>
      <c r="D725" s="306"/>
      <c r="E725" s="36">
        <f>VLOOKUP($B725,'[1]V1 V2'!$B$5:$BW$1894,74,0)</f>
        <v>0</v>
      </c>
      <c r="F725" s="168"/>
      <c r="G725" s="169"/>
      <c r="H725" s="170"/>
      <c r="I725" s="57"/>
      <c r="J725" s="56" t="s">
        <v>113</v>
      </c>
      <c r="K725" s="171"/>
      <c r="L725" s="142">
        <v>3.8</v>
      </c>
      <c r="M725" s="172"/>
      <c r="N725" s="173"/>
      <c r="O725" s="174"/>
      <c r="P725" s="175"/>
      <c r="Q725" s="182" t="s">
        <v>100</v>
      </c>
      <c r="R725" s="182" t="s">
        <v>29</v>
      </c>
      <c r="S725" s="175"/>
      <c r="T725" s="173" t="s">
        <v>30</v>
      </c>
      <c r="U725" s="62"/>
      <c r="V725" s="177" t="s">
        <v>2202</v>
      </c>
      <c r="W725" s="177" t="s">
        <v>2203</v>
      </c>
      <c r="X725" s="177">
        <v>29531.429000000011</v>
      </c>
      <c r="Y725" s="177">
        <v>5271.6099999999979</v>
      </c>
      <c r="Z725" s="178"/>
      <c r="AA725" s="297" t="s">
        <v>2201</v>
      </c>
      <c r="AB725" s="21" t="s">
        <v>2</v>
      </c>
      <c r="AH725" s="63">
        <v>1</v>
      </c>
      <c r="AO725" s="10" t="s">
        <v>3</v>
      </c>
      <c r="AP725" s="297" t="s">
        <v>2204</v>
      </c>
      <c r="AQ725" s="178"/>
      <c r="AR725" s="177">
        <v>5271.6100000000006</v>
      </c>
      <c r="AS725" s="222">
        <f>AS723-AQ724</f>
        <v>29989.238999999994</v>
      </c>
      <c r="AT725" s="177" t="s">
        <v>2205</v>
      </c>
      <c r="AU725" s="177" t="s">
        <v>2206</v>
      </c>
      <c r="AV725" s="62"/>
      <c r="AW725" s="173" t="s">
        <v>30</v>
      </c>
      <c r="AX725" s="175"/>
      <c r="AY725" s="182" t="s">
        <v>29</v>
      </c>
      <c r="AZ725" s="182" t="s">
        <v>100</v>
      </c>
      <c r="BA725" s="175"/>
      <c r="BB725" s="180"/>
      <c r="BC725" s="172"/>
      <c r="BD725" s="172"/>
      <c r="BE725" s="142">
        <v>3.8</v>
      </c>
      <c r="BF725" s="171"/>
      <c r="BG725" s="183" t="s">
        <v>113</v>
      </c>
      <c r="BH725" s="57"/>
      <c r="BI725" s="170"/>
      <c r="BJ725" s="169"/>
      <c r="BK725" s="181"/>
      <c r="BL725" s="36">
        <f>VLOOKUP($AP725,'[1]V1 V2'!$B$5:$BW$1894,74,0)</f>
        <v>0</v>
      </c>
      <c r="BM725" s="36" t="str">
        <f>IF('[1]V1 V2'!X724="","",'[1]V1 V2'!X724)</f>
        <v/>
      </c>
    </row>
    <row r="726" spans="1:65" ht="16" thickBot="1" x14ac:dyDescent="0.4">
      <c r="A726">
        <v>1</v>
      </c>
      <c r="B726" s="304"/>
      <c r="C726" s="305"/>
      <c r="D726" s="306"/>
      <c r="E726" s="36"/>
      <c r="F726" s="168"/>
      <c r="G726" s="169"/>
      <c r="H726" s="170"/>
      <c r="I726" s="57"/>
      <c r="J726" s="56"/>
      <c r="K726" s="171"/>
      <c r="L726" s="142"/>
      <c r="M726" s="172"/>
      <c r="N726" s="173"/>
      <c r="O726" s="174"/>
      <c r="P726" s="175"/>
      <c r="Q726" s="182"/>
      <c r="R726" s="182"/>
      <c r="S726" s="175"/>
      <c r="T726" s="173"/>
      <c r="U726" s="62"/>
      <c r="V726" s="177" t="s">
        <v>89</v>
      </c>
      <c r="W726" s="177" t="s">
        <v>89</v>
      </c>
      <c r="X726" s="230"/>
      <c r="Y726" s="177"/>
      <c r="Z726" s="178">
        <v>12</v>
      </c>
      <c r="AA726" s="297"/>
      <c r="AB726" s="21" t="s">
        <v>2</v>
      </c>
      <c r="AH726" s="63">
        <v>1</v>
      </c>
      <c r="AO726" s="10" t="s">
        <v>3</v>
      </c>
      <c r="AP726" s="297"/>
      <c r="AQ726" s="178">
        <v>12</v>
      </c>
      <c r="AR726" s="177"/>
      <c r="AS726" s="222"/>
      <c r="AT726" s="177" t="s">
        <v>89</v>
      </c>
      <c r="AU726" s="177" t="s">
        <v>89</v>
      </c>
      <c r="AV726" s="62"/>
      <c r="AW726" s="173"/>
      <c r="AX726" s="175"/>
      <c r="AY726" s="182"/>
      <c r="AZ726" s="182"/>
      <c r="BA726" s="175"/>
      <c r="BB726" s="180"/>
      <c r="BC726" s="172"/>
      <c r="BD726" s="172"/>
      <c r="BE726" s="142"/>
      <c r="BF726" s="171"/>
      <c r="BG726" s="56"/>
      <c r="BH726" s="57"/>
      <c r="BI726" s="170"/>
      <c r="BJ726" s="169"/>
      <c r="BK726" s="181"/>
      <c r="BL726" s="36"/>
      <c r="BM726" s="36" t="str">
        <f>IF('[1]V1 V2'!X725="","",'[1]V1 V2'!X725)</f>
        <v/>
      </c>
    </row>
    <row r="727" spans="1:65" ht="16" thickBot="1" x14ac:dyDescent="0.4">
      <c r="A727">
        <v>1</v>
      </c>
      <c r="B727" s="304" t="s">
        <v>2207</v>
      </c>
      <c r="C727" s="305"/>
      <c r="D727" s="306"/>
      <c r="E727" s="36">
        <f>VLOOKUP($B727,'[1]V1 V2'!$B$5:$BW$1894,74,0)</f>
        <v>0</v>
      </c>
      <c r="F727" s="168"/>
      <c r="G727" s="169"/>
      <c r="H727" s="170"/>
      <c r="I727" s="57"/>
      <c r="J727" s="56">
        <v>-4</v>
      </c>
      <c r="K727" s="171"/>
      <c r="L727" s="142">
        <v>3.8</v>
      </c>
      <c r="M727" s="172"/>
      <c r="N727" s="173"/>
      <c r="O727" s="174"/>
      <c r="P727" s="175"/>
      <c r="Q727" s="182" t="s">
        <v>100</v>
      </c>
      <c r="R727" s="182" t="s">
        <v>29</v>
      </c>
      <c r="S727" s="175"/>
      <c r="T727" s="173" t="s">
        <v>30</v>
      </c>
      <c r="U727" s="62"/>
      <c r="V727" s="177" t="s">
        <v>2208</v>
      </c>
      <c r="W727" s="177" t="s">
        <v>2209</v>
      </c>
      <c r="X727" s="177">
        <v>29519.429000000011</v>
      </c>
      <c r="Y727" s="177">
        <v>5283.6099999999979</v>
      </c>
      <c r="Z727" s="178"/>
      <c r="AA727" s="297" t="s">
        <v>2207</v>
      </c>
      <c r="AB727" s="21" t="s">
        <v>2</v>
      </c>
      <c r="AH727" s="63">
        <v>1</v>
      </c>
      <c r="AO727" s="10" t="s">
        <v>3</v>
      </c>
      <c r="AP727" s="297" t="s">
        <v>2210</v>
      </c>
      <c r="AQ727" s="178"/>
      <c r="AR727" s="177">
        <v>5283.6100000000006</v>
      </c>
      <c r="AS727" s="222">
        <f>AS725-AQ726</f>
        <v>29977.238999999994</v>
      </c>
      <c r="AT727" s="177" t="s">
        <v>2211</v>
      </c>
      <c r="AU727" s="177" t="s">
        <v>2212</v>
      </c>
      <c r="AV727" s="62"/>
      <c r="AW727" s="173" t="s">
        <v>30</v>
      </c>
      <c r="AX727" s="175"/>
      <c r="AY727" s="182" t="s">
        <v>29</v>
      </c>
      <c r="AZ727" s="182" t="s">
        <v>100</v>
      </c>
      <c r="BA727" s="175"/>
      <c r="BB727" s="180"/>
      <c r="BC727" s="172"/>
      <c r="BD727" s="172"/>
      <c r="BE727" s="142">
        <v>3.8</v>
      </c>
      <c r="BF727" s="171"/>
      <c r="BG727" s="56">
        <v>-4</v>
      </c>
      <c r="BH727" s="57"/>
      <c r="BI727" s="170"/>
      <c r="BJ727" s="169"/>
      <c r="BK727" s="181"/>
      <c r="BL727" s="36">
        <f>VLOOKUP($AP727,'[1]V1 V2'!$B$5:$BW$1894,74,0)</f>
        <v>0</v>
      </c>
      <c r="BM727" s="36" t="str">
        <f>IF('[1]V1 V2'!X726="","",'[1]V1 V2'!X726)</f>
        <v/>
      </c>
    </row>
    <row r="728" spans="1:65" ht="16" thickBot="1" x14ac:dyDescent="0.4">
      <c r="A728">
        <v>1</v>
      </c>
      <c r="B728" s="304"/>
      <c r="C728" s="305"/>
      <c r="D728" s="306"/>
      <c r="E728" s="36"/>
      <c r="F728" s="168"/>
      <c r="G728" s="169"/>
      <c r="H728" s="170"/>
      <c r="I728" s="57"/>
      <c r="J728" s="56"/>
      <c r="K728" s="171"/>
      <c r="L728" s="142"/>
      <c r="M728" s="172"/>
      <c r="N728" s="173"/>
      <c r="O728" s="174"/>
      <c r="P728" s="175"/>
      <c r="Q728" s="182"/>
      <c r="R728" s="182"/>
      <c r="S728" s="175"/>
      <c r="T728" s="173"/>
      <c r="U728" s="62"/>
      <c r="V728" s="177" t="s">
        <v>89</v>
      </c>
      <c r="W728" s="177" t="s">
        <v>89</v>
      </c>
      <c r="X728" s="230"/>
      <c r="Y728" s="177"/>
      <c r="Z728" s="178">
        <v>12</v>
      </c>
      <c r="AA728" s="297"/>
      <c r="AB728" s="21" t="s">
        <v>2</v>
      </c>
      <c r="AH728" s="63">
        <v>1</v>
      </c>
      <c r="AO728" s="10" t="s">
        <v>3</v>
      </c>
      <c r="AP728" s="297"/>
      <c r="AQ728" s="178">
        <v>12</v>
      </c>
      <c r="AR728" s="177"/>
      <c r="AS728" s="222"/>
      <c r="AT728" s="177" t="s">
        <v>89</v>
      </c>
      <c r="AU728" s="177" t="s">
        <v>89</v>
      </c>
      <c r="AV728" s="62"/>
      <c r="AW728" s="173"/>
      <c r="AX728" s="175"/>
      <c r="AY728" s="182"/>
      <c r="AZ728" s="182"/>
      <c r="BA728" s="175"/>
      <c r="BB728" s="180"/>
      <c r="BC728" s="172"/>
      <c r="BD728" s="172"/>
      <c r="BE728" s="142"/>
      <c r="BF728" s="171"/>
      <c r="BG728" s="56"/>
      <c r="BH728" s="57"/>
      <c r="BI728" s="170"/>
      <c r="BJ728" s="169"/>
      <c r="BK728" s="181"/>
      <c r="BL728" s="36"/>
      <c r="BM728" s="36" t="str">
        <f>IF('[1]V1 V2'!X727="","",'[1]V1 V2'!X727)</f>
        <v/>
      </c>
    </row>
    <row r="729" spans="1:65" ht="16" thickBot="1" x14ac:dyDescent="0.4">
      <c r="A729">
        <v>1</v>
      </c>
      <c r="B729" s="304" t="s">
        <v>2213</v>
      </c>
      <c r="C729" s="305"/>
      <c r="D729" s="306"/>
      <c r="E729" s="36">
        <f>VLOOKUP($B729,'[1]V1 V2'!$B$5:$BW$1894,74,0)</f>
        <v>0</v>
      </c>
      <c r="F729" s="168"/>
      <c r="G729" s="169"/>
      <c r="H729" s="170"/>
      <c r="I729" s="57"/>
      <c r="J729" s="56">
        <v>-12</v>
      </c>
      <c r="K729" s="171"/>
      <c r="L729" s="142">
        <v>3.8</v>
      </c>
      <c r="M729" s="172"/>
      <c r="N729" s="173"/>
      <c r="O729" s="174"/>
      <c r="P729" s="175"/>
      <c r="Q729" s="182" t="s">
        <v>100</v>
      </c>
      <c r="R729" s="182" t="s">
        <v>29</v>
      </c>
      <c r="S729" s="175"/>
      <c r="T729" s="173" t="s">
        <v>30</v>
      </c>
      <c r="U729" s="62"/>
      <c r="V729" s="177" t="s">
        <v>2214</v>
      </c>
      <c r="W729" s="177" t="s">
        <v>2215</v>
      </c>
      <c r="X729" s="177">
        <v>29507.429000000011</v>
      </c>
      <c r="Y729" s="177">
        <v>5295.6099999999979</v>
      </c>
      <c r="Z729" s="178"/>
      <c r="AA729" s="297" t="s">
        <v>2213</v>
      </c>
      <c r="AB729" s="21" t="s">
        <v>2</v>
      </c>
      <c r="AH729" s="63">
        <v>1</v>
      </c>
      <c r="AO729" s="10" t="s">
        <v>3</v>
      </c>
      <c r="AP729" s="297" t="s">
        <v>2216</v>
      </c>
      <c r="AQ729" s="178"/>
      <c r="AR729" s="177">
        <v>5295.6100000000006</v>
      </c>
      <c r="AS729" s="222">
        <f>AS727-AQ728</f>
        <v>29965.238999999994</v>
      </c>
      <c r="AT729" s="177" t="s">
        <v>2217</v>
      </c>
      <c r="AU729" s="177" t="s">
        <v>2218</v>
      </c>
      <c r="AV729" s="62"/>
      <c r="AW729" s="173" t="s">
        <v>30</v>
      </c>
      <c r="AX729" s="175"/>
      <c r="AY729" s="182" t="s">
        <v>29</v>
      </c>
      <c r="AZ729" s="182" t="s">
        <v>100</v>
      </c>
      <c r="BA729" s="175"/>
      <c r="BB729" s="180"/>
      <c r="BC729" s="172"/>
      <c r="BD729" s="172"/>
      <c r="BE729" s="142">
        <v>3.8</v>
      </c>
      <c r="BF729" s="171"/>
      <c r="BG729" s="56">
        <v>-12</v>
      </c>
      <c r="BH729" s="57"/>
      <c r="BI729" s="170"/>
      <c r="BJ729" s="169"/>
      <c r="BK729" s="181"/>
      <c r="BL729" s="36">
        <f>VLOOKUP($AP729,'[1]V1 V2'!$B$5:$BW$1894,74,0)</f>
        <v>0</v>
      </c>
      <c r="BM729" s="36" t="str">
        <f>IF('[1]V1 V2'!X728="","",'[1]V1 V2'!X728)</f>
        <v/>
      </c>
    </row>
    <row r="730" spans="1:65" ht="16" thickBot="1" x14ac:dyDescent="0.4">
      <c r="A730">
        <v>1</v>
      </c>
      <c r="B730" s="304"/>
      <c r="C730" s="305"/>
      <c r="D730" s="306"/>
      <c r="E730" s="36"/>
      <c r="F730" s="168"/>
      <c r="G730" s="169"/>
      <c r="H730" s="170"/>
      <c r="I730" s="57"/>
      <c r="J730" s="56"/>
      <c r="K730" s="171"/>
      <c r="L730" s="142"/>
      <c r="M730" s="172"/>
      <c r="N730" s="173"/>
      <c r="O730" s="174"/>
      <c r="P730" s="175"/>
      <c r="Q730" s="182"/>
      <c r="R730" s="182"/>
      <c r="S730" s="175"/>
      <c r="T730" s="173"/>
      <c r="U730" s="62"/>
      <c r="V730" s="177" t="s">
        <v>89</v>
      </c>
      <c r="W730" s="177" t="s">
        <v>89</v>
      </c>
      <c r="X730" s="230"/>
      <c r="Y730" s="177"/>
      <c r="Z730" s="178">
        <v>12</v>
      </c>
      <c r="AA730" s="297"/>
      <c r="AB730" s="21" t="s">
        <v>2</v>
      </c>
      <c r="AH730" s="63">
        <v>1</v>
      </c>
      <c r="AO730" s="10" t="s">
        <v>3</v>
      </c>
      <c r="AP730" s="297"/>
      <c r="AQ730" s="178">
        <v>12</v>
      </c>
      <c r="AR730" s="177"/>
      <c r="AS730" s="222"/>
      <c r="AT730" s="177" t="s">
        <v>89</v>
      </c>
      <c r="AU730" s="177" t="s">
        <v>89</v>
      </c>
      <c r="AV730" s="62"/>
      <c r="AW730" s="173"/>
      <c r="AX730" s="175"/>
      <c r="AY730" s="182"/>
      <c r="AZ730" s="182"/>
      <c r="BA730" s="175"/>
      <c r="BB730" s="180"/>
      <c r="BC730" s="172"/>
      <c r="BD730" s="172"/>
      <c r="BE730" s="142"/>
      <c r="BF730" s="171"/>
      <c r="BG730" s="56"/>
      <c r="BH730" s="57"/>
      <c r="BI730" s="170"/>
      <c r="BJ730" s="169"/>
      <c r="BK730" s="181"/>
      <c r="BL730" s="36"/>
      <c r="BM730" s="36" t="str">
        <f>IF('[1]V1 V2'!X729="","",'[1]V1 V2'!X729)</f>
        <v/>
      </c>
    </row>
    <row r="731" spans="1:65" ht="16" thickBot="1" x14ac:dyDescent="0.4">
      <c r="A731">
        <v>1</v>
      </c>
      <c r="B731" s="304" t="s">
        <v>2219</v>
      </c>
      <c r="C731" s="305"/>
      <c r="D731" s="306"/>
      <c r="E731" s="36">
        <f>VLOOKUP($B731,'[1]V1 V2'!$B$5:$BW$1894,74,0)</f>
        <v>0</v>
      </c>
      <c r="F731" s="168"/>
      <c r="G731" s="169"/>
      <c r="H731" s="170"/>
      <c r="I731" s="57"/>
      <c r="J731" s="56">
        <v>-20</v>
      </c>
      <c r="K731" s="171"/>
      <c r="L731" s="142">
        <v>3.8</v>
      </c>
      <c r="M731" s="172"/>
      <c r="N731" s="173"/>
      <c r="O731" s="174"/>
      <c r="P731" s="175"/>
      <c r="Q731" s="182" t="s">
        <v>100</v>
      </c>
      <c r="R731" s="182" t="s">
        <v>29</v>
      </c>
      <c r="S731" s="175"/>
      <c r="T731" s="173" t="s">
        <v>30</v>
      </c>
      <c r="U731" s="62"/>
      <c r="V731" s="177" t="s">
        <v>2220</v>
      </c>
      <c r="W731" s="177" t="s">
        <v>2221</v>
      </c>
      <c r="X731" s="177">
        <v>29495.429000000011</v>
      </c>
      <c r="Y731" s="177">
        <v>5307.6099999999979</v>
      </c>
      <c r="Z731" s="178"/>
      <c r="AA731" s="297" t="s">
        <v>2219</v>
      </c>
      <c r="AB731" s="21" t="s">
        <v>2</v>
      </c>
      <c r="AH731" s="63">
        <v>1</v>
      </c>
      <c r="AO731" s="10" t="s">
        <v>3</v>
      </c>
      <c r="AP731" s="297" t="s">
        <v>2222</v>
      </c>
      <c r="AQ731" s="178"/>
      <c r="AR731" s="177">
        <v>5307.6100000000006</v>
      </c>
      <c r="AS731" s="222">
        <f>AS729-AQ730</f>
        <v>29953.238999999994</v>
      </c>
      <c r="AT731" s="177" t="s">
        <v>2223</v>
      </c>
      <c r="AU731" s="177" t="s">
        <v>2224</v>
      </c>
      <c r="AV731" s="62"/>
      <c r="AW731" s="173" t="s">
        <v>30</v>
      </c>
      <c r="AX731" s="175"/>
      <c r="AY731" s="182" t="s">
        <v>29</v>
      </c>
      <c r="AZ731" s="182" t="s">
        <v>100</v>
      </c>
      <c r="BA731" s="175"/>
      <c r="BB731" s="180"/>
      <c r="BC731" s="172"/>
      <c r="BD731" s="172"/>
      <c r="BE731" s="142">
        <v>3.8</v>
      </c>
      <c r="BF731" s="171"/>
      <c r="BG731" s="56">
        <v>-20</v>
      </c>
      <c r="BH731" s="57"/>
      <c r="BI731" s="170"/>
      <c r="BJ731" s="169"/>
      <c r="BK731" s="181"/>
      <c r="BL731" s="36">
        <f>VLOOKUP($AP731,'[1]V1 V2'!$B$5:$BW$1894,74,0)</f>
        <v>0</v>
      </c>
      <c r="BM731" s="36" t="str">
        <f>IF('[1]V1 V2'!X730="","",'[1]V1 V2'!X730)</f>
        <v/>
      </c>
    </row>
    <row r="732" spans="1:65" ht="16" thickBot="1" x14ac:dyDescent="0.4">
      <c r="A732">
        <v>1</v>
      </c>
      <c r="B732" s="304"/>
      <c r="C732" s="305"/>
      <c r="D732" s="306"/>
      <c r="E732" s="36"/>
      <c r="F732" s="168"/>
      <c r="G732" s="169"/>
      <c r="H732" s="170"/>
      <c r="I732" s="57"/>
      <c r="J732" s="56"/>
      <c r="K732" s="171"/>
      <c r="L732" s="142"/>
      <c r="M732" s="172"/>
      <c r="N732" s="173"/>
      <c r="O732" s="174"/>
      <c r="P732" s="175"/>
      <c r="Q732" s="182"/>
      <c r="R732" s="182"/>
      <c r="S732" s="175"/>
      <c r="T732" s="173"/>
      <c r="U732" s="62"/>
      <c r="V732" s="177" t="s">
        <v>89</v>
      </c>
      <c r="W732" s="177" t="s">
        <v>89</v>
      </c>
      <c r="X732" s="230"/>
      <c r="Y732" s="177"/>
      <c r="Z732" s="178">
        <v>7.5</v>
      </c>
      <c r="AA732" s="297"/>
      <c r="AB732" s="21" t="s">
        <v>2</v>
      </c>
      <c r="AH732" s="63">
        <v>1</v>
      </c>
      <c r="AO732" s="10" t="s">
        <v>3</v>
      </c>
      <c r="AP732" s="297"/>
      <c r="AQ732" s="178">
        <v>6.9</v>
      </c>
      <c r="AR732" s="177"/>
      <c r="AS732" s="222"/>
      <c r="AT732" s="177" t="s">
        <v>89</v>
      </c>
      <c r="AU732" s="177" t="s">
        <v>89</v>
      </c>
      <c r="AV732" s="62"/>
      <c r="AW732" s="173" t="s">
        <v>75</v>
      </c>
      <c r="AX732" s="175"/>
      <c r="AY732" s="182"/>
      <c r="AZ732" s="182"/>
      <c r="BA732" s="175"/>
      <c r="BB732" s="180"/>
      <c r="BC732" s="172"/>
      <c r="BD732" s="172"/>
      <c r="BE732" s="142"/>
      <c r="BF732" s="171"/>
      <c r="BG732" s="56"/>
      <c r="BH732" s="57"/>
      <c r="BI732" s="170"/>
      <c r="BJ732" s="169"/>
      <c r="BK732" s="181"/>
      <c r="BL732" s="36"/>
      <c r="BM732" s="36" t="str">
        <f>IF('[1]V1 V2'!X731="","",'[1]V1 V2'!X731)</f>
        <v/>
      </c>
    </row>
    <row r="733" spans="1:65" ht="16" thickBot="1" x14ac:dyDescent="0.4">
      <c r="A733">
        <v>1</v>
      </c>
      <c r="B733" s="304" t="s">
        <v>2225</v>
      </c>
      <c r="C733" s="305"/>
      <c r="D733" s="306"/>
      <c r="E733" s="36">
        <f>VLOOKUP($B733,'[1]V1 V2'!$B$5:$BW$1894,74,0)</f>
        <v>0</v>
      </c>
      <c r="F733" s="168"/>
      <c r="G733" s="169"/>
      <c r="H733" s="170"/>
      <c r="I733" s="57"/>
      <c r="J733" s="56">
        <v>-12</v>
      </c>
      <c r="K733" s="171"/>
      <c r="L733" s="142">
        <v>3.8</v>
      </c>
      <c r="M733" s="172"/>
      <c r="N733" s="173"/>
      <c r="O733" s="174"/>
      <c r="P733" s="175"/>
      <c r="Q733" s="182" t="s">
        <v>100</v>
      </c>
      <c r="R733" s="182" t="s">
        <v>29</v>
      </c>
      <c r="S733" s="175"/>
      <c r="T733" s="173" t="s">
        <v>30</v>
      </c>
      <c r="U733" s="62"/>
      <c r="V733" s="177" t="s">
        <v>2226</v>
      </c>
      <c r="W733" s="177" t="s">
        <v>2227</v>
      </c>
      <c r="X733" s="177">
        <v>29487.929000000011</v>
      </c>
      <c r="Y733" s="177">
        <v>5315.1099999999979</v>
      </c>
      <c r="Z733" s="178"/>
      <c r="AA733" s="297" t="s">
        <v>2225</v>
      </c>
      <c r="AB733" s="21" t="s">
        <v>2</v>
      </c>
      <c r="AH733" s="63">
        <v>1</v>
      </c>
      <c r="AO733" s="10" t="s">
        <v>3</v>
      </c>
      <c r="AP733" s="297" t="s">
        <v>2228</v>
      </c>
      <c r="AQ733" s="178"/>
      <c r="AR733" s="177">
        <v>5314.51</v>
      </c>
      <c r="AS733" s="222">
        <f>AS731-AQ732</f>
        <v>29946.338999999993</v>
      </c>
      <c r="AT733" s="177" t="s">
        <v>2229</v>
      </c>
      <c r="AU733" s="177" t="s">
        <v>2230</v>
      </c>
      <c r="AV733" s="62"/>
      <c r="AW733" s="173" t="s">
        <v>30</v>
      </c>
      <c r="AX733" s="175"/>
      <c r="AY733" s="182" t="s">
        <v>29</v>
      </c>
      <c r="AZ733" s="182" t="s">
        <v>100</v>
      </c>
      <c r="BA733" s="175"/>
      <c r="BB733" s="180"/>
      <c r="BC733" s="172"/>
      <c r="BD733" s="172"/>
      <c r="BE733" s="142">
        <v>3.8</v>
      </c>
      <c r="BF733" s="171"/>
      <c r="BG733" s="56">
        <v>-12</v>
      </c>
      <c r="BH733" s="57"/>
      <c r="BI733" s="170"/>
      <c r="BJ733" s="169"/>
      <c r="BK733" s="181"/>
      <c r="BL733" s="36">
        <f>VLOOKUP($AP733,'[1]V1 V2'!$B$5:$BW$1894,74,0)</f>
        <v>0</v>
      </c>
      <c r="BM733" s="36" t="str">
        <f>IF('[1]V1 V2'!X732="","",'[1]V1 V2'!X732)</f>
        <v/>
      </c>
    </row>
    <row r="734" spans="1:65" ht="16" thickBot="1" x14ac:dyDescent="0.4">
      <c r="A734">
        <v>1</v>
      </c>
      <c r="B734" s="304"/>
      <c r="C734" s="305"/>
      <c r="D734" s="306"/>
      <c r="E734" s="36"/>
      <c r="F734" s="168"/>
      <c r="G734" s="169"/>
      <c r="H734" s="170"/>
      <c r="I734" s="57"/>
      <c r="J734" s="56"/>
      <c r="K734" s="171"/>
      <c r="L734" s="142"/>
      <c r="M734" s="172"/>
      <c r="N734" s="173"/>
      <c r="O734" s="174"/>
      <c r="P734" s="175"/>
      <c r="Q734" s="182"/>
      <c r="R734" s="182"/>
      <c r="S734" s="175"/>
      <c r="T734" s="173"/>
      <c r="U734" s="62"/>
      <c r="V734" s="177" t="s">
        <v>89</v>
      </c>
      <c r="W734" s="177" t="s">
        <v>89</v>
      </c>
      <c r="X734" s="230"/>
      <c r="Y734" s="177"/>
      <c r="Z734" s="178">
        <v>7.4</v>
      </c>
      <c r="AA734" s="297"/>
      <c r="AB734" s="21" t="s">
        <v>2</v>
      </c>
      <c r="AH734" s="63">
        <v>1</v>
      </c>
      <c r="AO734" s="10" t="s">
        <v>3</v>
      </c>
      <c r="AP734" s="297"/>
      <c r="AQ734" s="178">
        <v>1.7</v>
      </c>
      <c r="AR734" s="177"/>
      <c r="AS734" s="222"/>
      <c r="AT734" s="177" t="s">
        <v>89</v>
      </c>
      <c r="AU734" s="177" t="s">
        <v>89</v>
      </c>
      <c r="AV734" s="62"/>
      <c r="AW734" s="173" t="s">
        <v>72</v>
      </c>
      <c r="AX734" s="175"/>
      <c r="AY734" s="182"/>
      <c r="AZ734" s="182"/>
      <c r="BA734" s="175"/>
      <c r="BB734" s="180"/>
      <c r="BC734" s="172"/>
      <c r="BD734" s="172"/>
      <c r="BE734" s="142"/>
      <c r="BF734" s="171"/>
      <c r="BG734" s="56"/>
      <c r="BH734" s="57"/>
      <c r="BI734" s="170"/>
      <c r="BJ734" s="169"/>
      <c r="BK734" s="181"/>
      <c r="BL734" s="36"/>
      <c r="BM734" s="36" t="str">
        <f>IF('[1]V1 V2'!X733="","",'[1]V1 V2'!X733)</f>
        <v/>
      </c>
    </row>
    <row r="735" spans="1:65" ht="16" thickBot="1" x14ac:dyDescent="0.4">
      <c r="A735">
        <v>1</v>
      </c>
      <c r="B735" s="304" t="s">
        <v>2231</v>
      </c>
      <c r="C735" s="305"/>
      <c r="D735" s="306"/>
      <c r="E735" s="36">
        <f>VLOOKUP($B735,'[1]V1 V2'!$B$5:$BW$1894,74,0)</f>
        <v>0</v>
      </c>
      <c r="F735" s="168"/>
      <c r="G735" s="169"/>
      <c r="H735" s="170"/>
      <c r="I735" s="57"/>
      <c r="J735" s="56">
        <v>-4</v>
      </c>
      <c r="K735" s="171"/>
      <c r="L735" s="142">
        <v>3.8</v>
      </c>
      <c r="M735" s="172"/>
      <c r="N735" s="173"/>
      <c r="O735" s="174"/>
      <c r="P735" s="175"/>
      <c r="Q735" s="182" t="s">
        <v>83</v>
      </c>
      <c r="R735" s="182" t="s">
        <v>29</v>
      </c>
      <c r="S735" s="175"/>
      <c r="T735" s="173" t="s">
        <v>30</v>
      </c>
      <c r="U735" s="62"/>
      <c r="V735" s="177" t="s">
        <v>2232</v>
      </c>
      <c r="W735" s="177" t="s">
        <v>2233</v>
      </c>
      <c r="X735" s="177">
        <v>29480.52900000001</v>
      </c>
      <c r="Y735" s="177">
        <v>5322.5099999999975</v>
      </c>
      <c r="Z735" s="178"/>
      <c r="AA735" s="297" t="s">
        <v>2231</v>
      </c>
      <c r="AB735" s="21" t="s">
        <v>2</v>
      </c>
      <c r="AH735" s="63">
        <v>1</v>
      </c>
      <c r="AO735" s="10" t="s">
        <v>3</v>
      </c>
      <c r="AP735" s="297" t="s">
        <v>2234</v>
      </c>
      <c r="AQ735" s="178"/>
      <c r="AR735" s="177">
        <v>5316.21</v>
      </c>
      <c r="AS735" s="222">
        <f>AS733-AQ734</f>
        <v>29944.638999999992</v>
      </c>
      <c r="AT735" s="230" t="s">
        <v>2235</v>
      </c>
      <c r="AU735" s="230" t="s">
        <v>2236</v>
      </c>
      <c r="AV735" s="62"/>
      <c r="AW735" s="173" t="s">
        <v>30</v>
      </c>
      <c r="AX735" s="175"/>
      <c r="AY735" s="182" t="s">
        <v>29</v>
      </c>
      <c r="AZ735" s="182" t="s">
        <v>83</v>
      </c>
      <c r="BA735" s="175"/>
      <c r="BB735" s="180"/>
      <c r="BC735" s="172"/>
      <c r="BD735" s="172"/>
      <c r="BE735" s="142">
        <v>3.8</v>
      </c>
      <c r="BF735" s="171"/>
      <c r="BG735" s="56">
        <v>-4</v>
      </c>
      <c r="BH735" s="57"/>
      <c r="BI735" s="170"/>
      <c r="BJ735" s="169"/>
      <c r="BK735" s="181"/>
      <c r="BL735" s="36">
        <f>VLOOKUP($AP735,'[1]V1 V2'!$B$5:$BW$1894,74,0)</f>
        <v>0</v>
      </c>
      <c r="BM735" s="36" t="str">
        <f>IF('[1]V1 V2'!X734="","",'[1]V1 V2'!X734)</f>
        <v/>
      </c>
    </row>
    <row r="736" spans="1:65" ht="16" thickBot="1" x14ac:dyDescent="0.4">
      <c r="A736">
        <v>1</v>
      </c>
      <c r="B736" s="304" t="s">
        <v>2237</v>
      </c>
      <c r="C736" s="305"/>
      <c r="D736" s="306"/>
      <c r="E736" s="36">
        <f>VLOOKUP($B736,'[1]V1 V2'!$B$5:$BW$1894,74,0)</f>
        <v>0</v>
      </c>
      <c r="F736" s="168"/>
      <c r="G736" s="169"/>
      <c r="H736" s="170"/>
      <c r="I736" s="57"/>
      <c r="J736" s="56"/>
      <c r="K736" s="171"/>
      <c r="L736" s="142">
        <v>3.8</v>
      </c>
      <c r="M736" s="172"/>
      <c r="N736" s="173"/>
      <c r="O736" s="174"/>
      <c r="P736" s="175"/>
      <c r="Q736" s="182" t="s">
        <v>83</v>
      </c>
      <c r="R736" s="182" t="s">
        <v>29</v>
      </c>
      <c r="S736" s="175"/>
      <c r="T736" s="173" t="s">
        <v>69</v>
      </c>
      <c r="U736" s="62"/>
      <c r="V736" s="177" t="s">
        <v>2238</v>
      </c>
      <c r="W736" s="177" t="s">
        <v>2239</v>
      </c>
      <c r="X736" s="230"/>
      <c r="Y736" s="177">
        <v>5326.8099999999977</v>
      </c>
      <c r="Z736" s="178">
        <v>6.2</v>
      </c>
      <c r="AA736" s="297" t="s">
        <v>2237</v>
      </c>
      <c r="AB736" s="21" t="s">
        <v>2</v>
      </c>
      <c r="AH736" s="63">
        <v>1</v>
      </c>
      <c r="AO736" s="10" t="s">
        <v>3</v>
      </c>
      <c r="AP736" s="297" t="s">
        <v>2240</v>
      </c>
      <c r="AQ736" s="178">
        <v>6.3</v>
      </c>
      <c r="AR736" s="177">
        <v>5318.11</v>
      </c>
      <c r="AS736" s="222"/>
      <c r="AT736" s="177" t="s">
        <v>2223</v>
      </c>
      <c r="AU736" s="177" t="s">
        <v>2241</v>
      </c>
      <c r="AV736" s="62"/>
      <c r="AW736" s="173" t="s">
        <v>69</v>
      </c>
      <c r="AX736" s="175"/>
      <c r="AY736" s="182"/>
      <c r="AZ736" s="182"/>
      <c r="BA736" s="175"/>
      <c r="BB736" s="182"/>
      <c r="BC736" s="172"/>
      <c r="BD736" s="172"/>
      <c r="BE736" s="142">
        <v>3.8</v>
      </c>
      <c r="BF736" s="171"/>
      <c r="BG736" s="56"/>
      <c r="BH736" s="57"/>
      <c r="BI736" s="170"/>
      <c r="BJ736" s="169"/>
      <c r="BK736" s="181"/>
      <c r="BL736" s="36">
        <f>VLOOKUP($AP736,'[1]V1 V2'!$B$5:$BW$1894,74,0)</f>
        <v>0</v>
      </c>
      <c r="BM736" s="36" t="str">
        <f>IF('[1]V1 V2'!X735="","",'[1]V1 V2'!X735)</f>
        <v/>
      </c>
    </row>
    <row r="737" spans="1:65" ht="16" thickBot="1" x14ac:dyDescent="0.4">
      <c r="A737">
        <v>1</v>
      </c>
      <c r="B737" s="304" t="s">
        <v>2242</v>
      </c>
      <c r="C737" s="305"/>
      <c r="D737" s="306"/>
      <c r="E737" s="36">
        <f>VLOOKUP($B737,'[1]V1 V2'!$B$5:$BW$1894,74,0)</f>
        <v>0</v>
      </c>
      <c r="F737" s="168"/>
      <c r="G737" s="169"/>
      <c r="H737" s="170"/>
      <c r="I737" s="57"/>
      <c r="J737" s="56" t="s">
        <v>113</v>
      </c>
      <c r="K737" s="171"/>
      <c r="L737" s="142">
        <v>3.8</v>
      </c>
      <c r="M737" s="172"/>
      <c r="N737" s="173"/>
      <c r="O737" s="174"/>
      <c r="P737" s="175"/>
      <c r="Q737" s="182" t="s">
        <v>83</v>
      </c>
      <c r="R737" s="182" t="s">
        <v>29</v>
      </c>
      <c r="S737" s="175"/>
      <c r="T737" s="173" t="s">
        <v>30</v>
      </c>
      <c r="U737" s="62"/>
      <c r="V737" s="177" t="s">
        <v>2243</v>
      </c>
      <c r="W737" s="177" t="s">
        <v>2244</v>
      </c>
      <c r="X737" s="177">
        <v>29474.329000000009</v>
      </c>
      <c r="Y737" s="177">
        <v>5328.7099999999973</v>
      </c>
      <c r="Z737" s="178"/>
      <c r="AA737" s="297" t="s">
        <v>2242</v>
      </c>
      <c r="AB737" s="21" t="s">
        <v>2</v>
      </c>
      <c r="AH737" s="63">
        <v>1</v>
      </c>
      <c r="AO737" s="10" t="s">
        <v>3</v>
      </c>
      <c r="AP737" s="297" t="s">
        <v>2245</v>
      </c>
      <c r="AQ737" s="178"/>
      <c r="AR737" s="177">
        <v>5322.51</v>
      </c>
      <c r="AS737" s="222">
        <f>AS735-AQ736</f>
        <v>29938.338999999993</v>
      </c>
      <c r="AT737" s="177" t="s">
        <v>2246</v>
      </c>
      <c r="AU737" s="177" t="s">
        <v>2247</v>
      </c>
      <c r="AV737" s="62"/>
      <c r="AW737" s="173" t="s">
        <v>30</v>
      </c>
      <c r="AX737" s="175"/>
      <c r="AY737" s="182" t="s">
        <v>29</v>
      </c>
      <c r="AZ737" s="182" t="s">
        <v>83</v>
      </c>
      <c r="BA737" s="175"/>
      <c r="BB737" s="180"/>
      <c r="BC737" s="172"/>
      <c r="BD737" s="172"/>
      <c r="BE737" s="142">
        <v>3.8</v>
      </c>
      <c r="BF737" s="171"/>
      <c r="BG737" s="183" t="s">
        <v>113</v>
      </c>
      <c r="BH737" s="57"/>
      <c r="BI737" s="170"/>
      <c r="BJ737" s="169"/>
      <c r="BK737" s="181"/>
      <c r="BL737" s="36">
        <f>VLOOKUP($AP737,'[1]V1 V2'!$B$5:$BW$1894,74,0)</f>
        <v>0</v>
      </c>
      <c r="BM737" s="36" t="str">
        <f>IF('[1]V1 V2'!X736="","",'[1]V1 V2'!X736)</f>
        <v/>
      </c>
    </row>
    <row r="738" spans="1:65" ht="16" thickBot="1" x14ac:dyDescent="0.4">
      <c r="A738">
        <v>1</v>
      </c>
      <c r="B738" s="304"/>
      <c r="C738" s="305"/>
      <c r="D738" s="306"/>
      <c r="E738" s="36"/>
      <c r="F738" s="168"/>
      <c r="G738" s="169"/>
      <c r="H738" s="170"/>
      <c r="I738" s="57"/>
      <c r="J738" s="56"/>
      <c r="K738" s="171"/>
      <c r="L738" s="142"/>
      <c r="M738" s="172"/>
      <c r="N738" s="173"/>
      <c r="O738" s="174"/>
      <c r="P738" s="175"/>
      <c r="Q738" s="182"/>
      <c r="R738" s="182"/>
      <c r="S738" s="175"/>
      <c r="T738" s="173" t="s">
        <v>72</v>
      </c>
      <c r="U738" s="62"/>
      <c r="V738" s="177" t="s">
        <v>89</v>
      </c>
      <c r="W738" s="177" t="s">
        <v>89</v>
      </c>
      <c r="X738" s="230"/>
      <c r="Y738" s="177"/>
      <c r="Z738" s="178">
        <v>1.7</v>
      </c>
      <c r="AA738" s="297"/>
      <c r="AB738" s="21" t="s">
        <v>2</v>
      </c>
      <c r="AC738" s="163"/>
      <c r="AD738" s="163"/>
      <c r="AE738" s="163"/>
      <c r="AF738" s="163"/>
      <c r="AG738" s="163"/>
      <c r="AH738" s="164">
        <v>1</v>
      </c>
      <c r="AI738" s="163"/>
      <c r="AJ738" s="163"/>
      <c r="AK738" s="163"/>
      <c r="AL738" s="163"/>
      <c r="AM738" s="163"/>
      <c r="AN738" s="163"/>
      <c r="AO738" s="10" t="s">
        <v>3</v>
      </c>
      <c r="AP738" s="297"/>
      <c r="AQ738" s="178">
        <v>7.5</v>
      </c>
      <c r="AR738" s="177"/>
      <c r="AS738" s="222"/>
      <c r="AT738" s="177" t="s">
        <v>89</v>
      </c>
      <c r="AU738" s="177" t="s">
        <v>89</v>
      </c>
      <c r="AV738" s="62"/>
      <c r="AW738" s="173"/>
      <c r="AX738" s="175"/>
      <c r="AY738" s="182"/>
      <c r="AZ738" s="182"/>
      <c r="BA738" s="175"/>
      <c r="BB738" s="180"/>
      <c r="BC738" s="172"/>
      <c r="BD738" s="172"/>
      <c r="BE738" s="142"/>
      <c r="BF738" s="171"/>
      <c r="BG738" s="56"/>
      <c r="BH738" s="57"/>
      <c r="BI738" s="170"/>
      <c r="BJ738" s="169"/>
      <c r="BK738" s="181"/>
      <c r="BL738" s="36"/>
      <c r="BM738" s="36" t="str">
        <f>IF('[1]V1 V2'!X737="","",'[1]V1 V2'!X737)</f>
        <v/>
      </c>
    </row>
    <row r="739" spans="1:65" ht="16" thickBot="1" x14ac:dyDescent="0.4">
      <c r="A739">
        <v>1</v>
      </c>
      <c r="B739" s="304" t="s">
        <v>2248</v>
      </c>
      <c r="C739" s="305"/>
      <c r="D739" s="306"/>
      <c r="E739" s="36">
        <f>VLOOKUP($B739,'[1]V1 V2'!$B$5:$BW$1894,74,0)</f>
        <v>0</v>
      </c>
      <c r="F739" s="168"/>
      <c r="G739" s="169"/>
      <c r="H739" s="170"/>
      <c r="I739" s="57"/>
      <c r="J739" s="56" t="s">
        <v>120</v>
      </c>
      <c r="K739" s="171"/>
      <c r="L739" s="142">
        <v>3.8</v>
      </c>
      <c r="M739" s="172"/>
      <c r="N739" s="173"/>
      <c r="O739" s="174"/>
      <c r="P739" s="175"/>
      <c r="Q739" s="182" t="s">
        <v>83</v>
      </c>
      <c r="R739" s="182" t="s">
        <v>29</v>
      </c>
      <c r="S739" s="175"/>
      <c r="T739" s="173" t="s">
        <v>30</v>
      </c>
      <c r="U739" s="62"/>
      <c r="V739" s="177" t="s">
        <v>2249</v>
      </c>
      <c r="W739" s="177" t="s">
        <v>2250</v>
      </c>
      <c r="X739" s="177">
        <v>29472.629000000008</v>
      </c>
      <c r="Y739" s="177">
        <v>5330.4099999999971</v>
      </c>
      <c r="Z739" s="178"/>
      <c r="AA739" s="297" t="s">
        <v>2248</v>
      </c>
      <c r="AB739" s="21" t="s">
        <v>2</v>
      </c>
      <c r="AC739" s="113"/>
      <c r="AD739" s="113"/>
      <c r="AE739" s="113"/>
      <c r="AF739" s="113"/>
      <c r="AG739" s="113"/>
      <c r="AH739" s="166">
        <f>Y738</f>
        <v>0</v>
      </c>
      <c r="AI739" s="113"/>
      <c r="AJ739" s="113"/>
      <c r="AK739" s="113"/>
      <c r="AL739" s="113"/>
      <c r="AM739" s="113"/>
      <c r="AN739" s="113"/>
      <c r="AO739" s="10" t="s">
        <v>3</v>
      </c>
      <c r="AP739" s="297" t="s">
        <v>2251</v>
      </c>
      <c r="AQ739" s="178"/>
      <c r="AR739" s="177">
        <v>5330.01</v>
      </c>
      <c r="AS739" s="222">
        <f>AS737-AQ738</f>
        <v>29930.838999999993</v>
      </c>
      <c r="AT739" s="177" t="s">
        <v>2252</v>
      </c>
      <c r="AU739" s="177" t="s">
        <v>2253</v>
      </c>
      <c r="AV739" s="62"/>
      <c r="AW739" s="173" t="s">
        <v>30</v>
      </c>
      <c r="AX739" s="175"/>
      <c r="AY739" s="182" t="s">
        <v>29</v>
      </c>
      <c r="AZ739" s="182" t="s">
        <v>83</v>
      </c>
      <c r="BA739" s="175"/>
      <c r="BB739" s="180"/>
      <c r="BC739" s="172"/>
      <c r="BD739" s="172"/>
      <c r="BE739" s="142">
        <v>3.8</v>
      </c>
      <c r="BF739" s="171"/>
      <c r="BG739" s="183" t="s">
        <v>120</v>
      </c>
      <c r="BH739" s="57"/>
      <c r="BI739" s="170"/>
      <c r="BJ739" s="169"/>
      <c r="BK739" s="181"/>
      <c r="BL739" s="36">
        <f>VLOOKUP($AP739,'[1]V1 V2'!$B$5:$BW$1894,74,0)</f>
        <v>0</v>
      </c>
      <c r="BM739" s="36" t="str">
        <f>IF('[1]V1 V2'!X738="","",'[1]V1 V2'!X738)</f>
        <v/>
      </c>
    </row>
    <row r="740" spans="1:65" ht="16" thickBot="1" x14ac:dyDescent="0.4">
      <c r="A740">
        <v>1</v>
      </c>
      <c r="B740" s="304"/>
      <c r="C740" s="305"/>
      <c r="D740" s="306"/>
      <c r="E740" s="36"/>
      <c r="F740" s="168"/>
      <c r="G740" s="169"/>
      <c r="H740" s="170"/>
      <c r="I740" s="57"/>
      <c r="J740" s="56"/>
      <c r="K740" s="171"/>
      <c r="L740" s="142"/>
      <c r="M740" s="172"/>
      <c r="N740" s="173"/>
      <c r="O740" s="174"/>
      <c r="P740" s="175"/>
      <c r="Q740" s="182"/>
      <c r="R740" s="182"/>
      <c r="S740" s="175"/>
      <c r="T740" s="173" t="s">
        <v>75</v>
      </c>
      <c r="U740" s="62"/>
      <c r="V740" s="177" t="s">
        <v>89</v>
      </c>
      <c r="W740" s="177" t="s">
        <v>89</v>
      </c>
      <c r="X740" s="230"/>
      <c r="Y740" s="177"/>
      <c r="Z740" s="178">
        <v>7</v>
      </c>
      <c r="AA740" s="297"/>
      <c r="AB740" s="21" t="s">
        <v>2</v>
      </c>
      <c r="AH740" s="63">
        <v>1</v>
      </c>
      <c r="AO740" s="10" t="s">
        <v>3</v>
      </c>
      <c r="AP740" s="297"/>
      <c r="AQ740" s="178">
        <v>7.4</v>
      </c>
      <c r="AR740" s="177"/>
      <c r="AS740" s="222"/>
      <c r="AT740" s="177" t="s">
        <v>89</v>
      </c>
      <c r="AU740" s="177" t="s">
        <v>89</v>
      </c>
      <c r="AV740" s="62"/>
      <c r="AW740" s="173"/>
      <c r="AX740" s="175"/>
      <c r="AY740" s="182"/>
      <c r="AZ740" s="182"/>
      <c r="BA740" s="175"/>
      <c r="BB740" s="180"/>
      <c r="BC740" s="172"/>
      <c r="BD740" s="172"/>
      <c r="BE740" s="142"/>
      <c r="BF740" s="171"/>
      <c r="BG740" s="56"/>
      <c r="BH740" s="57"/>
      <c r="BI740" s="170"/>
      <c r="BJ740" s="169"/>
      <c r="BK740" s="181"/>
      <c r="BL740" s="36"/>
      <c r="BM740" s="36" t="str">
        <f>IF('[1]V1 V2'!X739="","",'[1]V1 V2'!X739)</f>
        <v/>
      </c>
    </row>
    <row r="741" spans="1:65" ht="16" thickBot="1" x14ac:dyDescent="0.4">
      <c r="A741">
        <v>1</v>
      </c>
      <c r="B741" s="304" t="s">
        <v>2254</v>
      </c>
      <c r="C741" s="305"/>
      <c r="D741" s="306"/>
      <c r="E741" s="36">
        <f>VLOOKUP($B741,'[1]V1 V2'!$B$5:$BW$1894,74,0)</f>
        <v>0</v>
      </c>
      <c r="F741" s="168"/>
      <c r="G741" s="169"/>
      <c r="H741" s="170"/>
      <c r="I741" s="57"/>
      <c r="J741" s="56" t="s">
        <v>127</v>
      </c>
      <c r="K741" s="171"/>
      <c r="L741" s="142">
        <v>3.8</v>
      </c>
      <c r="M741" s="172"/>
      <c r="N741" s="173"/>
      <c r="O741" s="174"/>
      <c r="P741" s="175"/>
      <c r="Q741" s="182" t="s">
        <v>100</v>
      </c>
      <c r="R741" s="182" t="s">
        <v>29</v>
      </c>
      <c r="S741" s="175"/>
      <c r="T741" s="173" t="s">
        <v>30</v>
      </c>
      <c r="U741" s="62"/>
      <c r="V741" s="177" t="s">
        <v>2255</v>
      </c>
      <c r="W741" s="177" t="s">
        <v>2256</v>
      </c>
      <c r="X741" s="177">
        <v>29465.629000000008</v>
      </c>
      <c r="Y741" s="177">
        <v>5337.4099999999971</v>
      </c>
      <c r="Z741" s="178"/>
      <c r="AA741" s="297" t="s">
        <v>2254</v>
      </c>
      <c r="AB741" s="21" t="s">
        <v>2</v>
      </c>
      <c r="AH741" s="63">
        <v>1</v>
      </c>
      <c r="AO741" s="10" t="s">
        <v>3</v>
      </c>
      <c r="AP741" s="297" t="s">
        <v>2257</v>
      </c>
      <c r="AQ741" s="178"/>
      <c r="AR741" s="177">
        <v>5337.41</v>
      </c>
      <c r="AS741" s="222">
        <f>AS739-AQ740</f>
        <v>29923.438999999991</v>
      </c>
      <c r="AT741" s="177" t="s">
        <v>2258</v>
      </c>
      <c r="AU741" s="177" t="s">
        <v>2259</v>
      </c>
      <c r="AV741" s="62"/>
      <c r="AW741" s="173" t="s">
        <v>30</v>
      </c>
      <c r="AX741" s="175"/>
      <c r="AY741" s="182" t="s">
        <v>29</v>
      </c>
      <c r="AZ741" s="182" t="s">
        <v>100</v>
      </c>
      <c r="BA741" s="175"/>
      <c r="BB741" s="180"/>
      <c r="BC741" s="172"/>
      <c r="BD741" s="172"/>
      <c r="BE741" s="142">
        <v>3.8</v>
      </c>
      <c r="BF741" s="171"/>
      <c r="BG741" s="183" t="s">
        <v>127</v>
      </c>
      <c r="BH741" s="57"/>
      <c r="BI741" s="170"/>
      <c r="BJ741" s="169"/>
      <c r="BK741" s="181"/>
      <c r="BL741" s="36">
        <f>VLOOKUP($AP741,'[1]V1 V2'!$B$5:$BW$1894,74,0)</f>
        <v>0</v>
      </c>
      <c r="BM741" s="36" t="str">
        <f>IF('[1]V1 V2'!X740="","",'[1]V1 V2'!X740)</f>
        <v/>
      </c>
    </row>
    <row r="742" spans="1:65" ht="16" thickBot="1" x14ac:dyDescent="0.4">
      <c r="A742">
        <v>1</v>
      </c>
      <c r="B742" s="304"/>
      <c r="C742" s="305"/>
      <c r="D742" s="306"/>
      <c r="E742" s="36"/>
      <c r="F742" s="168"/>
      <c r="G742" s="169"/>
      <c r="H742" s="170"/>
      <c r="I742" s="57"/>
      <c r="J742" s="56"/>
      <c r="K742" s="171"/>
      <c r="L742" s="142"/>
      <c r="M742" s="172"/>
      <c r="N742" s="173"/>
      <c r="O742" s="174"/>
      <c r="P742" s="175"/>
      <c r="Q742" s="182"/>
      <c r="R742" s="182"/>
      <c r="S742" s="175"/>
      <c r="T742" s="173"/>
      <c r="U742" s="62"/>
      <c r="V742" s="177" t="s">
        <v>89</v>
      </c>
      <c r="W742" s="177" t="s">
        <v>89</v>
      </c>
      <c r="X742" s="230"/>
      <c r="Y742" s="177"/>
      <c r="Z742" s="178">
        <v>12</v>
      </c>
      <c r="AA742" s="297"/>
      <c r="AB742" s="21" t="s">
        <v>2</v>
      </c>
      <c r="AH742" s="63">
        <v>1</v>
      </c>
      <c r="AO742" s="10" t="s">
        <v>3</v>
      </c>
      <c r="AP742" s="297"/>
      <c r="AQ742" s="178">
        <v>12</v>
      </c>
      <c r="AR742" s="177"/>
      <c r="AS742" s="222"/>
      <c r="AT742" s="177" t="s">
        <v>89</v>
      </c>
      <c r="AU742" s="177" t="s">
        <v>89</v>
      </c>
      <c r="AV742" s="62"/>
      <c r="AW742" s="173"/>
      <c r="AX742" s="175"/>
      <c r="AY742" s="182"/>
      <c r="AZ742" s="182"/>
      <c r="BA742" s="175"/>
      <c r="BB742" s="180"/>
      <c r="BC742" s="172"/>
      <c r="BD742" s="172"/>
      <c r="BE742" s="142"/>
      <c r="BF742" s="171"/>
      <c r="BG742" s="56"/>
      <c r="BH742" s="57"/>
      <c r="BI742" s="170"/>
      <c r="BJ742" s="169"/>
      <c r="BK742" s="181"/>
      <c r="BL742" s="36"/>
      <c r="BM742" s="36" t="str">
        <f>IF('[1]V1 V2'!X741="","",'[1]V1 V2'!X741)</f>
        <v/>
      </c>
    </row>
    <row r="743" spans="1:65" ht="16" thickBot="1" x14ac:dyDescent="0.4">
      <c r="A743">
        <v>1</v>
      </c>
      <c r="B743" s="310" t="s">
        <v>2260</v>
      </c>
      <c r="C743" s="311"/>
      <c r="D743" s="312"/>
      <c r="E743" s="36">
        <f>VLOOKUP($B743,'[1]V1 V2'!$B$5:$BW$1894,74,0)</f>
        <v>0</v>
      </c>
      <c r="F743" s="144"/>
      <c r="G743" s="145"/>
      <c r="H743" s="69" t="s">
        <v>2044</v>
      </c>
      <c r="I743" s="87" t="s">
        <v>120</v>
      </c>
      <c r="J743" s="86">
        <v>-20</v>
      </c>
      <c r="K743" s="147"/>
      <c r="L743" s="148">
        <v>3.8</v>
      </c>
      <c r="M743" s="149"/>
      <c r="N743" s="150"/>
      <c r="O743" s="151"/>
      <c r="P743" s="152"/>
      <c r="Q743" s="153" t="s">
        <v>83</v>
      </c>
      <c r="R743" s="153" t="s">
        <v>29</v>
      </c>
      <c r="S743" s="152"/>
      <c r="T743" s="150" t="s">
        <v>33</v>
      </c>
      <c r="U743" s="80"/>
      <c r="V743" s="154" t="s">
        <v>2261</v>
      </c>
      <c r="W743" s="154" t="s">
        <v>2262</v>
      </c>
      <c r="X743" s="404">
        <v>29453.629000000008</v>
      </c>
      <c r="Y743" s="154">
        <v>5349.4099999999971</v>
      </c>
      <c r="Z743" s="155"/>
      <c r="AA743" s="315" t="s">
        <v>2260</v>
      </c>
      <c r="AB743" s="21" t="s">
        <v>2</v>
      </c>
      <c r="AH743" s="63">
        <v>1</v>
      </c>
      <c r="AO743" s="10" t="s">
        <v>3</v>
      </c>
      <c r="AP743" s="315" t="s">
        <v>2263</v>
      </c>
      <c r="AQ743" s="155"/>
      <c r="AR743" s="154">
        <v>5349.41</v>
      </c>
      <c r="AS743" s="154">
        <f>AS741-AQ742</f>
        <v>29911.438999999991</v>
      </c>
      <c r="AT743" s="154" t="s">
        <v>2264</v>
      </c>
      <c r="AU743" s="154" t="s">
        <v>2265</v>
      </c>
      <c r="AV743" s="80"/>
      <c r="AW743" s="150" t="s">
        <v>33</v>
      </c>
      <c r="AX743" s="152"/>
      <c r="AY743" s="153" t="s">
        <v>29</v>
      </c>
      <c r="AZ743" s="153" t="s">
        <v>83</v>
      </c>
      <c r="BA743" s="152"/>
      <c r="BB743" s="157"/>
      <c r="BC743" s="149"/>
      <c r="BD743" s="149"/>
      <c r="BE743" s="148">
        <v>3.8</v>
      </c>
      <c r="BF743" s="147"/>
      <c r="BG743" s="86">
        <v>-20</v>
      </c>
      <c r="BH743" s="201" t="s">
        <v>120</v>
      </c>
      <c r="BI743" s="69" t="s">
        <v>2050</v>
      </c>
      <c r="BJ743" s="145"/>
      <c r="BK743" s="160"/>
      <c r="BL743" s="36">
        <f>VLOOKUP($AP743,'[1]V1 V2'!$B$5:$BW$1894,74,0)</f>
        <v>0</v>
      </c>
      <c r="BM743" s="36" t="str">
        <f>IF('[1]V1 V2'!X742="","",'[1]V1 V2'!X742)</f>
        <v/>
      </c>
    </row>
    <row r="744" spans="1:65" ht="16" thickBot="1" x14ac:dyDescent="0.4">
      <c r="A744">
        <v>1</v>
      </c>
      <c r="B744" s="310"/>
      <c r="C744" s="311"/>
      <c r="D744" s="312"/>
      <c r="E744" s="36"/>
      <c r="F744" s="144"/>
      <c r="G744" s="145"/>
      <c r="H744" s="92" t="s">
        <v>8</v>
      </c>
      <c r="I744" s="87"/>
      <c r="J744" s="86"/>
      <c r="K744" s="147"/>
      <c r="L744" s="148"/>
      <c r="M744" s="149"/>
      <c r="N744" s="150"/>
      <c r="O744" s="151"/>
      <c r="P744" s="152"/>
      <c r="Q744" s="153"/>
      <c r="R744" s="153"/>
      <c r="S744" s="152"/>
      <c r="T744" s="150"/>
      <c r="U744" s="80"/>
      <c r="V744" s="154" t="s">
        <v>89</v>
      </c>
      <c r="W744" s="154" t="s">
        <v>89</v>
      </c>
      <c r="X744" s="405"/>
      <c r="Y744" s="154"/>
      <c r="Z744" s="155">
        <v>6.2</v>
      </c>
      <c r="AA744" s="315"/>
      <c r="AB744" s="21" t="s">
        <v>2</v>
      </c>
      <c r="AH744" s="63">
        <v>1</v>
      </c>
      <c r="AO744" s="10" t="s">
        <v>3</v>
      </c>
      <c r="AP744" s="315"/>
      <c r="AQ744" s="155">
        <v>6.2</v>
      </c>
      <c r="AR744" s="154"/>
      <c r="AS744" s="154"/>
      <c r="AT744" s="154" t="s">
        <v>89</v>
      </c>
      <c r="AU744" s="154" t="s">
        <v>89</v>
      </c>
      <c r="AV744" s="80"/>
      <c r="AW744" s="150"/>
      <c r="AX744" s="152"/>
      <c r="AY744" s="153"/>
      <c r="AZ744" s="153"/>
      <c r="BA744" s="152"/>
      <c r="BB744" s="157"/>
      <c r="BC744" s="149"/>
      <c r="BD744" s="149"/>
      <c r="BE744" s="148"/>
      <c r="BF744" s="147"/>
      <c r="BG744" s="86"/>
      <c r="BH744" s="87"/>
      <c r="BI744" s="92" t="s">
        <v>8</v>
      </c>
      <c r="BJ744" s="145"/>
      <c r="BK744" s="160"/>
      <c r="BL744" s="36"/>
      <c r="BM744" s="36" t="str">
        <f>IF('[1]V1 V2'!X743="","",'[1]V1 V2'!X743)</f>
        <v/>
      </c>
    </row>
    <row r="745" spans="1:65" ht="16" thickBot="1" x14ac:dyDescent="0.4">
      <c r="A745">
        <v>1</v>
      </c>
      <c r="B745" s="310" t="s">
        <v>2266</v>
      </c>
      <c r="C745" s="311"/>
      <c r="D745" s="312"/>
      <c r="E745" s="36">
        <f>VLOOKUP($B745,'[1]V1 V2'!$B$5:$BW$1894,74,0)</f>
        <v>0</v>
      </c>
      <c r="F745" s="144" t="s">
        <v>399</v>
      </c>
      <c r="G745" s="145" t="s">
        <v>400</v>
      </c>
      <c r="H745" s="98" t="s">
        <v>2267</v>
      </c>
      <c r="I745" s="257" t="s">
        <v>113</v>
      </c>
      <c r="J745" s="158">
        <v>-12</v>
      </c>
      <c r="K745" s="147"/>
      <c r="L745" s="148">
        <v>3.8</v>
      </c>
      <c r="M745" s="149"/>
      <c r="N745" s="150"/>
      <c r="O745" s="151"/>
      <c r="P745" s="152"/>
      <c r="Q745" s="153" t="s">
        <v>83</v>
      </c>
      <c r="R745" s="153" t="s">
        <v>29</v>
      </c>
      <c r="S745" s="152"/>
      <c r="T745" s="150" t="s">
        <v>33</v>
      </c>
      <c r="U745" s="80"/>
      <c r="V745" s="154" t="s">
        <v>2268</v>
      </c>
      <c r="W745" s="154" t="s">
        <v>2269</v>
      </c>
      <c r="X745" s="154">
        <v>29447.429000000007</v>
      </c>
      <c r="Y745" s="154">
        <v>5355.6099999999969</v>
      </c>
      <c r="Z745" s="155"/>
      <c r="AA745" s="315" t="s">
        <v>2266</v>
      </c>
      <c r="AB745" s="21" t="s">
        <v>2</v>
      </c>
      <c r="AH745" s="63">
        <v>1</v>
      </c>
      <c r="AO745" s="10" t="s">
        <v>3</v>
      </c>
      <c r="AP745" s="315" t="s">
        <v>2270</v>
      </c>
      <c r="AQ745" s="155"/>
      <c r="AR745" s="154">
        <v>5355.61</v>
      </c>
      <c r="AS745" s="154">
        <f>AS743-AQ744</f>
        <v>29905.23899999999</v>
      </c>
      <c r="AT745" s="154" t="s">
        <v>2271</v>
      </c>
      <c r="AU745" s="154" t="s">
        <v>2272</v>
      </c>
      <c r="AV745" s="80"/>
      <c r="AW745" s="150" t="s">
        <v>33</v>
      </c>
      <c r="AX745" s="152"/>
      <c r="AY745" s="153" t="s">
        <v>29</v>
      </c>
      <c r="AZ745" s="153" t="s">
        <v>83</v>
      </c>
      <c r="BA745" s="152"/>
      <c r="BB745" s="157"/>
      <c r="BC745" s="149"/>
      <c r="BD745" s="149"/>
      <c r="BE745" s="148">
        <v>3.8</v>
      </c>
      <c r="BF745" s="147"/>
      <c r="BG745" s="158">
        <v>-12</v>
      </c>
      <c r="BH745" s="402" t="s">
        <v>113</v>
      </c>
      <c r="BI745" s="98" t="s">
        <v>2267</v>
      </c>
      <c r="BJ745" s="145"/>
      <c r="BK745" s="160"/>
      <c r="BL745" s="36">
        <f>VLOOKUP($AP745,'[1]V1 V2'!$B$5:$BW$1894,74,0)</f>
        <v>0</v>
      </c>
      <c r="BM745" s="36" t="str">
        <f>IF('[1]V1 V2'!X744="","",'[1]V1 V2'!X744)</f>
        <v/>
      </c>
    </row>
    <row r="746" spans="1:65" ht="16" thickBot="1" x14ac:dyDescent="0.4">
      <c r="A746">
        <v>1</v>
      </c>
      <c r="B746" s="304"/>
      <c r="C746" s="305"/>
      <c r="D746" s="306"/>
      <c r="E746" s="36"/>
      <c r="F746" s="168"/>
      <c r="G746" s="169"/>
      <c r="H746" s="170"/>
      <c r="I746" s="57"/>
      <c r="J746" s="56"/>
      <c r="K746" s="171"/>
      <c r="L746" s="142"/>
      <c r="M746" s="172"/>
      <c r="N746" s="173"/>
      <c r="O746" s="174"/>
      <c r="P746" s="175"/>
      <c r="Q746" s="182"/>
      <c r="R746" s="182"/>
      <c r="S746" s="175"/>
      <c r="T746" s="173"/>
      <c r="U746" s="62"/>
      <c r="V746" s="177" t="s">
        <v>89</v>
      </c>
      <c r="W746" s="177" t="s">
        <v>89</v>
      </c>
      <c r="X746" s="230"/>
      <c r="Y746" s="177"/>
      <c r="Z746" s="178">
        <v>12</v>
      </c>
      <c r="AA746" s="297"/>
      <c r="AB746" s="21" t="s">
        <v>2</v>
      </c>
      <c r="AH746" s="63">
        <v>1</v>
      </c>
      <c r="AO746" s="10" t="s">
        <v>3</v>
      </c>
      <c r="AP746" s="297"/>
      <c r="AQ746" s="178">
        <v>12</v>
      </c>
      <c r="AR746" s="177"/>
      <c r="AS746" s="222"/>
      <c r="AT746" s="177" t="s">
        <v>89</v>
      </c>
      <c r="AU746" s="177" t="s">
        <v>89</v>
      </c>
      <c r="AV746" s="62"/>
      <c r="AW746" s="173"/>
      <c r="AX746" s="175"/>
      <c r="AY746" s="182"/>
      <c r="AZ746" s="182"/>
      <c r="BA746" s="175"/>
      <c r="BB746" s="180"/>
      <c r="BC746" s="172"/>
      <c r="BD746" s="172"/>
      <c r="BE746" s="142"/>
      <c r="BF746" s="171"/>
      <c r="BG746" s="56"/>
      <c r="BH746" s="57"/>
      <c r="BI746" s="170"/>
      <c r="BJ746" s="169"/>
      <c r="BK746" s="181"/>
      <c r="BL746" s="36"/>
      <c r="BM746" s="36" t="str">
        <f>IF('[1]V1 V2'!X745="","",'[1]V1 V2'!X745)</f>
        <v/>
      </c>
    </row>
    <row r="747" spans="1:65" ht="16" thickBot="1" x14ac:dyDescent="0.4">
      <c r="A747">
        <v>1</v>
      </c>
      <c r="B747" s="304" t="s">
        <v>2273</v>
      </c>
      <c r="C747" s="305"/>
      <c r="D747" s="306"/>
      <c r="E747" s="36">
        <f>VLOOKUP($B747,'[1]V1 V2'!$B$5:$BW$1894,74,0)</f>
        <v>0</v>
      </c>
      <c r="F747" s="168"/>
      <c r="G747" s="169"/>
      <c r="H747" s="170"/>
      <c r="I747" s="57"/>
      <c r="J747" s="56">
        <v>-4</v>
      </c>
      <c r="K747" s="171"/>
      <c r="L747" s="142">
        <v>3.8</v>
      </c>
      <c r="M747" s="172"/>
      <c r="N747" s="173"/>
      <c r="O747" s="174"/>
      <c r="P747" s="175"/>
      <c r="Q747" s="182" t="s">
        <v>100</v>
      </c>
      <c r="R747" s="182" t="s">
        <v>29</v>
      </c>
      <c r="S747" s="175"/>
      <c r="T747" s="173" t="s">
        <v>30</v>
      </c>
      <c r="U747" s="62"/>
      <c r="V747" s="177" t="s">
        <v>2274</v>
      </c>
      <c r="W747" s="177" t="s">
        <v>2275</v>
      </c>
      <c r="X747" s="177">
        <v>29435.429000000007</v>
      </c>
      <c r="Y747" s="177">
        <v>5367.6099999999969</v>
      </c>
      <c r="Z747" s="178"/>
      <c r="AA747" s="297" t="s">
        <v>2273</v>
      </c>
      <c r="AB747" s="21" t="s">
        <v>2</v>
      </c>
      <c r="AH747" s="63">
        <v>1</v>
      </c>
      <c r="AO747" s="10" t="s">
        <v>3</v>
      </c>
      <c r="AP747" s="297" t="s">
        <v>2276</v>
      </c>
      <c r="AQ747" s="178"/>
      <c r="AR747" s="177">
        <v>5367.61</v>
      </c>
      <c r="AS747" s="222">
        <f>AS745-AQ746</f>
        <v>29893.23899999999</v>
      </c>
      <c r="AT747" s="177" t="s">
        <v>2277</v>
      </c>
      <c r="AU747" s="177" t="s">
        <v>2278</v>
      </c>
      <c r="AV747" s="62"/>
      <c r="AW747" s="173" t="s">
        <v>30</v>
      </c>
      <c r="AX747" s="175"/>
      <c r="AY747" s="182" t="s">
        <v>29</v>
      </c>
      <c r="AZ747" s="182" t="s">
        <v>100</v>
      </c>
      <c r="BA747" s="175"/>
      <c r="BB747" s="180"/>
      <c r="BC747" s="172"/>
      <c r="BD747" s="172"/>
      <c r="BE747" s="142">
        <v>3.8</v>
      </c>
      <c r="BF747" s="171"/>
      <c r="BG747" s="56">
        <v>-4</v>
      </c>
      <c r="BH747" s="57"/>
      <c r="BI747" s="170"/>
      <c r="BJ747" s="169"/>
      <c r="BK747" s="181"/>
      <c r="BL747" s="36">
        <f>VLOOKUP($AP747,'[1]V1 V2'!$B$5:$BW$1894,74,0)</f>
        <v>0</v>
      </c>
      <c r="BM747" s="36" t="str">
        <f>IF('[1]V1 V2'!X746="","",'[1]V1 V2'!X746)</f>
        <v/>
      </c>
    </row>
    <row r="748" spans="1:65" ht="16" thickBot="1" x14ac:dyDescent="0.4">
      <c r="A748">
        <v>1</v>
      </c>
      <c r="B748" s="304"/>
      <c r="C748" s="305"/>
      <c r="D748" s="306"/>
      <c r="E748" s="36"/>
      <c r="F748" s="168"/>
      <c r="G748" s="169"/>
      <c r="H748" s="170"/>
      <c r="I748" s="57"/>
      <c r="J748" s="56"/>
      <c r="K748" s="171"/>
      <c r="L748" s="142"/>
      <c r="M748" s="172"/>
      <c r="N748" s="173"/>
      <c r="O748" s="174"/>
      <c r="P748" s="175"/>
      <c r="Q748" s="182"/>
      <c r="R748" s="182"/>
      <c r="S748" s="175"/>
      <c r="T748" s="173"/>
      <c r="U748" s="62"/>
      <c r="V748" s="177" t="s">
        <v>89</v>
      </c>
      <c r="W748" s="177" t="s">
        <v>89</v>
      </c>
      <c r="X748" s="230"/>
      <c r="Y748" s="177"/>
      <c r="Z748" s="178">
        <v>12</v>
      </c>
      <c r="AA748" s="297"/>
      <c r="AB748" s="21" t="s">
        <v>2</v>
      </c>
      <c r="AH748" s="63">
        <v>1</v>
      </c>
      <c r="AO748" s="10" t="s">
        <v>3</v>
      </c>
      <c r="AP748" s="297"/>
      <c r="AQ748" s="178">
        <v>12</v>
      </c>
      <c r="AR748" s="177"/>
      <c r="AS748" s="222"/>
      <c r="AT748" s="177" t="s">
        <v>89</v>
      </c>
      <c r="AU748" s="177" t="s">
        <v>89</v>
      </c>
      <c r="AV748" s="62"/>
      <c r="AW748" s="173"/>
      <c r="AX748" s="175"/>
      <c r="AY748" s="182"/>
      <c r="AZ748" s="182"/>
      <c r="BA748" s="175"/>
      <c r="BB748" s="180"/>
      <c r="BC748" s="172"/>
      <c r="BD748" s="172"/>
      <c r="BE748" s="142"/>
      <c r="BF748" s="171"/>
      <c r="BG748" s="56"/>
      <c r="BH748" s="57"/>
      <c r="BI748" s="170"/>
      <c r="BJ748" s="169"/>
      <c r="BK748" s="181"/>
      <c r="BL748" s="36"/>
      <c r="BM748" s="36" t="str">
        <f>IF('[1]V1 V2'!X747="","",'[1]V1 V2'!X747)</f>
        <v/>
      </c>
    </row>
    <row r="749" spans="1:65" ht="16" thickBot="1" x14ac:dyDescent="0.4">
      <c r="A749">
        <v>1</v>
      </c>
      <c r="B749" s="304" t="s">
        <v>2279</v>
      </c>
      <c r="C749" s="305"/>
      <c r="D749" s="306"/>
      <c r="E749" s="36">
        <f>VLOOKUP($B749,'[1]V1 V2'!$B$5:$BW$1894,74,0)</f>
        <v>0</v>
      </c>
      <c r="F749" s="168"/>
      <c r="G749" s="169"/>
      <c r="H749" s="170"/>
      <c r="I749" s="57"/>
      <c r="J749" s="56" t="s">
        <v>113</v>
      </c>
      <c r="K749" s="171"/>
      <c r="L749" s="142">
        <v>3.8</v>
      </c>
      <c r="M749" s="172"/>
      <c r="N749" s="173"/>
      <c r="O749" s="174"/>
      <c r="P749" s="175"/>
      <c r="Q749" s="182" t="s">
        <v>100</v>
      </c>
      <c r="R749" s="182" t="s">
        <v>29</v>
      </c>
      <c r="S749" s="175"/>
      <c r="T749" s="173" t="s">
        <v>30</v>
      </c>
      <c r="U749" s="62"/>
      <c r="V749" s="177" t="s">
        <v>2280</v>
      </c>
      <c r="W749" s="177" t="s">
        <v>2281</v>
      </c>
      <c r="X749" s="177">
        <v>29423.429000000007</v>
      </c>
      <c r="Y749" s="177">
        <v>5379.6099999999969</v>
      </c>
      <c r="Z749" s="178"/>
      <c r="AA749" s="297" t="s">
        <v>2279</v>
      </c>
      <c r="AB749" s="21" t="s">
        <v>2</v>
      </c>
      <c r="AH749" s="63">
        <v>1</v>
      </c>
      <c r="AO749" s="10" t="s">
        <v>3</v>
      </c>
      <c r="AP749" s="297" t="s">
        <v>2282</v>
      </c>
      <c r="AQ749" s="178"/>
      <c r="AR749" s="177">
        <v>5379.61</v>
      </c>
      <c r="AS749" s="222">
        <f>AS747-AQ748</f>
        <v>29881.23899999999</v>
      </c>
      <c r="AT749" s="177" t="s">
        <v>2283</v>
      </c>
      <c r="AU749" s="177" t="s">
        <v>2284</v>
      </c>
      <c r="AV749" s="62"/>
      <c r="AW749" s="173" t="s">
        <v>30</v>
      </c>
      <c r="AX749" s="175"/>
      <c r="AY749" s="182" t="s">
        <v>29</v>
      </c>
      <c r="AZ749" s="182" t="s">
        <v>100</v>
      </c>
      <c r="BA749" s="175"/>
      <c r="BB749" s="180"/>
      <c r="BC749" s="172"/>
      <c r="BD749" s="172"/>
      <c r="BE749" s="142">
        <v>3.8</v>
      </c>
      <c r="BF749" s="171"/>
      <c r="BG749" s="183" t="s">
        <v>113</v>
      </c>
      <c r="BH749" s="57"/>
      <c r="BI749" s="170"/>
      <c r="BJ749" s="169"/>
      <c r="BK749" s="181"/>
      <c r="BL749" s="36">
        <f>VLOOKUP($AP749,'[1]V1 V2'!$B$5:$BW$1894,74,0)</f>
        <v>0</v>
      </c>
      <c r="BM749" s="36" t="str">
        <f>IF('[1]V1 V2'!X748="","",'[1]V1 V2'!X748)</f>
        <v/>
      </c>
    </row>
    <row r="750" spans="1:65" ht="16" thickBot="1" x14ac:dyDescent="0.4">
      <c r="A750">
        <v>1</v>
      </c>
      <c r="B750" s="304"/>
      <c r="C750" s="305"/>
      <c r="D750" s="306"/>
      <c r="E750" s="36"/>
      <c r="F750" s="168"/>
      <c r="G750" s="169"/>
      <c r="H750" s="170"/>
      <c r="I750" s="57"/>
      <c r="J750" s="56"/>
      <c r="K750" s="171"/>
      <c r="L750" s="142"/>
      <c r="M750" s="172"/>
      <c r="N750" s="173"/>
      <c r="O750" s="174"/>
      <c r="P750" s="175"/>
      <c r="Q750" s="182"/>
      <c r="R750" s="182"/>
      <c r="S750" s="175"/>
      <c r="T750" s="173"/>
      <c r="U750" s="62"/>
      <c r="V750" s="177" t="s">
        <v>89</v>
      </c>
      <c r="W750" s="177" t="s">
        <v>89</v>
      </c>
      <c r="X750" s="230"/>
      <c r="Y750" s="177"/>
      <c r="Z750" s="178">
        <v>12</v>
      </c>
      <c r="AA750" s="297"/>
      <c r="AB750" s="21" t="s">
        <v>2</v>
      </c>
      <c r="AH750" s="63">
        <v>1</v>
      </c>
      <c r="AO750" s="10" t="s">
        <v>3</v>
      </c>
      <c r="AP750" s="297"/>
      <c r="AQ750" s="178">
        <v>12</v>
      </c>
      <c r="AR750" s="177"/>
      <c r="AS750" s="222"/>
      <c r="AT750" s="177" t="s">
        <v>89</v>
      </c>
      <c r="AU750" s="177" t="s">
        <v>89</v>
      </c>
      <c r="AV750" s="62"/>
      <c r="AW750" s="173"/>
      <c r="AX750" s="175"/>
      <c r="AY750" s="182"/>
      <c r="AZ750" s="182"/>
      <c r="BA750" s="175"/>
      <c r="BB750" s="180"/>
      <c r="BC750" s="172"/>
      <c r="BD750" s="172"/>
      <c r="BE750" s="142"/>
      <c r="BF750" s="171"/>
      <c r="BG750" s="56"/>
      <c r="BH750" s="57"/>
      <c r="BI750" s="170"/>
      <c r="BJ750" s="169"/>
      <c r="BK750" s="181"/>
      <c r="BL750" s="36"/>
      <c r="BM750" s="36" t="str">
        <f>IF('[1]V1 V2'!X749="","",'[1]V1 V2'!X749)</f>
        <v/>
      </c>
    </row>
    <row r="751" spans="1:65" ht="16" thickBot="1" x14ac:dyDescent="0.4">
      <c r="A751">
        <v>1</v>
      </c>
      <c r="B751" s="304" t="s">
        <v>2285</v>
      </c>
      <c r="C751" s="305"/>
      <c r="D751" s="306"/>
      <c r="E751" s="36">
        <f>VLOOKUP($B751,'[1]V1 V2'!$B$5:$BW$1894,74,0)</f>
        <v>0</v>
      </c>
      <c r="F751" s="168"/>
      <c r="G751" s="169"/>
      <c r="H751" s="170"/>
      <c r="I751" s="57"/>
      <c r="J751" s="56" t="s">
        <v>120</v>
      </c>
      <c r="K751" s="171"/>
      <c r="L751" s="142">
        <v>3.8</v>
      </c>
      <c r="M751" s="172"/>
      <c r="N751" s="173"/>
      <c r="O751" s="174"/>
      <c r="P751" s="175"/>
      <c r="Q751" s="182" t="s">
        <v>100</v>
      </c>
      <c r="R751" s="182" t="s">
        <v>29</v>
      </c>
      <c r="S751" s="175"/>
      <c r="T751" s="173" t="s">
        <v>30</v>
      </c>
      <c r="U751" s="62"/>
      <c r="V751" s="177" t="s">
        <v>2286</v>
      </c>
      <c r="W751" s="177" t="s">
        <v>2287</v>
      </c>
      <c r="X751" s="177">
        <v>29411.429000000007</v>
      </c>
      <c r="Y751" s="177">
        <v>5391.6099999999969</v>
      </c>
      <c r="Z751" s="178"/>
      <c r="AA751" s="297" t="s">
        <v>2285</v>
      </c>
      <c r="AB751" s="21" t="s">
        <v>2</v>
      </c>
      <c r="AH751" s="63">
        <v>1</v>
      </c>
      <c r="AO751" s="10" t="s">
        <v>3</v>
      </c>
      <c r="AP751" s="297" t="s">
        <v>2288</v>
      </c>
      <c r="AQ751" s="178"/>
      <c r="AR751" s="177">
        <v>5391.61</v>
      </c>
      <c r="AS751" s="222">
        <f>AS749-AQ750</f>
        <v>29869.23899999999</v>
      </c>
      <c r="AT751" s="177" t="s">
        <v>2289</v>
      </c>
      <c r="AU751" s="177" t="s">
        <v>2290</v>
      </c>
      <c r="AV751" s="62"/>
      <c r="AW751" s="173" t="s">
        <v>30</v>
      </c>
      <c r="AX751" s="175"/>
      <c r="AY751" s="182" t="s">
        <v>29</v>
      </c>
      <c r="AZ751" s="182" t="s">
        <v>100</v>
      </c>
      <c r="BA751" s="175"/>
      <c r="BB751" s="180"/>
      <c r="BC751" s="172"/>
      <c r="BD751" s="172"/>
      <c r="BE751" s="142">
        <v>3.8</v>
      </c>
      <c r="BF751" s="171"/>
      <c r="BG751" s="183" t="s">
        <v>120</v>
      </c>
      <c r="BH751" s="57"/>
      <c r="BI751" s="170"/>
      <c r="BJ751" s="169"/>
      <c r="BK751" s="181"/>
      <c r="BL751" s="36">
        <f>VLOOKUP($AP751,'[1]V1 V2'!$B$5:$BW$1894,74,0)</f>
        <v>0</v>
      </c>
      <c r="BM751" s="36" t="str">
        <f>IF('[1]V1 V2'!X750="","",'[1]V1 V2'!X750)</f>
        <v/>
      </c>
    </row>
    <row r="752" spans="1:65" ht="16" thickBot="1" x14ac:dyDescent="0.4">
      <c r="A752">
        <v>1</v>
      </c>
      <c r="B752" s="304"/>
      <c r="C752" s="305"/>
      <c r="D752" s="306"/>
      <c r="E752" s="36"/>
      <c r="F752" s="168"/>
      <c r="G752" s="169"/>
      <c r="H752" s="170"/>
      <c r="I752" s="57"/>
      <c r="J752" s="56"/>
      <c r="K752" s="171"/>
      <c r="L752" s="142"/>
      <c r="M752" s="172"/>
      <c r="N752" s="173"/>
      <c r="O752" s="174"/>
      <c r="P752" s="175"/>
      <c r="Q752" s="182"/>
      <c r="R752" s="182"/>
      <c r="S752" s="175"/>
      <c r="T752" s="173"/>
      <c r="U752" s="62"/>
      <c r="V752" s="177" t="s">
        <v>89</v>
      </c>
      <c r="W752" s="177" t="s">
        <v>89</v>
      </c>
      <c r="X752" s="230"/>
      <c r="Y752" s="177"/>
      <c r="Z752" s="178">
        <v>12</v>
      </c>
      <c r="AA752" s="297"/>
      <c r="AB752" s="21" t="s">
        <v>2</v>
      </c>
      <c r="AH752" s="63">
        <v>1</v>
      </c>
      <c r="AO752" s="10" t="s">
        <v>3</v>
      </c>
      <c r="AP752" s="297"/>
      <c r="AQ752" s="178">
        <v>12</v>
      </c>
      <c r="AR752" s="177"/>
      <c r="AS752" s="222"/>
      <c r="AT752" s="177" t="s">
        <v>89</v>
      </c>
      <c r="AU752" s="177" t="s">
        <v>89</v>
      </c>
      <c r="AV752" s="62"/>
      <c r="AW752" s="173"/>
      <c r="AX752" s="175"/>
      <c r="AY752" s="182"/>
      <c r="AZ752" s="182"/>
      <c r="BA752" s="175"/>
      <c r="BB752" s="180"/>
      <c r="BC752" s="172"/>
      <c r="BD752" s="172"/>
      <c r="BE752" s="142"/>
      <c r="BF752" s="171"/>
      <c r="BG752" s="56"/>
      <c r="BH752" s="57"/>
      <c r="BI752" s="170"/>
      <c r="BJ752" s="169"/>
      <c r="BK752" s="181"/>
      <c r="BL752" s="36"/>
      <c r="BM752" s="36" t="str">
        <f>IF('[1]V1 V2'!X751="","",'[1]V1 V2'!X751)</f>
        <v/>
      </c>
    </row>
    <row r="753" spans="1:65" ht="16" thickBot="1" x14ac:dyDescent="0.4">
      <c r="A753">
        <v>1</v>
      </c>
      <c r="B753" s="304" t="s">
        <v>2291</v>
      </c>
      <c r="C753" s="305"/>
      <c r="D753" s="306"/>
      <c r="E753" s="36">
        <f>VLOOKUP($B753,'[1]V1 V2'!$B$5:$BW$1894,74,0)</f>
        <v>0</v>
      </c>
      <c r="F753" s="168"/>
      <c r="G753" s="169"/>
      <c r="H753" s="170"/>
      <c r="I753" s="57"/>
      <c r="J753" s="56" t="s">
        <v>127</v>
      </c>
      <c r="K753" s="171"/>
      <c r="L753" s="142">
        <v>3.8</v>
      </c>
      <c r="M753" s="172"/>
      <c r="N753" s="173"/>
      <c r="O753" s="174"/>
      <c r="P753" s="175"/>
      <c r="Q753" s="182" t="s">
        <v>100</v>
      </c>
      <c r="R753" s="182" t="s">
        <v>29</v>
      </c>
      <c r="S753" s="175"/>
      <c r="T753" s="173" t="s">
        <v>30</v>
      </c>
      <c r="U753" s="62"/>
      <c r="V753" s="177" t="s">
        <v>2292</v>
      </c>
      <c r="W753" s="177" t="s">
        <v>2293</v>
      </c>
      <c r="X753" s="177">
        <v>29399.429000000007</v>
      </c>
      <c r="Y753" s="177">
        <v>5403.6099999999969</v>
      </c>
      <c r="Z753" s="178"/>
      <c r="AA753" s="297" t="s">
        <v>2291</v>
      </c>
      <c r="AB753" s="21" t="s">
        <v>2</v>
      </c>
      <c r="AH753" s="63">
        <v>1</v>
      </c>
      <c r="AO753" s="10" t="s">
        <v>3</v>
      </c>
      <c r="AP753" s="297" t="s">
        <v>2294</v>
      </c>
      <c r="AQ753" s="178"/>
      <c r="AR753" s="177">
        <v>5403.61</v>
      </c>
      <c r="AS753" s="222">
        <f>AS751-AQ752</f>
        <v>29857.23899999999</v>
      </c>
      <c r="AT753" s="177" t="s">
        <v>2295</v>
      </c>
      <c r="AU753" s="177" t="s">
        <v>2296</v>
      </c>
      <c r="AV753" s="62"/>
      <c r="AW753" s="173" t="s">
        <v>30</v>
      </c>
      <c r="AX753" s="175"/>
      <c r="AY753" s="182" t="s">
        <v>29</v>
      </c>
      <c r="AZ753" s="182" t="s">
        <v>100</v>
      </c>
      <c r="BA753" s="175"/>
      <c r="BB753" s="180"/>
      <c r="BC753" s="172"/>
      <c r="BD753" s="172"/>
      <c r="BE753" s="142">
        <v>3.8</v>
      </c>
      <c r="BF753" s="171"/>
      <c r="BG753" s="183" t="s">
        <v>127</v>
      </c>
      <c r="BH753" s="57"/>
      <c r="BI753" s="170"/>
      <c r="BJ753" s="169"/>
      <c r="BK753" s="181"/>
      <c r="BL753" s="36">
        <f>VLOOKUP($AP753,'[1]V1 V2'!$B$5:$BW$1894,74,0)</f>
        <v>0</v>
      </c>
      <c r="BM753" s="36" t="str">
        <f>IF('[1]V1 V2'!X752="","",'[1]V1 V2'!X752)</f>
        <v/>
      </c>
    </row>
    <row r="754" spans="1:65" ht="44" thickBot="1" x14ac:dyDescent="0.4">
      <c r="A754">
        <v>1</v>
      </c>
      <c r="B754" s="227" t="s">
        <v>2297</v>
      </c>
      <c r="C754" s="228"/>
      <c r="D754" s="229"/>
      <c r="E754" s="36">
        <f>VLOOKUP($B754,'[1]V1 V2'!$B$5:$BW$1894,74,0)</f>
        <v>0</v>
      </c>
      <c r="F754" s="168"/>
      <c r="G754" s="169"/>
      <c r="H754" s="170"/>
      <c r="I754" s="57"/>
      <c r="J754" s="56"/>
      <c r="K754" s="171"/>
      <c r="L754" s="142"/>
      <c r="M754" s="172"/>
      <c r="N754" s="173"/>
      <c r="O754" s="174"/>
      <c r="P754" s="175"/>
      <c r="Q754" s="182"/>
      <c r="R754" s="182"/>
      <c r="S754" s="175"/>
      <c r="T754" s="173"/>
      <c r="U754" s="62"/>
      <c r="V754" s="177"/>
      <c r="W754" s="177"/>
      <c r="X754" s="230"/>
      <c r="Y754" s="177"/>
      <c r="Z754" s="178">
        <v>12</v>
      </c>
      <c r="AA754" s="231" t="s">
        <v>2297</v>
      </c>
      <c r="AB754" s="21" t="s">
        <v>2</v>
      </c>
      <c r="AC754" s="163"/>
      <c r="AD754" s="163"/>
      <c r="AE754" s="163"/>
      <c r="AF754" s="163"/>
      <c r="AG754" s="163"/>
      <c r="AH754" s="164">
        <v>1</v>
      </c>
      <c r="AI754" s="163"/>
      <c r="AJ754" s="163"/>
      <c r="AK754" s="163"/>
      <c r="AL754" s="163"/>
      <c r="AM754" s="163"/>
      <c r="AN754" s="163"/>
      <c r="AO754" s="10" t="s">
        <v>3</v>
      </c>
      <c r="AP754" s="231" t="s">
        <v>2297</v>
      </c>
      <c r="AQ754" s="178">
        <v>12</v>
      </c>
      <c r="AR754" s="177"/>
      <c r="AS754" s="222"/>
      <c r="AT754" s="177"/>
      <c r="AU754" s="177"/>
      <c r="AV754" s="62"/>
      <c r="AW754" s="173"/>
      <c r="AX754" s="175"/>
      <c r="AY754" s="182"/>
      <c r="AZ754" s="182"/>
      <c r="BA754" s="175"/>
      <c r="BB754" s="180"/>
      <c r="BC754" s="172"/>
      <c r="BD754" s="172"/>
      <c r="BE754" s="142"/>
      <c r="BF754" s="171"/>
      <c r="BG754" s="56"/>
      <c r="BH754" s="57"/>
      <c r="BI754" s="170"/>
      <c r="BJ754" s="169"/>
      <c r="BK754" s="181"/>
      <c r="BL754" s="36">
        <f>VLOOKUP($AP754,'[1]V1 V2'!$B$5:$BW$1894,74,0)</f>
        <v>0</v>
      </c>
      <c r="BM754" s="36" t="str">
        <f>IF('[1]V1 V2'!X753="","",'[1]V1 V2'!X753)</f>
        <v/>
      </c>
    </row>
    <row r="755" spans="1:65" ht="16" thickBot="1" x14ac:dyDescent="0.4">
      <c r="A755">
        <v>1</v>
      </c>
      <c r="B755" s="304" t="s">
        <v>2298</v>
      </c>
      <c r="C755" s="305"/>
      <c r="D755" s="306"/>
      <c r="E755" s="36">
        <f>VLOOKUP($B755,'[1]V1 V2'!$B$5:$BW$1894,74,0)</f>
        <v>0</v>
      </c>
      <c r="F755" s="168"/>
      <c r="G755" s="169"/>
      <c r="H755" s="170"/>
      <c r="I755" s="57"/>
      <c r="J755" s="56" t="s">
        <v>120</v>
      </c>
      <c r="K755" s="171"/>
      <c r="L755" s="142">
        <v>3.8</v>
      </c>
      <c r="M755" s="172"/>
      <c r="N755" s="173"/>
      <c r="O755" s="174"/>
      <c r="P755" s="175"/>
      <c r="Q755" s="182" t="s">
        <v>100</v>
      </c>
      <c r="R755" s="182" t="s">
        <v>29</v>
      </c>
      <c r="S755" s="175"/>
      <c r="T755" s="173" t="s">
        <v>30</v>
      </c>
      <c r="U755" s="62"/>
      <c r="V755" s="177" t="s">
        <v>2299</v>
      </c>
      <c r="W755" s="177" t="s">
        <v>2300</v>
      </c>
      <c r="X755" s="177">
        <v>29387.429000000007</v>
      </c>
      <c r="Y755" s="177">
        <v>5415.6099999999969</v>
      </c>
      <c r="Z755" s="178"/>
      <c r="AA755" s="297" t="s">
        <v>2298</v>
      </c>
      <c r="AB755" s="21" t="s">
        <v>2</v>
      </c>
      <c r="AC755" s="113"/>
      <c r="AD755" s="113"/>
      <c r="AE755" s="113"/>
      <c r="AF755" s="113"/>
      <c r="AG755" s="113"/>
      <c r="AH755" s="166">
        <f>Y754</f>
        <v>0</v>
      </c>
      <c r="AI755" s="113"/>
      <c r="AJ755" s="113"/>
      <c r="AK755" s="113"/>
      <c r="AL755" s="113"/>
      <c r="AM755" s="113"/>
      <c r="AN755" s="113"/>
      <c r="AO755" s="10" t="s">
        <v>3</v>
      </c>
      <c r="AP755" s="297" t="s">
        <v>2301</v>
      </c>
      <c r="AQ755" s="178"/>
      <c r="AR755" s="177">
        <v>5415.61</v>
      </c>
      <c r="AS755" s="222">
        <f>AS753-AQ754</f>
        <v>29845.23899999999</v>
      </c>
      <c r="AT755" s="177" t="s">
        <v>2302</v>
      </c>
      <c r="AU755" s="177" t="s">
        <v>2303</v>
      </c>
      <c r="AV755" s="62"/>
      <c r="AW755" s="173" t="s">
        <v>30</v>
      </c>
      <c r="AX755" s="175"/>
      <c r="AY755" s="182" t="s">
        <v>29</v>
      </c>
      <c r="AZ755" s="182" t="s">
        <v>100</v>
      </c>
      <c r="BA755" s="175"/>
      <c r="BB755" s="180"/>
      <c r="BC755" s="172"/>
      <c r="BD755" s="172"/>
      <c r="BE755" s="142">
        <v>3.8</v>
      </c>
      <c r="BF755" s="171"/>
      <c r="BG755" s="183" t="s">
        <v>120</v>
      </c>
      <c r="BH755" s="57"/>
      <c r="BI755" s="170"/>
      <c r="BJ755" s="169"/>
      <c r="BK755" s="181"/>
      <c r="BL755" s="36">
        <f>VLOOKUP($AP755,'[1]V1 V2'!$B$5:$BW$1894,74,0)</f>
        <v>0</v>
      </c>
      <c r="BM755" s="36" t="str">
        <f>IF('[1]V1 V2'!X754="","",'[1]V1 V2'!X754)</f>
        <v/>
      </c>
    </row>
    <row r="756" spans="1:65" ht="16" thickBot="1" x14ac:dyDescent="0.4">
      <c r="A756">
        <v>1</v>
      </c>
      <c r="B756" s="304"/>
      <c r="C756" s="305"/>
      <c r="D756" s="306"/>
      <c r="E756" s="36"/>
      <c r="F756" s="168"/>
      <c r="G756" s="169"/>
      <c r="H756" s="170"/>
      <c r="I756" s="57"/>
      <c r="J756" s="56"/>
      <c r="K756" s="171"/>
      <c r="L756" s="142"/>
      <c r="M756" s="172"/>
      <c r="N756" s="173"/>
      <c r="O756" s="174"/>
      <c r="P756" s="175"/>
      <c r="Q756" s="182"/>
      <c r="R756" s="182"/>
      <c r="S756" s="175"/>
      <c r="T756" s="173"/>
      <c r="U756" s="62"/>
      <c r="V756" s="177"/>
      <c r="W756" s="177"/>
      <c r="X756" s="230"/>
      <c r="Y756" s="177"/>
      <c r="Z756" s="178">
        <v>12</v>
      </c>
      <c r="AA756" s="297"/>
      <c r="AB756" s="21" t="s">
        <v>2</v>
      </c>
      <c r="AH756" s="63">
        <v>1</v>
      </c>
      <c r="AO756" s="10" t="s">
        <v>3</v>
      </c>
      <c r="AP756" s="297"/>
      <c r="AQ756" s="178">
        <v>12</v>
      </c>
      <c r="AR756" s="177"/>
      <c r="AS756" s="222"/>
      <c r="AT756" s="177" t="s">
        <v>89</v>
      </c>
      <c r="AU756" s="177" t="s">
        <v>89</v>
      </c>
      <c r="AV756" s="62"/>
      <c r="AW756" s="173"/>
      <c r="AX756" s="175"/>
      <c r="AY756" s="182"/>
      <c r="AZ756" s="182"/>
      <c r="BA756" s="175"/>
      <c r="BB756" s="180"/>
      <c r="BC756" s="172"/>
      <c r="BD756" s="172"/>
      <c r="BE756" s="142"/>
      <c r="BF756" s="171"/>
      <c r="BG756" s="56"/>
      <c r="BH756" s="57"/>
      <c r="BI756" s="170"/>
      <c r="BJ756" s="169"/>
      <c r="BK756" s="181"/>
      <c r="BL756" s="36"/>
      <c r="BM756" s="36" t="str">
        <f>IF('[1]V1 V2'!X755="","",'[1]V1 V2'!X755)</f>
        <v/>
      </c>
    </row>
    <row r="757" spans="1:65" ht="16" thickBot="1" x14ac:dyDescent="0.4">
      <c r="A757">
        <v>1</v>
      </c>
      <c r="B757" s="304" t="s">
        <v>2304</v>
      </c>
      <c r="C757" s="305"/>
      <c r="D757" s="306"/>
      <c r="E757" s="36">
        <f>VLOOKUP($B757,'[1]V1 V2'!$B$5:$BW$1894,74,0)</f>
        <v>0</v>
      </c>
      <c r="F757" s="168"/>
      <c r="G757" s="169"/>
      <c r="H757" s="170"/>
      <c r="I757" s="57"/>
      <c r="J757" s="56" t="s">
        <v>113</v>
      </c>
      <c r="K757" s="171"/>
      <c r="L757" s="142">
        <v>3.8</v>
      </c>
      <c r="M757" s="172"/>
      <c r="N757" s="173"/>
      <c r="O757" s="174"/>
      <c r="P757" s="175"/>
      <c r="Q757" s="182" t="s">
        <v>100</v>
      </c>
      <c r="R757" s="182" t="s">
        <v>29</v>
      </c>
      <c r="S757" s="175"/>
      <c r="T757" s="173" t="s">
        <v>30</v>
      </c>
      <c r="U757" s="62"/>
      <c r="V757" s="177" t="s">
        <v>2305</v>
      </c>
      <c r="W757" s="177" t="s">
        <v>2306</v>
      </c>
      <c r="X757" s="177">
        <v>29375.429000000007</v>
      </c>
      <c r="Y757" s="177">
        <v>5427.6099999999969</v>
      </c>
      <c r="Z757" s="178"/>
      <c r="AA757" s="297" t="s">
        <v>2304</v>
      </c>
      <c r="AB757" s="21" t="s">
        <v>2</v>
      </c>
      <c r="AH757" s="63">
        <v>1</v>
      </c>
      <c r="AO757" s="10" t="s">
        <v>3</v>
      </c>
      <c r="AP757" s="297" t="s">
        <v>2307</v>
      </c>
      <c r="AQ757" s="178"/>
      <c r="AR757" s="177">
        <v>5427.61</v>
      </c>
      <c r="AS757" s="222">
        <f>AS755-AQ756</f>
        <v>29833.23899999999</v>
      </c>
      <c r="AT757" s="177" t="s">
        <v>2308</v>
      </c>
      <c r="AU757" s="177" t="s">
        <v>2309</v>
      </c>
      <c r="AV757" s="62"/>
      <c r="AW757" s="173" t="s">
        <v>30</v>
      </c>
      <c r="AX757" s="175"/>
      <c r="AY757" s="182" t="s">
        <v>29</v>
      </c>
      <c r="AZ757" s="182" t="s">
        <v>100</v>
      </c>
      <c r="BA757" s="175"/>
      <c r="BB757" s="180"/>
      <c r="BC757" s="172"/>
      <c r="BD757" s="172"/>
      <c r="BE757" s="142">
        <v>3.8</v>
      </c>
      <c r="BF757" s="171"/>
      <c r="BG757" s="183" t="s">
        <v>113</v>
      </c>
      <c r="BH757" s="57"/>
      <c r="BI757" s="170"/>
      <c r="BJ757" s="169"/>
      <c r="BK757" s="181"/>
      <c r="BL757" s="36">
        <f>VLOOKUP($AP757,'[1]V1 V2'!$B$5:$BW$1894,74,0)</f>
        <v>0</v>
      </c>
      <c r="BM757" s="36" t="str">
        <f>IF('[1]V1 V2'!X756="","",'[1]V1 V2'!X756)</f>
        <v/>
      </c>
    </row>
    <row r="758" spans="1:65" ht="16" thickBot="1" x14ac:dyDescent="0.4">
      <c r="A758">
        <v>1</v>
      </c>
      <c r="B758" s="304"/>
      <c r="C758" s="305"/>
      <c r="D758" s="306"/>
      <c r="E758" s="36"/>
      <c r="F758" s="168"/>
      <c r="G758" s="169"/>
      <c r="H758" s="170"/>
      <c r="I758" s="57"/>
      <c r="J758" s="56"/>
      <c r="K758" s="171"/>
      <c r="L758" s="142"/>
      <c r="M758" s="172"/>
      <c r="N758" s="173"/>
      <c r="O758" s="174"/>
      <c r="P758" s="175"/>
      <c r="Q758" s="182"/>
      <c r="R758" s="182"/>
      <c r="S758" s="175"/>
      <c r="T758" s="173"/>
      <c r="U758" s="62"/>
      <c r="V758" s="177" t="s">
        <v>89</v>
      </c>
      <c r="W758" s="177" t="s">
        <v>89</v>
      </c>
      <c r="X758" s="230"/>
      <c r="Y758" s="177"/>
      <c r="Z758" s="178">
        <v>12</v>
      </c>
      <c r="AA758" s="297"/>
      <c r="AB758" s="21" t="s">
        <v>2</v>
      </c>
      <c r="AH758" s="63">
        <v>1</v>
      </c>
      <c r="AO758" s="10" t="s">
        <v>3</v>
      </c>
      <c r="AP758" s="297"/>
      <c r="AQ758" s="178">
        <v>12</v>
      </c>
      <c r="AR758" s="177"/>
      <c r="AS758" s="222"/>
      <c r="AT758" s="177" t="s">
        <v>89</v>
      </c>
      <c r="AU758" s="177" t="s">
        <v>89</v>
      </c>
      <c r="AV758" s="62"/>
      <c r="AW758" s="173"/>
      <c r="AX758" s="175"/>
      <c r="AY758" s="182"/>
      <c r="AZ758" s="182"/>
      <c r="BA758" s="175"/>
      <c r="BB758" s="180"/>
      <c r="BC758" s="172"/>
      <c r="BD758" s="172"/>
      <c r="BE758" s="142"/>
      <c r="BF758" s="171"/>
      <c r="BG758" s="56"/>
      <c r="BH758" s="57"/>
      <c r="BI758" s="170"/>
      <c r="BJ758" s="169"/>
      <c r="BK758" s="181"/>
      <c r="BL758" s="36"/>
      <c r="BM758" s="36" t="str">
        <f>IF('[1]V1 V2'!X757="","",'[1]V1 V2'!X757)</f>
        <v/>
      </c>
    </row>
    <row r="759" spans="1:65" ht="16" thickBot="1" x14ac:dyDescent="0.4">
      <c r="A759">
        <v>1</v>
      </c>
      <c r="B759" s="304" t="s">
        <v>2310</v>
      </c>
      <c r="C759" s="305"/>
      <c r="D759" s="306"/>
      <c r="E759" s="36">
        <f>VLOOKUP($B759,'[1]V1 V2'!$B$5:$BW$1894,74,0)</f>
        <v>0</v>
      </c>
      <c r="F759" s="168"/>
      <c r="G759" s="169"/>
      <c r="H759" s="170"/>
      <c r="I759" s="57"/>
      <c r="J759" s="56">
        <v>-4</v>
      </c>
      <c r="K759" s="171"/>
      <c r="L759" s="142">
        <v>3.8</v>
      </c>
      <c r="M759" s="172"/>
      <c r="N759" s="173"/>
      <c r="O759" s="174"/>
      <c r="P759" s="175"/>
      <c r="Q759" s="182" t="s">
        <v>100</v>
      </c>
      <c r="R759" s="182" t="s">
        <v>29</v>
      </c>
      <c r="S759" s="175"/>
      <c r="T759" s="173" t="s">
        <v>30</v>
      </c>
      <c r="U759" s="62"/>
      <c r="V759" s="177" t="s">
        <v>2311</v>
      </c>
      <c r="W759" s="177" t="s">
        <v>2312</v>
      </c>
      <c r="X759" s="177">
        <v>29363.429000000007</v>
      </c>
      <c r="Y759" s="177">
        <v>5439.6099999999969</v>
      </c>
      <c r="Z759" s="178"/>
      <c r="AA759" s="297" t="s">
        <v>2310</v>
      </c>
      <c r="AB759" s="21" t="s">
        <v>2</v>
      </c>
      <c r="AH759" s="63">
        <v>1</v>
      </c>
      <c r="AO759" s="10" t="s">
        <v>3</v>
      </c>
      <c r="AP759" s="297" t="s">
        <v>2313</v>
      </c>
      <c r="AQ759" s="178"/>
      <c r="AR759" s="177">
        <v>5439.61</v>
      </c>
      <c r="AS759" s="222">
        <f>AS757-AQ758</f>
        <v>29821.23899999999</v>
      </c>
      <c r="AT759" s="177" t="s">
        <v>2314</v>
      </c>
      <c r="AU759" s="177" t="s">
        <v>2315</v>
      </c>
      <c r="AV759" s="62"/>
      <c r="AW759" s="173" t="s">
        <v>30</v>
      </c>
      <c r="AX759" s="175"/>
      <c r="AY759" s="182" t="s">
        <v>29</v>
      </c>
      <c r="AZ759" s="182" t="s">
        <v>100</v>
      </c>
      <c r="BA759" s="175"/>
      <c r="BB759" s="180"/>
      <c r="BC759" s="172"/>
      <c r="BD759" s="172"/>
      <c r="BE759" s="142">
        <v>3.8</v>
      </c>
      <c r="BF759" s="171"/>
      <c r="BG759" s="56">
        <v>-4</v>
      </c>
      <c r="BH759" s="57"/>
      <c r="BI759" s="170"/>
      <c r="BJ759" s="169"/>
      <c r="BK759" s="181"/>
      <c r="BL759" s="36">
        <f>VLOOKUP($AP759,'[1]V1 V2'!$B$5:$BW$1894,74,0)</f>
        <v>0</v>
      </c>
      <c r="BM759" s="36" t="str">
        <f>IF('[1]V1 V2'!X758="","",'[1]V1 V2'!X758)</f>
        <v/>
      </c>
    </row>
    <row r="760" spans="1:65" ht="16" thickBot="1" x14ac:dyDescent="0.4">
      <c r="A760">
        <v>1</v>
      </c>
      <c r="B760" s="304"/>
      <c r="C760" s="305"/>
      <c r="D760" s="306"/>
      <c r="E760" s="36"/>
      <c r="F760" s="168"/>
      <c r="G760" s="169"/>
      <c r="H760" s="170"/>
      <c r="I760" s="57"/>
      <c r="J760" s="56"/>
      <c r="K760" s="171"/>
      <c r="L760" s="142"/>
      <c r="M760" s="172"/>
      <c r="N760" s="173"/>
      <c r="O760" s="174"/>
      <c r="P760" s="175"/>
      <c r="Q760" s="182"/>
      <c r="R760" s="182"/>
      <c r="S760" s="175"/>
      <c r="T760" s="173"/>
      <c r="U760" s="62"/>
      <c r="V760" s="177" t="s">
        <v>89</v>
      </c>
      <c r="W760" s="177" t="s">
        <v>89</v>
      </c>
      <c r="X760" s="230"/>
      <c r="Y760" s="177"/>
      <c r="Z760" s="178">
        <v>12</v>
      </c>
      <c r="AA760" s="297"/>
      <c r="AB760" s="21" t="s">
        <v>2</v>
      </c>
      <c r="AH760" s="63">
        <v>1</v>
      </c>
      <c r="AO760" s="10" t="s">
        <v>3</v>
      </c>
      <c r="AP760" s="297"/>
      <c r="AQ760" s="178">
        <v>12</v>
      </c>
      <c r="AR760" s="177"/>
      <c r="AS760" s="222"/>
      <c r="AT760" s="177" t="s">
        <v>89</v>
      </c>
      <c r="AU760" s="177" t="s">
        <v>89</v>
      </c>
      <c r="AV760" s="62"/>
      <c r="AW760" s="173"/>
      <c r="AX760" s="175"/>
      <c r="AY760" s="182"/>
      <c r="AZ760" s="182"/>
      <c r="BA760" s="175"/>
      <c r="BB760" s="180"/>
      <c r="BC760" s="172"/>
      <c r="BD760" s="172"/>
      <c r="BE760" s="142"/>
      <c r="BF760" s="171"/>
      <c r="BG760" s="56"/>
      <c r="BH760" s="57"/>
      <c r="BI760" s="170"/>
      <c r="BJ760" s="169"/>
      <c r="BK760" s="181"/>
      <c r="BL760" s="36"/>
      <c r="BM760" s="36" t="str">
        <f>IF('[1]V1 V2'!X759="","",'[1]V1 V2'!X759)</f>
        <v/>
      </c>
    </row>
    <row r="761" spans="1:65" ht="16" thickBot="1" x14ac:dyDescent="0.4">
      <c r="A761">
        <v>1</v>
      </c>
      <c r="B761" s="304" t="s">
        <v>2316</v>
      </c>
      <c r="C761" s="305"/>
      <c r="D761" s="306"/>
      <c r="E761" s="36">
        <f>VLOOKUP($B761,'[1]V1 V2'!$B$5:$BW$1894,74,0)</f>
        <v>0</v>
      </c>
      <c r="F761" s="168"/>
      <c r="G761" s="169"/>
      <c r="H761" s="170"/>
      <c r="I761" s="57"/>
      <c r="J761" s="56">
        <v>-12</v>
      </c>
      <c r="K761" s="171"/>
      <c r="L761" s="142">
        <v>3.8</v>
      </c>
      <c r="M761" s="172"/>
      <c r="N761" s="173"/>
      <c r="O761" s="174"/>
      <c r="P761" s="175"/>
      <c r="Q761" s="182" t="s">
        <v>100</v>
      </c>
      <c r="R761" s="182" t="s">
        <v>29</v>
      </c>
      <c r="S761" s="175"/>
      <c r="T761" s="173" t="s">
        <v>30</v>
      </c>
      <c r="U761" s="62"/>
      <c r="V761" s="177" t="s">
        <v>2317</v>
      </c>
      <c r="W761" s="177" t="s">
        <v>2318</v>
      </c>
      <c r="X761" s="177">
        <v>29351.429000000007</v>
      </c>
      <c r="Y761" s="177">
        <v>5451.6099999999969</v>
      </c>
      <c r="Z761" s="178"/>
      <c r="AA761" s="297" t="s">
        <v>2316</v>
      </c>
      <c r="AB761" s="21" t="s">
        <v>2</v>
      </c>
      <c r="AH761" s="63">
        <v>1</v>
      </c>
      <c r="AO761" s="10" t="s">
        <v>3</v>
      </c>
      <c r="AP761" s="297" t="s">
        <v>2319</v>
      </c>
      <c r="AQ761" s="178"/>
      <c r="AR761" s="177">
        <v>5451.61</v>
      </c>
      <c r="AS761" s="222">
        <f>AS759-AQ760</f>
        <v>29809.23899999999</v>
      </c>
      <c r="AT761" s="177" t="s">
        <v>2320</v>
      </c>
      <c r="AU761" s="177" t="s">
        <v>2321</v>
      </c>
      <c r="AV761" s="62"/>
      <c r="AW761" s="173" t="s">
        <v>30</v>
      </c>
      <c r="AX761" s="175"/>
      <c r="AY761" s="182" t="s">
        <v>29</v>
      </c>
      <c r="AZ761" s="182" t="s">
        <v>100</v>
      </c>
      <c r="BA761" s="175"/>
      <c r="BB761" s="180"/>
      <c r="BC761" s="172"/>
      <c r="BD761" s="172"/>
      <c r="BE761" s="142">
        <v>3.8</v>
      </c>
      <c r="BF761" s="171"/>
      <c r="BG761" s="56">
        <v>-12</v>
      </c>
      <c r="BH761" s="57"/>
      <c r="BI761" s="170"/>
      <c r="BJ761" s="169"/>
      <c r="BK761" s="181"/>
      <c r="BL761" s="36">
        <f>VLOOKUP($AP761,'[1]V1 V2'!$B$5:$BW$1894,74,0)</f>
        <v>0</v>
      </c>
      <c r="BM761" s="36" t="str">
        <f>IF('[1]V1 V2'!X760="","",'[1]V1 V2'!X760)</f>
        <v/>
      </c>
    </row>
    <row r="762" spans="1:65" ht="16" thickBot="1" x14ac:dyDescent="0.4">
      <c r="A762">
        <v>1</v>
      </c>
      <c r="B762" s="304"/>
      <c r="C762" s="305"/>
      <c r="D762" s="306"/>
      <c r="E762" s="36"/>
      <c r="F762" s="168"/>
      <c r="G762" s="169"/>
      <c r="H762" s="170"/>
      <c r="I762" s="57"/>
      <c r="J762" s="56"/>
      <c r="K762" s="171"/>
      <c r="L762" s="142"/>
      <c r="M762" s="172"/>
      <c r="N762" s="173"/>
      <c r="O762" s="174"/>
      <c r="P762" s="175"/>
      <c r="Q762" s="182"/>
      <c r="R762" s="182"/>
      <c r="S762" s="175"/>
      <c r="T762" s="173"/>
      <c r="U762" s="62"/>
      <c r="V762" s="177" t="s">
        <v>89</v>
      </c>
      <c r="W762" s="177" t="s">
        <v>89</v>
      </c>
      <c r="X762" s="230"/>
      <c r="Y762" s="177"/>
      <c r="Z762" s="178">
        <v>12</v>
      </c>
      <c r="AA762" s="297"/>
      <c r="AB762" s="21" t="s">
        <v>2</v>
      </c>
      <c r="AH762" s="63">
        <v>1</v>
      </c>
      <c r="AO762" s="10" t="s">
        <v>3</v>
      </c>
      <c r="AP762" s="297"/>
      <c r="AQ762" s="178">
        <v>12</v>
      </c>
      <c r="AR762" s="177"/>
      <c r="AS762" s="222"/>
      <c r="AT762" s="177" t="s">
        <v>89</v>
      </c>
      <c r="AU762" s="177" t="s">
        <v>89</v>
      </c>
      <c r="AV762" s="62"/>
      <c r="AW762" s="173"/>
      <c r="AX762" s="175"/>
      <c r="AY762" s="182"/>
      <c r="AZ762" s="182"/>
      <c r="BA762" s="175"/>
      <c r="BB762" s="180"/>
      <c r="BC762" s="172"/>
      <c r="BD762" s="172"/>
      <c r="BE762" s="142"/>
      <c r="BF762" s="171"/>
      <c r="BG762" s="56"/>
      <c r="BH762" s="57"/>
      <c r="BI762" s="170"/>
      <c r="BJ762" s="169"/>
      <c r="BK762" s="181"/>
      <c r="BL762" s="36"/>
      <c r="BM762" s="36" t="str">
        <f>IF('[1]V1 V2'!X761="","",'[1]V1 V2'!X761)</f>
        <v/>
      </c>
    </row>
    <row r="763" spans="1:65" ht="16" thickBot="1" x14ac:dyDescent="0.4">
      <c r="A763">
        <v>1</v>
      </c>
      <c r="B763" s="304" t="s">
        <v>2322</v>
      </c>
      <c r="C763" s="305"/>
      <c r="D763" s="306"/>
      <c r="E763" s="36">
        <f>VLOOKUP($B763,'[1]V1 V2'!$B$5:$BW$1894,74,0)</f>
        <v>0</v>
      </c>
      <c r="F763" s="168"/>
      <c r="G763" s="169"/>
      <c r="H763" s="170"/>
      <c r="I763" s="57"/>
      <c r="J763" s="56">
        <v>-20</v>
      </c>
      <c r="K763" s="171"/>
      <c r="L763" s="142">
        <v>3.8</v>
      </c>
      <c r="M763" s="172"/>
      <c r="N763" s="173"/>
      <c r="O763" s="174"/>
      <c r="P763" s="175"/>
      <c r="Q763" s="182" t="s">
        <v>100</v>
      </c>
      <c r="R763" s="182" t="s">
        <v>29</v>
      </c>
      <c r="S763" s="175"/>
      <c r="T763" s="173" t="s">
        <v>30</v>
      </c>
      <c r="U763" s="62"/>
      <c r="V763" s="177" t="s">
        <v>2323</v>
      </c>
      <c r="W763" s="177" t="s">
        <v>2324</v>
      </c>
      <c r="X763" s="177">
        <v>29339.429000000007</v>
      </c>
      <c r="Y763" s="177">
        <v>5463.6099999999969</v>
      </c>
      <c r="Z763" s="178"/>
      <c r="AA763" s="297" t="s">
        <v>2322</v>
      </c>
      <c r="AB763" s="21" t="s">
        <v>2</v>
      </c>
      <c r="AH763" s="63">
        <v>1</v>
      </c>
      <c r="AO763" s="10" t="s">
        <v>3</v>
      </c>
      <c r="AP763" s="297" t="s">
        <v>2325</v>
      </c>
      <c r="AQ763" s="178"/>
      <c r="AR763" s="177">
        <v>5463.61</v>
      </c>
      <c r="AS763" s="222">
        <f>AS761-AQ762</f>
        <v>29797.23899999999</v>
      </c>
      <c r="AT763" s="177" t="s">
        <v>2326</v>
      </c>
      <c r="AU763" s="177" t="s">
        <v>2327</v>
      </c>
      <c r="AV763" s="62"/>
      <c r="AW763" s="173" t="s">
        <v>30</v>
      </c>
      <c r="AX763" s="175"/>
      <c r="AY763" s="182" t="s">
        <v>29</v>
      </c>
      <c r="AZ763" s="182" t="s">
        <v>100</v>
      </c>
      <c r="BA763" s="175"/>
      <c r="BB763" s="180"/>
      <c r="BC763" s="172"/>
      <c r="BD763" s="172"/>
      <c r="BE763" s="142">
        <v>3.8</v>
      </c>
      <c r="BF763" s="171"/>
      <c r="BG763" s="56">
        <v>-20</v>
      </c>
      <c r="BH763" s="57"/>
      <c r="BI763" s="170"/>
      <c r="BJ763" s="169"/>
      <c r="BK763" s="181"/>
      <c r="BL763" s="36">
        <f>VLOOKUP($AP763,'[1]V1 V2'!$B$5:$BW$1894,74,0)</f>
        <v>0</v>
      </c>
      <c r="BM763" s="36" t="str">
        <f>IF('[1]V1 V2'!X762="","",'[1]V1 V2'!X762)</f>
        <v/>
      </c>
    </row>
    <row r="764" spans="1:65" ht="16" thickBot="1" x14ac:dyDescent="0.4">
      <c r="A764">
        <v>1</v>
      </c>
      <c r="B764" s="304"/>
      <c r="C764" s="305"/>
      <c r="D764" s="306"/>
      <c r="E764" s="36"/>
      <c r="F764" s="168"/>
      <c r="G764" s="169"/>
      <c r="H764" s="170"/>
      <c r="I764" s="57"/>
      <c r="J764" s="56"/>
      <c r="K764" s="171"/>
      <c r="L764" s="142"/>
      <c r="M764" s="172"/>
      <c r="N764" s="173"/>
      <c r="O764" s="174"/>
      <c r="P764" s="175"/>
      <c r="Q764" s="182"/>
      <c r="R764" s="182"/>
      <c r="S764" s="175"/>
      <c r="T764" s="173"/>
      <c r="U764" s="62"/>
      <c r="V764" s="177" t="s">
        <v>89</v>
      </c>
      <c r="W764" s="177" t="s">
        <v>89</v>
      </c>
      <c r="X764" s="230"/>
      <c r="Y764" s="177"/>
      <c r="Z764" s="178">
        <v>12</v>
      </c>
      <c r="AA764" s="297"/>
      <c r="AB764" s="21" t="s">
        <v>2</v>
      </c>
      <c r="AH764" s="63">
        <v>1</v>
      </c>
      <c r="AO764" s="10" t="s">
        <v>3</v>
      </c>
      <c r="AP764" s="297"/>
      <c r="AQ764" s="178">
        <v>12</v>
      </c>
      <c r="AR764" s="177"/>
      <c r="AS764" s="222"/>
      <c r="AT764" s="177" t="s">
        <v>89</v>
      </c>
      <c r="AU764" s="177" t="s">
        <v>89</v>
      </c>
      <c r="AV764" s="62"/>
      <c r="AW764" s="173"/>
      <c r="AX764" s="175"/>
      <c r="AY764" s="182"/>
      <c r="AZ764" s="182"/>
      <c r="BA764" s="175"/>
      <c r="BB764" s="180"/>
      <c r="BC764" s="172"/>
      <c r="BD764" s="172"/>
      <c r="BE764" s="142"/>
      <c r="BF764" s="171"/>
      <c r="BG764" s="56"/>
      <c r="BH764" s="57"/>
      <c r="BI764" s="170"/>
      <c r="BJ764" s="169"/>
      <c r="BK764" s="181"/>
      <c r="BL764" s="36"/>
      <c r="BM764" s="36" t="str">
        <f>IF('[1]V1 V2'!X763="","",'[1]V1 V2'!X763)</f>
        <v/>
      </c>
    </row>
    <row r="765" spans="1:65" ht="16" thickBot="1" x14ac:dyDescent="0.4">
      <c r="A765">
        <v>1</v>
      </c>
      <c r="B765" s="304" t="s">
        <v>2328</v>
      </c>
      <c r="C765" s="305"/>
      <c r="D765" s="306"/>
      <c r="E765" s="36">
        <f>VLOOKUP($B765,'[1]V1 V2'!$B$5:$BW$1894,74,0)</f>
        <v>0</v>
      </c>
      <c r="F765" s="168"/>
      <c r="G765" s="169"/>
      <c r="H765" s="170"/>
      <c r="I765" s="57"/>
      <c r="J765" s="56">
        <v>-12</v>
      </c>
      <c r="K765" s="171"/>
      <c r="L765" s="142">
        <v>3.8</v>
      </c>
      <c r="M765" s="172"/>
      <c r="N765" s="173"/>
      <c r="O765" s="174"/>
      <c r="P765" s="175"/>
      <c r="Q765" s="182" t="s">
        <v>100</v>
      </c>
      <c r="R765" s="182" t="s">
        <v>29</v>
      </c>
      <c r="S765" s="175"/>
      <c r="T765" s="173" t="s">
        <v>30</v>
      </c>
      <c r="U765" s="62"/>
      <c r="V765" s="177" t="s">
        <v>2329</v>
      </c>
      <c r="W765" s="177" t="s">
        <v>2330</v>
      </c>
      <c r="X765" s="177">
        <v>29327.429000000007</v>
      </c>
      <c r="Y765" s="177">
        <v>5475.6099999999969</v>
      </c>
      <c r="Z765" s="178"/>
      <c r="AA765" s="297" t="s">
        <v>2328</v>
      </c>
      <c r="AB765" s="21" t="s">
        <v>2</v>
      </c>
      <c r="AH765" s="63">
        <v>1</v>
      </c>
      <c r="AO765" s="10" t="s">
        <v>3</v>
      </c>
      <c r="AP765" s="297" t="s">
        <v>2331</v>
      </c>
      <c r="AQ765" s="178"/>
      <c r="AR765" s="177">
        <v>5475.61</v>
      </c>
      <c r="AS765" s="222">
        <f>AS763-AQ764</f>
        <v>29785.23899999999</v>
      </c>
      <c r="AT765" s="177" t="s">
        <v>2332</v>
      </c>
      <c r="AU765" s="177" t="s">
        <v>2333</v>
      </c>
      <c r="AV765" s="62"/>
      <c r="AW765" s="173" t="s">
        <v>30</v>
      </c>
      <c r="AX765" s="175"/>
      <c r="AY765" s="182" t="s">
        <v>29</v>
      </c>
      <c r="AZ765" s="182" t="s">
        <v>100</v>
      </c>
      <c r="BA765" s="175"/>
      <c r="BB765" s="180"/>
      <c r="BC765" s="172"/>
      <c r="BD765" s="172"/>
      <c r="BE765" s="142">
        <v>3.8</v>
      </c>
      <c r="BF765" s="171"/>
      <c r="BG765" s="56">
        <v>-12</v>
      </c>
      <c r="BH765" s="57"/>
      <c r="BI765" s="170"/>
      <c r="BJ765" s="169"/>
      <c r="BK765" s="181"/>
      <c r="BL765" s="36">
        <f>VLOOKUP($AP765,'[1]V1 V2'!$B$5:$BW$1894,74,0)</f>
        <v>0</v>
      </c>
      <c r="BM765" s="36" t="str">
        <f>IF('[1]V1 V2'!X764="","",'[1]V1 V2'!X764)</f>
        <v/>
      </c>
    </row>
    <row r="766" spans="1:65" ht="16" thickBot="1" x14ac:dyDescent="0.4">
      <c r="A766">
        <v>1</v>
      </c>
      <c r="B766" s="304"/>
      <c r="C766" s="305"/>
      <c r="D766" s="306"/>
      <c r="E766" s="36"/>
      <c r="F766" s="168"/>
      <c r="G766" s="169"/>
      <c r="H766" s="170"/>
      <c r="I766" s="57"/>
      <c r="J766" s="56"/>
      <c r="K766" s="171"/>
      <c r="L766" s="142"/>
      <c r="M766" s="172"/>
      <c r="N766" s="173"/>
      <c r="O766" s="174"/>
      <c r="P766" s="175"/>
      <c r="Q766" s="182"/>
      <c r="R766" s="182"/>
      <c r="S766" s="175"/>
      <c r="T766" s="173"/>
      <c r="U766" s="62"/>
      <c r="V766" s="177" t="s">
        <v>89</v>
      </c>
      <c r="W766" s="177" t="s">
        <v>89</v>
      </c>
      <c r="X766" s="230"/>
      <c r="Y766" s="177"/>
      <c r="Z766" s="178">
        <v>12</v>
      </c>
      <c r="AA766" s="297"/>
      <c r="AB766" s="21" t="s">
        <v>2</v>
      </c>
      <c r="AH766" s="63">
        <v>1</v>
      </c>
      <c r="AO766" s="10" t="s">
        <v>3</v>
      </c>
      <c r="AP766" s="297"/>
      <c r="AQ766" s="178">
        <v>12</v>
      </c>
      <c r="AR766" s="177"/>
      <c r="AS766" s="222"/>
      <c r="AT766" s="177" t="s">
        <v>89</v>
      </c>
      <c r="AU766" s="177" t="s">
        <v>89</v>
      </c>
      <c r="AV766" s="62"/>
      <c r="AW766" s="173"/>
      <c r="AX766" s="175"/>
      <c r="AY766" s="182"/>
      <c r="AZ766" s="182"/>
      <c r="BA766" s="175"/>
      <c r="BB766" s="180"/>
      <c r="BC766" s="172"/>
      <c r="BD766" s="172"/>
      <c r="BE766" s="142"/>
      <c r="BF766" s="171"/>
      <c r="BG766" s="56"/>
      <c r="BH766" s="57"/>
      <c r="BI766" s="170"/>
      <c r="BJ766" s="169"/>
      <c r="BK766" s="181"/>
      <c r="BL766" s="36"/>
      <c r="BM766" s="36" t="str">
        <f>IF('[1]V1 V2'!X765="","",'[1]V1 V2'!X765)</f>
        <v/>
      </c>
    </row>
    <row r="767" spans="1:65" ht="16" thickBot="1" x14ac:dyDescent="0.4">
      <c r="A767">
        <v>1</v>
      </c>
      <c r="B767" s="304" t="s">
        <v>2334</v>
      </c>
      <c r="C767" s="305"/>
      <c r="D767" s="306"/>
      <c r="E767" s="36">
        <f>VLOOKUP($B767,'[1]V1 V2'!$B$5:$BW$1894,74,0)</f>
        <v>0</v>
      </c>
      <c r="F767" s="168"/>
      <c r="G767" s="169"/>
      <c r="H767" s="170"/>
      <c r="I767" s="57"/>
      <c r="J767" s="56">
        <v>-4</v>
      </c>
      <c r="K767" s="171"/>
      <c r="L767" s="142">
        <v>3.8</v>
      </c>
      <c r="M767" s="172"/>
      <c r="N767" s="173"/>
      <c r="O767" s="174"/>
      <c r="P767" s="175"/>
      <c r="Q767" s="182" t="s">
        <v>100</v>
      </c>
      <c r="R767" s="182" t="s">
        <v>29</v>
      </c>
      <c r="S767" s="175"/>
      <c r="T767" s="173" t="s">
        <v>30</v>
      </c>
      <c r="U767" s="62"/>
      <c r="V767" s="177" t="s">
        <v>2335</v>
      </c>
      <c r="W767" s="177" t="s">
        <v>2336</v>
      </c>
      <c r="X767" s="177">
        <v>29315.429000000007</v>
      </c>
      <c r="Y767" s="177">
        <v>5487.6099999999969</v>
      </c>
      <c r="Z767" s="178"/>
      <c r="AA767" s="297" t="s">
        <v>2334</v>
      </c>
      <c r="AB767" s="21" t="s">
        <v>2</v>
      </c>
      <c r="AH767" s="63">
        <v>1</v>
      </c>
      <c r="AO767" s="10" t="s">
        <v>3</v>
      </c>
      <c r="AP767" s="297" t="s">
        <v>2337</v>
      </c>
      <c r="AQ767" s="178"/>
      <c r="AR767" s="177">
        <v>5487.61</v>
      </c>
      <c r="AS767" s="222">
        <f>AS765-AQ766</f>
        <v>29773.23899999999</v>
      </c>
      <c r="AT767" s="177" t="s">
        <v>2338</v>
      </c>
      <c r="AU767" s="177" t="s">
        <v>2339</v>
      </c>
      <c r="AV767" s="62"/>
      <c r="AW767" s="173" t="s">
        <v>30</v>
      </c>
      <c r="AX767" s="175"/>
      <c r="AY767" s="182" t="s">
        <v>29</v>
      </c>
      <c r="AZ767" s="182" t="s">
        <v>100</v>
      </c>
      <c r="BA767" s="175"/>
      <c r="BB767" s="180"/>
      <c r="BC767" s="172"/>
      <c r="BD767" s="172"/>
      <c r="BE767" s="142">
        <v>3.8</v>
      </c>
      <c r="BF767" s="171"/>
      <c r="BG767" s="56">
        <v>-4</v>
      </c>
      <c r="BH767" s="57"/>
      <c r="BI767" s="170"/>
      <c r="BJ767" s="169"/>
      <c r="BK767" s="181"/>
      <c r="BL767" s="36">
        <f>VLOOKUP($AP767,'[1]V1 V2'!$B$5:$BW$1894,74,0)</f>
        <v>0</v>
      </c>
      <c r="BM767" s="36" t="str">
        <f>IF('[1]V1 V2'!X766="","",'[1]V1 V2'!X766)</f>
        <v/>
      </c>
    </row>
    <row r="768" spans="1:65" ht="16" thickBot="1" x14ac:dyDescent="0.4">
      <c r="A768">
        <v>1</v>
      </c>
      <c r="B768" s="304"/>
      <c r="C768" s="305"/>
      <c r="D768" s="306"/>
      <c r="E768" s="36"/>
      <c r="F768" s="168"/>
      <c r="G768" s="169"/>
      <c r="H768" s="170"/>
      <c r="I768" s="57"/>
      <c r="J768" s="56"/>
      <c r="K768" s="171"/>
      <c r="L768" s="142"/>
      <c r="M768" s="172"/>
      <c r="N768" s="173"/>
      <c r="O768" s="174"/>
      <c r="P768" s="175"/>
      <c r="Q768" s="182"/>
      <c r="R768" s="182"/>
      <c r="S768" s="175"/>
      <c r="T768" s="173"/>
      <c r="U768" s="62"/>
      <c r="V768" s="177" t="s">
        <v>89</v>
      </c>
      <c r="W768" s="177" t="s">
        <v>89</v>
      </c>
      <c r="X768" s="230"/>
      <c r="Y768" s="177"/>
      <c r="Z768" s="178">
        <v>12</v>
      </c>
      <c r="AA768" s="297"/>
      <c r="AB768" s="21" t="s">
        <v>2</v>
      </c>
      <c r="AH768" s="63">
        <v>1</v>
      </c>
      <c r="AO768" s="10" t="s">
        <v>3</v>
      </c>
      <c r="AP768" s="297"/>
      <c r="AQ768" s="178">
        <v>12</v>
      </c>
      <c r="AR768" s="177"/>
      <c r="AS768" s="222"/>
      <c r="AT768" s="177" t="s">
        <v>89</v>
      </c>
      <c r="AU768" s="177" t="s">
        <v>89</v>
      </c>
      <c r="AV768" s="62"/>
      <c r="AW768" s="173"/>
      <c r="AX768" s="175"/>
      <c r="AY768" s="182"/>
      <c r="AZ768" s="182"/>
      <c r="BA768" s="175"/>
      <c r="BB768" s="180"/>
      <c r="BC768" s="172"/>
      <c r="BD768" s="172"/>
      <c r="BE768" s="142"/>
      <c r="BF768" s="171"/>
      <c r="BG768" s="56"/>
      <c r="BH768" s="57"/>
      <c r="BI768" s="170"/>
      <c r="BJ768" s="169"/>
      <c r="BK768" s="181"/>
      <c r="BL768" s="36"/>
      <c r="BM768" s="36" t="str">
        <f>IF('[1]V1 V2'!X767="","",'[1]V1 V2'!X767)</f>
        <v/>
      </c>
    </row>
    <row r="769" spans="1:65" ht="16" thickBot="1" x14ac:dyDescent="0.4">
      <c r="A769">
        <v>1</v>
      </c>
      <c r="B769" s="304" t="s">
        <v>2340</v>
      </c>
      <c r="C769" s="305"/>
      <c r="D769" s="306"/>
      <c r="E769" s="36">
        <f>VLOOKUP($B769,'[1]V1 V2'!$B$5:$BW$1894,74,0)</f>
        <v>0</v>
      </c>
      <c r="F769" s="168"/>
      <c r="G769" s="169"/>
      <c r="H769" s="170"/>
      <c r="I769" s="57"/>
      <c r="J769" s="56" t="s">
        <v>113</v>
      </c>
      <c r="K769" s="171"/>
      <c r="L769" s="142">
        <v>3.8</v>
      </c>
      <c r="M769" s="172"/>
      <c r="N769" s="173"/>
      <c r="O769" s="174"/>
      <c r="P769" s="175"/>
      <c r="Q769" s="182" t="s">
        <v>100</v>
      </c>
      <c r="R769" s="182" t="s">
        <v>29</v>
      </c>
      <c r="S769" s="175"/>
      <c r="T769" s="173" t="s">
        <v>30</v>
      </c>
      <c r="U769" s="62"/>
      <c r="V769" s="177" t="s">
        <v>2341</v>
      </c>
      <c r="W769" s="177" t="s">
        <v>2342</v>
      </c>
      <c r="X769" s="177">
        <v>29303.429000000007</v>
      </c>
      <c r="Y769" s="177">
        <v>5499.6099999999969</v>
      </c>
      <c r="Z769" s="178"/>
      <c r="AA769" s="297" t="s">
        <v>2340</v>
      </c>
      <c r="AB769" s="21" t="s">
        <v>2</v>
      </c>
      <c r="AH769" s="63">
        <v>1</v>
      </c>
      <c r="AO769" s="10" t="s">
        <v>3</v>
      </c>
      <c r="AP769" s="297" t="s">
        <v>2343</v>
      </c>
      <c r="AQ769" s="178"/>
      <c r="AR769" s="177">
        <v>5499.61</v>
      </c>
      <c r="AS769" s="222">
        <f>AS767-AQ768</f>
        <v>29761.23899999999</v>
      </c>
      <c r="AT769" s="177" t="s">
        <v>2344</v>
      </c>
      <c r="AU769" s="177" t="s">
        <v>2345</v>
      </c>
      <c r="AV769" s="62"/>
      <c r="AW769" s="173" t="s">
        <v>30</v>
      </c>
      <c r="AX769" s="175"/>
      <c r="AY769" s="182" t="s">
        <v>29</v>
      </c>
      <c r="AZ769" s="182" t="s">
        <v>100</v>
      </c>
      <c r="BA769" s="175"/>
      <c r="BB769" s="180"/>
      <c r="BC769" s="172"/>
      <c r="BD769" s="172"/>
      <c r="BE769" s="142">
        <v>3.8</v>
      </c>
      <c r="BF769" s="171"/>
      <c r="BG769" s="183" t="s">
        <v>113</v>
      </c>
      <c r="BH769" s="57"/>
      <c r="BI769" s="170"/>
      <c r="BJ769" s="169"/>
      <c r="BK769" s="181"/>
      <c r="BL769" s="36">
        <f>VLOOKUP($AP769,'[1]V1 V2'!$B$5:$BW$1894,74,0)</f>
        <v>0</v>
      </c>
      <c r="BM769" s="36" t="str">
        <f>IF('[1]V1 V2'!X768="","",'[1]V1 V2'!X768)</f>
        <v/>
      </c>
    </row>
    <row r="770" spans="1:65" ht="16" thickBot="1" x14ac:dyDescent="0.4">
      <c r="A770">
        <v>1</v>
      </c>
      <c r="B770" s="304"/>
      <c r="C770" s="305"/>
      <c r="D770" s="306"/>
      <c r="E770" s="36"/>
      <c r="F770" s="168"/>
      <c r="G770" s="169"/>
      <c r="H770" s="170"/>
      <c r="I770" s="57"/>
      <c r="J770" s="56"/>
      <c r="K770" s="171"/>
      <c r="L770" s="142"/>
      <c r="M770" s="172"/>
      <c r="N770" s="173"/>
      <c r="O770" s="174"/>
      <c r="P770" s="175"/>
      <c r="Q770" s="182"/>
      <c r="R770" s="182"/>
      <c r="S770" s="175"/>
      <c r="T770" s="173"/>
      <c r="U770" s="62"/>
      <c r="V770" s="177" t="s">
        <v>89</v>
      </c>
      <c r="W770" s="177" t="s">
        <v>89</v>
      </c>
      <c r="X770" s="230"/>
      <c r="Y770" s="177"/>
      <c r="Z770" s="178">
        <v>12</v>
      </c>
      <c r="AA770" s="297"/>
      <c r="AB770" s="21" t="s">
        <v>2</v>
      </c>
      <c r="AH770" s="63">
        <v>1</v>
      </c>
      <c r="AO770" s="10" t="s">
        <v>3</v>
      </c>
      <c r="AP770" s="297"/>
      <c r="AQ770" s="178">
        <v>12</v>
      </c>
      <c r="AR770" s="177"/>
      <c r="AS770" s="222"/>
      <c r="AT770" s="177" t="s">
        <v>89</v>
      </c>
      <c r="AU770" s="177" t="s">
        <v>89</v>
      </c>
      <c r="AV770" s="62"/>
      <c r="AW770" s="173"/>
      <c r="AX770" s="175"/>
      <c r="AY770" s="182"/>
      <c r="AZ770" s="182"/>
      <c r="BA770" s="175"/>
      <c r="BB770" s="180"/>
      <c r="BC770" s="172"/>
      <c r="BD770" s="172"/>
      <c r="BE770" s="142"/>
      <c r="BF770" s="171"/>
      <c r="BG770" s="56"/>
      <c r="BH770" s="57"/>
      <c r="BI770" s="170"/>
      <c r="BJ770" s="169"/>
      <c r="BK770" s="181"/>
      <c r="BL770" s="36"/>
      <c r="BM770" s="36" t="str">
        <f>IF('[1]V1 V2'!X769="","",'[1]V1 V2'!X769)</f>
        <v/>
      </c>
    </row>
    <row r="771" spans="1:65" ht="16" thickBot="1" x14ac:dyDescent="0.4">
      <c r="A771">
        <v>1</v>
      </c>
      <c r="B771" s="304" t="s">
        <v>2346</v>
      </c>
      <c r="C771" s="305"/>
      <c r="D771" s="306"/>
      <c r="E771" s="36">
        <f>VLOOKUP($B771,'[1]V1 V2'!$B$5:$BW$1894,74,0)</f>
        <v>0</v>
      </c>
      <c r="F771" s="168"/>
      <c r="G771" s="169"/>
      <c r="H771" s="170"/>
      <c r="I771" s="57"/>
      <c r="J771" s="56" t="s">
        <v>120</v>
      </c>
      <c r="K771" s="171"/>
      <c r="L771" s="142">
        <v>3.8</v>
      </c>
      <c r="M771" s="172"/>
      <c r="N771" s="173"/>
      <c r="O771" s="174"/>
      <c r="P771" s="175"/>
      <c r="Q771" s="182" t="s">
        <v>100</v>
      </c>
      <c r="R771" s="182" t="s">
        <v>29</v>
      </c>
      <c r="S771" s="175"/>
      <c r="T771" s="173" t="s">
        <v>30</v>
      </c>
      <c r="U771" s="62"/>
      <c r="V771" s="177" t="s">
        <v>2347</v>
      </c>
      <c r="W771" s="177" t="s">
        <v>2348</v>
      </c>
      <c r="X771" s="177">
        <v>29291.429000000007</v>
      </c>
      <c r="Y771" s="177">
        <v>5511.6099999999969</v>
      </c>
      <c r="Z771" s="178"/>
      <c r="AA771" s="297" t="s">
        <v>2346</v>
      </c>
      <c r="AB771" s="21" t="s">
        <v>2</v>
      </c>
      <c r="AH771" s="63">
        <v>1</v>
      </c>
      <c r="AO771" s="10" t="s">
        <v>3</v>
      </c>
      <c r="AP771" s="297" t="s">
        <v>2349</v>
      </c>
      <c r="AQ771" s="178"/>
      <c r="AR771" s="177">
        <v>5511.61</v>
      </c>
      <c r="AS771" s="222">
        <f>AS769-AQ770</f>
        <v>29749.23899999999</v>
      </c>
      <c r="AT771" s="177" t="s">
        <v>2350</v>
      </c>
      <c r="AU771" s="177" t="s">
        <v>2351</v>
      </c>
      <c r="AV771" s="62"/>
      <c r="AW771" s="173" t="s">
        <v>30</v>
      </c>
      <c r="AX771" s="175"/>
      <c r="AY771" s="182" t="s">
        <v>29</v>
      </c>
      <c r="AZ771" s="182" t="s">
        <v>100</v>
      </c>
      <c r="BA771" s="175"/>
      <c r="BB771" s="180"/>
      <c r="BC771" s="172"/>
      <c r="BD771" s="172"/>
      <c r="BE771" s="142">
        <v>3.8</v>
      </c>
      <c r="BF771" s="171"/>
      <c r="BG771" s="183" t="s">
        <v>120</v>
      </c>
      <c r="BH771" s="57"/>
      <c r="BI771" s="170"/>
      <c r="BJ771" s="169"/>
      <c r="BK771" s="181"/>
      <c r="BL771" s="36">
        <f>VLOOKUP($AP771,'[1]V1 V2'!$B$5:$BW$1894,74,0)</f>
        <v>0</v>
      </c>
      <c r="BM771" s="36" t="str">
        <f>IF('[1]V1 V2'!X770="","",'[1]V1 V2'!X770)</f>
        <v/>
      </c>
    </row>
    <row r="772" spans="1:65" ht="44" thickBot="1" x14ac:dyDescent="0.4">
      <c r="A772">
        <v>1</v>
      </c>
      <c r="B772" s="227" t="s">
        <v>2352</v>
      </c>
      <c r="C772" s="228"/>
      <c r="D772" s="229"/>
      <c r="E772" s="36">
        <f>VLOOKUP($B772,'[1]V1 V2'!$B$5:$BW$1894,74,0)</f>
        <v>0</v>
      </c>
      <c r="F772" s="168"/>
      <c r="G772" s="169"/>
      <c r="H772" s="170"/>
      <c r="I772" s="57"/>
      <c r="J772" s="56"/>
      <c r="K772" s="171"/>
      <c r="L772" s="142"/>
      <c r="M772" s="172"/>
      <c r="N772" s="173"/>
      <c r="O772" s="174"/>
      <c r="P772" s="175"/>
      <c r="Q772" s="182"/>
      <c r="R772" s="182"/>
      <c r="S772" s="175"/>
      <c r="T772" s="173"/>
      <c r="U772" s="62"/>
      <c r="V772" s="177"/>
      <c r="W772" s="177"/>
      <c r="X772" s="230"/>
      <c r="Y772" s="177"/>
      <c r="Z772" s="178">
        <v>12</v>
      </c>
      <c r="AA772" s="231" t="s">
        <v>2352</v>
      </c>
      <c r="AB772" s="21" t="s">
        <v>2</v>
      </c>
      <c r="AH772" s="63">
        <v>1</v>
      </c>
      <c r="AO772" s="10" t="s">
        <v>3</v>
      </c>
      <c r="AP772" s="231" t="s">
        <v>2352</v>
      </c>
      <c r="AQ772" s="178">
        <v>12</v>
      </c>
      <c r="AR772" s="177"/>
      <c r="AS772" s="222"/>
      <c r="AT772" s="177"/>
      <c r="AU772" s="177"/>
      <c r="AV772" s="62"/>
      <c r="AW772" s="173"/>
      <c r="AX772" s="175"/>
      <c r="AY772" s="182"/>
      <c r="AZ772" s="182"/>
      <c r="BA772" s="175"/>
      <c r="BB772" s="180"/>
      <c r="BC772" s="172"/>
      <c r="BD772" s="172"/>
      <c r="BE772" s="142"/>
      <c r="BF772" s="171"/>
      <c r="BG772" s="56"/>
      <c r="BH772" s="57"/>
      <c r="BI772" s="170"/>
      <c r="BJ772" s="169"/>
      <c r="BK772" s="181"/>
      <c r="BL772" s="36">
        <f>VLOOKUP($AP772,'[1]V1 V2'!$B$5:$BW$1894,74,0)</f>
        <v>0</v>
      </c>
      <c r="BM772" s="36" t="str">
        <f>IF('[1]V1 V2'!X771="","",'[1]V1 V2'!X771)</f>
        <v/>
      </c>
    </row>
    <row r="773" spans="1:65" ht="16" thickBot="1" x14ac:dyDescent="0.4">
      <c r="A773">
        <v>1</v>
      </c>
      <c r="B773" s="304" t="s">
        <v>2353</v>
      </c>
      <c r="C773" s="305"/>
      <c r="D773" s="306"/>
      <c r="E773" s="36">
        <f>VLOOKUP($B773,'[1]V1 V2'!$B$5:$BW$1894,74,0)</f>
        <v>0</v>
      </c>
      <c r="F773" s="168"/>
      <c r="G773" s="169"/>
      <c r="H773" s="170"/>
      <c r="I773" s="57"/>
      <c r="J773" s="56" t="s">
        <v>127</v>
      </c>
      <c r="K773" s="171"/>
      <c r="L773" s="142">
        <v>3.8</v>
      </c>
      <c r="M773" s="172"/>
      <c r="N773" s="173"/>
      <c r="O773" s="174"/>
      <c r="P773" s="175"/>
      <c r="Q773" s="182" t="s">
        <v>100</v>
      </c>
      <c r="R773" s="182" t="s">
        <v>29</v>
      </c>
      <c r="S773" s="175"/>
      <c r="T773" s="173" t="s">
        <v>30</v>
      </c>
      <c r="U773" s="62"/>
      <c r="V773" s="177" t="s">
        <v>2354</v>
      </c>
      <c r="W773" s="177" t="s">
        <v>2355</v>
      </c>
      <c r="X773" s="177">
        <v>29279.429000000007</v>
      </c>
      <c r="Y773" s="177">
        <v>5523.6099999999969</v>
      </c>
      <c r="Z773" s="178"/>
      <c r="AA773" s="297" t="s">
        <v>2353</v>
      </c>
      <c r="AB773" s="21" t="s">
        <v>2</v>
      </c>
      <c r="AH773" s="63">
        <v>1</v>
      </c>
      <c r="AO773" s="10" t="s">
        <v>3</v>
      </c>
      <c r="AP773" s="297" t="s">
        <v>2356</v>
      </c>
      <c r="AQ773" s="178"/>
      <c r="AR773" s="177">
        <v>5523.61</v>
      </c>
      <c r="AS773" s="222">
        <f>AS771-AQ772</f>
        <v>29737.23899999999</v>
      </c>
      <c r="AT773" s="177" t="s">
        <v>2357</v>
      </c>
      <c r="AU773" s="177" t="s">
        <v>2358</v>
      </c>
      <c r="AV773" s="62"/>
      <c r="AW773" s="173" t="s">
        <v>30</v>
      </c>
      <c r="AX773" s="175"/>
      <c r="AY773" s="182" t="s">
        <v>29</v>
      </c>
      <c r="AZ773" s="182" t="s">
        <v>100</v>
      </c>
      <c r="BA773" s="175"/>
      <c r="BB773" s="180"/>
      <c r="BC773" s="172"/>
      <c r="BD773" s="172"/>
      <c r="BE773" s="142">
        <v>3.8</v>
      </c>
      <c r="BF773" s="171"/>
      <c r="BG773" s="183" t="s">
        <v>127</v>
      </c>
      <c r="BH773" s="57"/>
      <c r="BI773" s="170"/>
      <c r="BJ773" s="169"/>
      <c r="BK773" s="181"/>
      <c r="BL773" s="36">
        <f>VLOOKUP($AP773,'[1]V1 V2'!$B$5:$BW$1894,74,0)</f>
        <v>0</v>
      </c>
      <c r="BM773" s="36" t="str">
        <f>IF('[1]V1 V2'!X772="","",'[1]V1 V2'!X772)</f>
        <v/>
      </c>
    </row>
    <row r="774" spans="1:65" ht="16" thickBot="1" x14ac:dyDescent="0.4">
      <c r="A774">
        <v>1</v>
      </c>
      <c r="B774" s="304"/>
      <c r="C774" s="305"/>
      <c r="D774" s="306"/>
      <c r="E774" s="36"/>
      <c r="F774" s="168"/>
      <c r="G774" s="169"/>
      <c r="H774" s="170"/>
      <c r="I774" s="57"/>
      <c r="J774" s="56"/>
      <c r="K774" s="171"/>
      <c r="L774" s="142"/>
      <c r="M774" s="172"/>
      <c r="N774" s="173"/>
      <c r="O774" s="174"/>
      <c r="P774" s="175"/>
      <c r="Q774" s="182"/>
      <c r="R774" s="182"/>
      <c r="S774" s="175"/>
      <c r="T774" s="173"/>
      <c r="U774" s="62" t="s">
        <v>48</v>
      </c>
      <c r="V774" s="177" t="s">
        <v>89</v>
      </c>
      <c r="W774" s="177" t="s">
        <v>89</v>
      </c>
      <c r="X774" s="230"/>
      <c r="Y774" s="177"/>
      <c r="Z774" s="178">
        <v>12</v>
      </c>
      <c r="AA774" s="297"/>
      <c r="AB774" s="21" t="s">
        <v>2</v>
      </c>
      <c r="AH774" s="63">
        <v>1</v>
      </c>
      <c r="AO774" s="10" t="s">
        <v>3</v>
      </c>
      <c r="AP774" s="297"/>
      <c r="AQ774" s="178">
        <v>12</v>
      </c>
      <c r="AR774" s="177"/>
      <c r="AS774" s="222"/>
      <c r="AT774" s="177" t="s">
        <v>89</v>
      </c>
      <c r="AU774" s="177" t="s">
        <v>89</v>
      </c>
      <c r="AV774" s="62" t="s">
        <v>48</v>
      </c>
      <c r="AW774" s="173"/>
      <c r="AX774" s="175"/>
      <c r="AY774" s="182"/>
      <c r="AZ774" s="182"/>
      <c r="BA774" s="175"/>
      <c r="BB774" s="180"/>
      <c r="BC774" s="172"/>
      <c r="BD774" s="172"/>
      <c r="BE774" s="142"/>
      <c r="BF774" s="171"/>
      <c r="BG774" s="56"/>
      <c r="BH774" s="57"/>
      <c r="BI774" s="170"/>
      <c r="BJ774" s="169"/>
      <c r="BK774" s="181"/>
      <c r="BL774" s="36"/>
      <c r="BM774" s="36" t="str">
        <f>IF('[1]V1 V2'!X773="","",'[1]V1 V2'!X773)</f>
        <v/>
      </c>
    </row>
    <row r="775" spans="1:65" ht="16" thickBot="1" x14ac:dyDescent="0.4">
      <c r="A775">
        <v>1</v>
      </c>
      <c r="B775" s="304" t="s">
        <v>2359</v>
      </c>
      <c r="C775" s="305"/>
      <c r="D775" s="306"/>
      <c r="E775" s="36">
        <f>VLOOKUP($B775,'[1]V1 V2'!$B$5:$BW$1894,74,0)</f>
        <v>0</v>
      </c>
      <c r="F775" s="168"/>
      <c r="G775" s="169"/>
      <c r="H775" s="170"/>
      <c r="I775" s="57"/>
      <c r="J775" s="56" t="s">
        <v>120</v>
      </c>
      <c r="K775" s="171"/>
      <c r="L775" s="142">
        <v>3.8</v>
      </c>
      <c r="M775" s="172"/>
      <c r="N775" s="173"/>
      <c r="O775" s="174"/>
      <c r="P775" s="175"/>
      <c r="Q775" s="182" t="s">
        <v>140</v>
      </c>
      <c r="R775" s="182" t="s">
        <v>29</v>
      </c>
      <c r="S775" s="175"/>
      <c r="T775" s="173" t="s">
        <v>141</v>
      </c>
      <c r="U775" s="62"/>
      <c r="V775" s="177" t="s">
        <v>2360</v>
      </c>
      <c r="W775" s="177" t="s">
        <v>2361</v>
      </c>
      <c r="X775" s="177">
        <v>29267.429000000007</v>
      </c>
      <c r="Y775" s="177">
        <v>5535.6099999999969</v>
      </c>
      <c r="Z775" s="178"/>
      <c r="AA775" s="297" t="s">
        <v>2359</v>
      </c>
      <c r="AB775" s="21" t="s">
        <v>2</v>
      </c>
      <c r="AH775" s="52"/>
      <c r="AO775" s="10" t="s">
        <v>3</v>
      </c>
      <c r="AP775" s="297" t="s">
        <v>2362</v>
      </c>
      <c r="AQ775" s="178"/>
      <c r="AR775" s="177">
        <v>5535.61</v>
      </c>
      <c r="AS775" s="222">
        <f>AS773-AQ774</f>
        <v>29725.23899999999</v>
      </c>
      <c r="AT775" s="177" t="s">
        <v>2363</v>
      </c>
      <c r="AU775" s="177" t="s">
        <v>2364</v>
      </c>
      <c r="AV775" s="62"/>
      <c r="AW775" s="173" t="s">
        <v>141</v>
      </c>
      <c r="AX775" s="175"/>
      <c r="AY775" s="182" t="s">
        <v>29</v>
      </c>
      <c r="AZ775" s="182" t="s">
        <v>140</v>
      </c>
      <c r="BA775" s="175"/>
      <c r="BB775" s="180"/>
      <c r="BC775" s="172"/>
      <c r="BD775" s="172"/>
      <c r="BE775" s="142">
        <v>3.8</v>
      </c>
      <c r="BF775" s="171"/>
      <c r="BG775" s="183" t="s">
        <v>120</v>
      </c>
      <c r="BH775" s="57"/>
      <c r="BI775" s="170"/>
      <c r="BJ775" s="169"/>
      <c r="BK775" s="181"/>
      <c r="BL775" s="36">
        <f>VLOOKUP($AP775,'[1]V1 V2'!$B$5:$BW$1894,74,0)</f>
        <v>0</v>
      </c>
      <c r="BM775" s="36" t="str">
        <f>IF('[1]V1 V2'!X774="","",'[1]V1 V2'!X774)</f>
        <v/>
      </c>
    </row>
    <row r="776" spans="1:65" ht="16" thickBot="1" x14ac:dyDescent="0.4">
      <c r="A776">
        <v>1</v>
      </c>
      <c r="B776" s="304"/>
      <c r="C776" s="305"/>
      <c r="D776" s="306"/>
      <c r="E776" s="36"/>
      <c r="F776" s="168"/>
      <c r="G776" s="169"/>
      <c r="H776" s="170"/>
      <c r="I776" s="57"/>
      <c r="J776" s="56"/>
      <c r="K776" s="171"/>
      <c r="L776" s="142"/>
      <c r="M776" s="172"/>
      <c r="N776" s="173"/>
      <c r="O776" s="174"/>
      <c r="P776" s="175"/>
      <c r="Q776" s="182"/>
      <c r="R776" s="182"/>
      <c r="S776" s="175"/>
      <c r="T776" s="173"/>
      <c r="U776" s="62" t="s">
        <v>48</v>
      </c>
      <c r="V776" s="177" t="s">
        <v>89</v>
      </c>
      <c r="W776" s="177" t="s">
        <v>89</v>
      </c>
      <c r="X776" s="230"/>
      <c r="Y776" s="177"/>
      <c r="Z776" s="178">
        <v>12</v>
      </c>
      <c r="AA776" s="297"/>
      <c r="AB776" s="21" t="s">
        <v>2</v>
      </c>
      <c r="AH776" s="63">
        <v>1</v>
      </c>
      <c r="AO776" s="10" t="s">
        <v>3</v>
      </c>
      <c r="AP776" s="297"/>
      <c r="AQ776" s="178">
        <v>12</v>
      </c>
      <c r="AR776" s="177"/>
      <c r="AS776" s="222"/>
      <c r="AT776" s="177" t="s">
        <v>89</v>
      </c>
      <c r="AU776" s="177" t="s">
        <v>89</v>
      </c>
      <c r="AV776" s="62" t="s">
        <v>48</v>
      </c>
      <c r="AW776" s="173"/>
      <c r="AX776" s="175"/>
      <c r="AY776" s="182"/>
      <c r="AZ776" s="182"/>
      <c r="BA776" s="175"/>
      <c r="BB776" s="180"/>
      <c r="BC776" s="172"/>
      <c r="BD776" s="172"/>
      <c r="BE776" s="142"/>
      <c r="BF776" s="171"/>
      <c r="BG776" s="56"/>
      <c r="BH776" s="57"/>
      <c r="BI776" s="170"/>
      <c r="BJ776" s="169"/>
      <c r="BK776" s="181"/>
      <c r="BL776" s="36"/>
      <c r="BM776" s="36" t="str">
        <f>IF('[1]V1 V2'!X775="","",'[1]V1 V2'!X775)</f>
        <v/>
      </c>
    </row>
    <row r="777" spans="1:65" ht="16" thickBot="1" x14ac:dyDescent="0.4">
      <c r="A777">
        <v>1</v>
      </c>
      <c r="B777" s="304" t="s">
        <v>2365</v>
      </c>
      <c r="C777" s="305"/>
      <c r="D777" s="306"/>
      <c r="E777" s="36">
        <f>VLOOKUP($B777,'[1]V1 V2'!$B$5:$BW$1894,74,0)</f>
        <v>0</v>
      </c>
      <c r="F777" s="168"/>
      <c r="G777" s="169"/>
      <c r="H777" s="170"/>
      <c r="I777" s="57"/>
      <c r="J777" s="56" t="s">
        <v>113</v>
      </c>
      <c r="K777" s="171"/>
      <c r="L777" s="142">
        <v>3.8</v>
      </c>
      <c r="M777" s="172"/>
      <c r="N777" s="173"/>
      <c r="O777" s="174"/>
      <c r="P777" s="175"/>
      <c r="Q777" s="182" t="s">
        <v>100</v>
      </c>
      <c r="R777" s="182" t="s">
        <v>29</v>
      </c>
      <c r="S777" s="175"/>
      <c r="T777" s="173" t="s">
        <v>30</v>
      </c>
      <c r="U777" s="62"/>
      <c r="V777" s="177" t="s">
        <v>2366</v>
      </c>
      <c r="W777" s="177" t="s">
        <v>2367</v>
      </c>
      <c r="X777" s="177">
        <v>29255.429000000007</v>
      </c>
      <c r="Y777" s="177">
        <v>5547.6099999999969</v>
      </c>
      <c r="Z777" s="178"/>
      <c r="AA777" s="297" t="s">
        <v>2365</v>
      </c>
      <c r="AB777" s="21" t="s">
        <v>2</v>
      </c>
      <c r="AH777" s="63">
        <v>1</v>
      </c>
      <c r="AO777" s="10" t="s">
        <v>3</v>
      </c>
      <c r="AP777" s="297" t="s">
        <v>2368</v>
      </c>
      <c r="AQ777" s="178"/>
      <c r="AR777" s="177">
        <v>5547.61</v>
      </c>
      <c r="AS777" s="222">
        <f>AS775-AQ776</f>
        <v>29713.23899999999</v>
      </c>
      <c r="AT777" s="177" t="s">
        <v>2369</v>
      </c>
      <c r="AU777" s="177" t="s">
        <v>2370</v>
      </c>
      <c r="AV777" s="62"/>
      <c r="AW777" s="173" t="s">
        <v>30</v>
      </c>
      <c r="AX777" s="175"/>
      <c r="AY777" s="182" t="s">
        <v>29</v>
      </c>
      <c r="AZ777" s="182" t="s">
        <v>100</v>
      </c>
      <c r="BA777" s="175"/>
      <c r="BB777" s="180"/>
      <c r="BC777" s="172"/>
      <c r="BD777" s="172"/>
      <c r="BE777" s="142">
        <v>3.8</v>
      </c>
      <c r="BF777" s="171"/>
      <c r="BG777" s="183" t="s">
        <v>113</v>
      </c>
      <c r="BH777" s="57"/>
      <c r="BI777" s="170"/>
      <c r="BJ777" s="169"/>
      <c r="BK777" s="181"/>
      <c r="BL777" s="36">
        <f>VLOOKUP($AP777,'[1]V1 V2'!$B$5:$BW$1894,74,0)</f>
        <v>0</v>
      </c>
      <c r="BM777" s="36" t="str">
        <f>IF('[1]V1 V2'!X776="","",'[1]V1 V2'!X776)</f>
        <v/>
      </c>
    </row>
    <row r="778" spans="1:65" ht="16" thickBot="1" x14ac:dyDescent="0.4">
      <c r="A778">
        <v>1</v>
      </c>
      <c r="B778" s="304"/>
      <c r="C778" s="305"/>
      <c r="D778" s="306"/>
      <c r="E778" s="36"/>
      <c r="F778" s="168"/>
      <c r="G778" s="169"/>
      <c r="H778" s="170"/>
      <c r="I778" s="57"/>
      <c r="J778" s="56"/>
      <c r="K778" s="171"/>
      <c r="L778" s="142"/>
      <c r="M778" s="172"/>
      <c r="N778" s="173"/>
      <c r="O778" s="174"/>
      <c r="P778" s="175"/>
      <c r="Q778" s="182"/>
      <c r="R778" s="182"/>
      <c r="S778" s="175"/>
      <c r="T778" s="173"/>
      <c r="U778" s="62">
        <v>180</v>
      </c>
      <c r="V778" s="177" t="s">
        <v>89</v>
      </c>
      <c r="W778" s="177" t="s">
        <v>89</v>
      </c>
      <c r="X778" s="230"/>
      <c r="Y778" s="177"/>
      <c r="Z778" s="178">
        <v>12</v>
      </c>
      <c r="AA778" s="297"/>
      <c r="AB778" s="21" t="s">
        <v>2</v>
      </c>
      <c r="AH778" s="63">
        <v>1</v>
      </c>
      <c r="AO778" s="10" t="s">
        <v>3</v>
      </c>
      <c r="AP778" s="297"/>
      <c r="AQ778" s="178">
        <v>12</v>
      </c>
      <c r="AR778" s="177"/>
      <c r="AS778" s="222"/>
      <c r="AT778" s="177" t="s">
        <v>89</v>
      </c>
      <c r="AU778" s="177" t="s">
        <v>89</v>
      </c>
      <c r="AV778" s="62">
        <v>180</v>
      </c>
      <c r="AW778" s="173"/>
      <c r="AX778" s="175"/>
      <c r="AY778" s="182"/>
      <c r="AZ778" s="182"/>
      <c r="BA778" s="175"/>
      <c r="BB778" s="180"/>
      <c r="BC778" s="172"/>
      <c r="BD778" s="172"/>
      <c r="BE778" s="142"/>
      <c r="BF778" s="171"/>
      <c r="BG778" s="56"/>
      <c r="BH778" s="57"/>
      <c r="BI778" s="170"/>
      <c r="BJ778" s="169"/>
      <c r="BK778" s="181"/>
      <c r="BL778" s="36"/>
      <c r="BM778" s="36" t="str">
        <f>IF('[1]V1 V2'!X777="","",'[1]V1 V2'!X777)</f>
        <v/>
      </c>
    </row>
    <row r="779" spans="1:65" ht="16" thickBot="1" x14ac:dyDescent="0.4">
      <c r="A779">
        <v>1</v>
      </c>
      <c r="B779" s="304" t="s">
        <v>2371</v>
      </c>
      <c r="C779" s="305"/>
      <c r="D779" s="306"/>
      <c r="E779" s="36">
        <f>VLOOKUP($B779,'[1]V1 V2'!$B$5:$BW$1894,74,0)</f>
        <v>0</v>
      </c>
      <c r="F779" s="168"/>
      <c r="G779" s="169"/>
      <c r="H779" s="170"/>
      <c r="I779" s="57"/>
      <c r="J779" s="56">
        <v>-4</v>
      </c>
      <c r="K779" s="171"/>
      <c r="L779" s="142">
        <v>3.8</v>
      </c>
      <c r="M779" s="172"/>
      <c r="N779" s="173"/>
      <c r="O779" s="174"/>
      <c r="P779" s="175"/>
      <c r="Q779" s="182" t="s">
        <v>100</v>
      </c>
      <c r="R779" s="182" t="s">
        <v>29</v>
      </c>
      <c r="S779" s="175"/>
      <c r="T779" s="173" t="s">
        <v>30</v>
      </c>
      <c r="U779" s="62"/>
      <c r="V779" s="177" t="s">
        <v>2372</v>
      </c>
      <c r="W779" s="177" t="s">
        <v>2373</v>
      </c>
      <c r="X779" s="177">
        <v>29243.429000000007</v>
      </c>
      <c r="Y779" s="177">
        <v>5559.6099999999969</v>
      </c>
      <c r="Z779" s="178"/>
      <c r="AA779" s="297" t="s">
        <v>2371</v>
      </c>
      <c r="AB779" s="21" t="s">
        <v>2</v>
      </c>
      <c r="AH779" s="63">
        <v>1</v>
      </c>
      <c r="AO779" s="10" t="s">
        <v>3</v>
      </c>
      <c r="AP779" s="297" t="s">
        <v>2374</v>
      </c>
      <c r="AQ779" s="178"/>
      <c r="AR779" s="177">
        <v>5559.61</v>
      </c>
      <c r="AS779" s="222">
        <f>AS777-AQ778</f>
        <v>29701.23899999999</v>
      </c>
      <c r="AT779" s="177" t="s">
        <v>2375</v>
      </c>
      <c r="AU779" s="177" t="s">
        <v>2376</v>
      </c>
      <c r="AV779" s="62"/>
      <c r="AW779" s="173" t="s">
        <v>30</v>
      </c>
      <c r="AX779" s="175"/>
      <c r="AY779" s="182" t="s">
        <v>29</v>
      </c>
      <c r="AZ779" s="182" t="s">
        <v>100</v>
      </c>
      <c r="BA779" s="175"/>
      <c r="BB779" s="180"/>
      <c r="BC779" s="172"/>
      <c r="BD779" s="172"/>
      <c r="BE779" s="142">
        <v>3.8</v>
      </c>
      <c r="BF779" s="171"/>
      <c r="BG779" s="56">
        <v>-4</v>
      </c>
      <c r="BH779" s="57"/>
      <c r="BI779" s="170"/>
      <c r="BJ779" s="169"/>
      <c r="BK779" s="181"/>
      <c r="BL779" s="36">
        <f>VLOOKUP($AP779,'[1]V1 V2'!$B$5:$BW$1894,74,0)</f>
        <v>0</v>
      </c>
      <c r="BM779" s="36" t="str">
        <f>IF('[1]V1 V2'!X778="","",'[1]V1 V2'!X778)</f>
        <v/>
      </c>
    </row>
    <row r="780" spans="1:65" ht="16" thickBot="1" x14ac:dyDescent="0.4">
      <c r="A780">
        <v>1</v>
      </c>
      <c r="B780" s="304"/>
      <c r="C780" s="305"/>
      <c r="D780" s="306"/>
      <c r="E780" s="36"/>
      <c r="F780" s="168"/>
      <c r="G780" s="169"/>
      <c r="H780" s="170"/>
      <c r="I780" s="57"/>
      <c r="J780" s="56"/>
      <c r="K780" s="171"/>
      <c r="L780" s="142"/>
      <c r="M780" s="172"/>
      <c r="N780" s="173"/>
      <c r="O780" s="174"/>
      <c r="P780" s="175"/>
      <c r="Q780" s="182"/>
      <c r="R780" s="182"/>
      <c r="S780" s="175"/>
      <c r="T780" s="173"/>
      <c r="U780" s="62">
        <v>180</v>
      </c>
      <c r="V780" s="177" t="s">
        <v>89</v>
      </c>
      <c r="W780" s="177" t="s">
        <v>89</v>
      </c>
      <c r="X780" s="230"/>
      <c r="Y780" s="177"/>
      <c r="Z780" s="178">
        <v>12</v>
      </c>
      <c r="AA780" s="297"/>
      <c r="AB780" s="21" t="s">
        <v>2</v>
      </c>
      <c r="AH780" s="63">
        <v>1</v>
      </c>
      <c r="AO780" s="10" t="s">
        <v>3</v>
      </c>
      <c r="AP780" s="297"/>
      <c r="AQ780" s="178">
        <v>12</v>
      </c>
      <c r="AR780" s="177"/>
      <c r="AS780" s="222"/>
      <c r="AT780" s="177" t="s">
        <v>89</v>
      </c>
      <c r="AU780" s="177" t="s">
        <v>89</v>
      </c>
      <c r="AV780" s="62">
        <v>180</v>
      </c>
      <c r="AW780" s="173"/>
      <c r="AX780" s="175"/>
      <c r="AY780" s="182"/>
      <c r="AZ780" s="182"/>
      <c r="BA780" s="175"/>
      <c r="BB780" s="180"/>
      <c r="BC780" s="172"/>
      <c r="BD780" s="172"/>
      <c r="BE780" s="142"/>
      <c r="BF780" s="171"/>
      <c r="BG780" s="56"/>
      <c r="BH780" s="57"/>
      <c r="BI780" s="170"/>
      <c r="BJ780" s="169"/>
      <c r="BK780" s="181"/>
      <c r="BL780" s="36"/>
      <c r="BM780" s="36" t="str">
        <f>IF('[1]V1 V2'!X779="","",'[1]V1 V2'!X779)</f>
        <v/>
      </c>
    </row>
    <row r="781" spans="1:65" ht="16" thickBot="1" x14ac:dyDescent="0.4">
      <c r="A781">
        <v>1</v>
      </c>
      <c r="B781" s="304" t="s">
        <v>2377</v>
      </c>
      <c r="C781" s="305"/>
      <c r="D781" s="306"/>
      <c r="E781" s="36">
        <f>VLOOKUP($B781,'[1]V1 V2'!$B$5:$BW$1894,74,0)</f>
        <v>0</v>
      </c>
      <c r="F781" s="168"/>
      <c r="G781" s="169"/>
      <c r="H781" s="170"/>
      <c r="I781" s="57"/>
      <c r="J781" s="56">
        <v>-12</v>
      </c>
      <c r="K781" s="171"/>
      <c r="L781" s="142">
        <v>3.8</v>
      </c>
      <c r="M781" s="172"/>
      <c r="N781" s="173"/>
      <c r="O781" s="174"/>
      <c r="P781" s="175"/>
      <c r="Q781" s="182" t="s">
        <v>100</v>
      </c>
      <c r="R781" s="182" t="s">
        <v>29</v>
      </c>
      <c r="S781" s="175"/>
      <c r="T781" s="173" t="s">
        <v>30</v>
      </c>
      <c r="U781" s="62"/>
      <c r="V781" s="177" t="s">
        <v>2378</v>
      </c>
      <c r="W781" s="177" t="s">
        <v>2379</v>
      </c>
      <c r="X781" s="177">
        <v>29231.429000000007</v>
      </c>
      <c r="Y781" s="177">
        <v>5571.6099999999969</v>
      </c>
      <c r="Z781" s="178"/>
      <c r="AA781" s="297" t="s">
        <v>2377</v>
      </c>
      <c r="AB781" s="21" t="s">
        <v>2</v>
      </c>
      <c r="AH781" s="63">
        <v>1</v>
      </c>
      <c r="AO781" s="10" t="s">
        <v>3</v>
      </c>
      <c r="AP781" s="297" t="s">
        <v>2380</v>
      </c>
      <c r="AQ781" s="178"/>
      <c r="AR781" s="177">
        <v>5571.61</v>
      </c>
      <c r="AS781" s="222">
        <f>AS779-AQ780</f>
        <v>29689.23899999999</v>
      </c>
      <c r="AT781" s="177" t="s">
        <v>2381</v>
      </c>
      <c r="AU781" s="177" t="s">
        <v>2382</v>
      </c>
      <c r="AV781" s="62"/>
      <c r="AW781" s="173" t="s">
        <v>30</v>
      </c>
      <c r="AX781" s="175"/>
      <c r="AY781" s="182" t="s">
        <v>29</v>
      </c>
      <c r="AZ781" s="182" t="s">
        <v>100</v>
      </c>
      <c r="BA781" s="175"/>
      <c r="BB781" s="180"/>
      <c r="BC781" s="172"/>
      <c r="BD781" s="172"/>
      <c r="BE781" s="142">
        <v>3.8</v>
      </c>
      <c r="BF781" s="171"/>
      <c r="BG781" s="56">
        <v>-12</v>
      </c>
      <c r="BH781" s="57"/>
      <c r="BI781" s="170"/>
      <c r="BJ781" s="169"/>
      <c r="BK781" s="181"/>
      <c r="BL781" s="36">
        <f>VLOOKUP($AP781,'[1]V1 V2'!$B$5:$BW$1894,74,0)</f>
        <v>0</v>
      </c>
      <c r="BM781" s="36" t="str">
        <f>IF('[1]V1 V2'!X780="","",'[1]V1 V2'!X780)</f>
        <v/>
      </c>
    </row>
    <row r="782" spans="1:65" ht="16" thickBot="1" x14ac:dyDescent="0.4">
      <c r="A782">
        <v>1</v>
      </c>
      <c r="B782" s="304"/>
      <c r="C782" s="305"/>
      <c r="D782" s="306"/>
      <c r="E782" s="36"/>
      <c r="F782" s="168"/>
      <c r="G782" s="169"/>
      <c r="H782" s="170"/>
      <c r="I782" s="57"/>
      <c r="J782" s="56"/>
      <c r="K782" s="171"/>
      <c r="L782" s="142"/>
      <c r="M782" s="172"/>
      <c r="N782" s="173"/>
      <c r="O782" s="174"/>
      <c r="P782" s="175"/>
      <c r="Q782" s="182"/>
      <c r="R782" s="182"/>
      <c r="S782" s="175"/>
      <c r="T782" s="173"/>
      <c r="U782" s="62">
        <v>180</v>
      </c>
      <c r="V782" s="177" t="s">
        <v>89</v>
      </c>
      <c r="W782" s="177" t="s">
        <v>89</v>
      </c>
      <c r="X782" s="230"/>
      <c r="Y782" s="177"/>
      <c r="Z782" s="178">
        <v>12</v>
      </c>
      <c r="AA782" s="297"/>
      <c r="AB782" s="21" t="s">
        <v>2</v>
      </c>
      <c r="AC782" s="163"/>
      <c r="AD782" s="163"/>
      <c r="AE782" s="163"/>
      <c r="AF782" s="163"/>
      <c r="AG782" s="163"/>
      <c r="AH782" s="164">
        <v>1</v>
      </c>
      <c r="AI782" s="163"/>
      <c r="AJ782" s="163"/>
      <c r="AK782" s="163"/>
      <c r="AL782" s="163"/>
      <c r="AM782" s="163"/>
      <c r="AN782" s="163"/>
      <c r="AO782" s="10" t="s">
        <v>3</v>
      </c>
      <c r="AP782" s="297"/>
      <c r="AQ782" s="178">
        <v>12</v>
      </c>
      <c r="AR782" s="177"/>
      <c r="AS782" s="222"/>
      <c r="AT782" s="177" t="s">
        <v>89</v>
      </c>
      <c r="AU782" s="177" t="s">
        <v>89</v>
      </c>
      <c r="AV782" s="62">
        <v>180</v>
      </c>
      <c r="AW782" s="173"/>
      <c r="AX782" s="175"/>
      <c r="AY782" s="182"/>
      <c r="AZ782" s="182"/>
      <c r="BA782" s="175"/>
      <c r="BB782" s="180"/>
      <c r="BC782" s="172"/>
      <c r="BD782" s="172"/>
      <c r="BE782" s="142"/>
      <c r="BF782" s="171"/>
      <c r="BG782" s="56"/>
      <c r="BH782" s="57"/>
      <c r="BI782" s="170"/>
      <c r="BJ782" s="169"/>
      <c r="BK782" s="181"/>
      <c r="BL782" s="36"/>
      <c r="BM782" s="36" t="str">
        <f>IF('[1]V1 V2'!X781="","",'[1]V1 V2'!X781)</f>
        <v/>
      </c>
    </row>
    <row r="783" spans="1:65" ht="16" thickBot="1" x14ac:dyDescent="0.4">
      <c r="A783">
        <v>1</v>
      </c>
      <c r="B783" s="304" t="s">
        <v>2383</v>
      </c>
      <c r="C783" s="305"/>
      <c r="D783" s="306"/>
      <c r="E783" s="36">
        <f>VLOOKUP($B783,'[1]V1 V2'!$B$5:$BW$1894,74,0)</f>
        <v>0</v>
      </c>
      <c r="F783" s="168"/>
      <c r="G783" s="169"/>
      <c r="H783" s="170"/>
      <c r="I783" s="57"/>
      <c r="J783" s="56">
        <v>-20</v>
      </c>
      <c r="K783" s="171"/>
      <c r="L783" s="142">
        <v>3.8</v>
      </c>
      <c r="M783" s="172"/>
      <c r="N783" s="173"/>
      <c r="O783" s="174"/>
      <c r="P783" s="175"/>
      <c r="Q783" s="182" t="s">
        <v>100</v>
      </c>
      <c r="R783" s="182" t="s">
        <v>29</v>
      </c>
      <c r="S783" s="175"/>
      <c r="T783" s="173" t="s">
        <v>30</v>
      </c>
      <c r="U783" s="62"/>
      <c r="V783" s="177" t="s">
        <v>2384</v>
      </c>
      <c r="W783" s="177" t="s">
        <v>2385</v>
      </c>
      <c r="X783" s="177">
        <v>29219.429000000007</v>
      </c>
      <c r="Y783" s="177">
        <v>5583.6099999999969</v>
      </c>
      <c r="Z783" s="178"/>
      <c r="AA783" s="297" t="s">
        <v>2383</v>
      </c>
      <c r="AB783" s="21" t="s">
        <v>2</v>
      </c>
      <c r="AC783" s="113"/>
      <c r="AD783" s="113"/>
      <c r="AE783" s="113"/>
      <c r="AF783" s="113"/>
      <c r="AG783" s="113"/>
      <c r="AH783" s="166">
        <f>Y782</f>
        <v>0</v>
      </c>
      <c r="AI783" s="113"/>
      <c r="AJ783" s="113"/>
      <c r="AK783" s="113"/>
      <c r="AL783" s="113"/>
      <c r="AM783" s="113"/>
      <c r="AN783" s="113"/>
      <c r="AO783" s="10" t="s">
        <v>3</v>
      </c>
      <c r="AP783" s="297" t="s">
        <v>2386</v>
      </c>
      <c r="AQ783" s="178"/>
      <c r="AR783" s="177">
        <v>5583.61</v>
      </c>
      <c r="AS783" s="222">
        <f>AS781-AQ782</f>
        <v>29677.23899999999</v>
      </c>
      <c r="AT783" s="177" t="s">
        <v>2387</v>
      </c>
      <c r="AU783" s="177" t="s">
        <v>2388</v>
      </c>
      <c r="AV783" s="62"/>
      <c r="AW783" s="173" t="s">
        <v>30</v>
      </c>
      <c r="AX783" s="175"/>
      <c r="AY783" s="182" t="s">
        <v>29</v>
      </c>
      <c r="AZ783" s="182" t="s">
        <v>100</v>
      </c>
      <c r="BA783" s="175"/>
      <c r="BB783" s="180"/>
      <c r="BC783" s="172"/>
      <c r="BD783" s="172"/>
      <c r="BE783" s="142">
        <v>3.8</v>
      </c>
      <c r="BF783" s="171"/>
      <c r="BG783" s="56">
        <v>-20</v>
      </c>
      <c r="BH783" s="57"/>
      <c r="BI783" s="170"/>
      <c r="BJ783" s="169"/>
      <c r="BK783" s="181"/>
      <c r="BL783" s="36">
        <f>VLOOKUP($AP783,'[1]V1 V2'!$B$5:$BW$1894,74,0)</f>
        <v>0</v>
      </c>
      <c r="BM783" s="36" t="str">
        <f>IF('[1]V1 V2'!X782="","",'[1]V1 V2'!X782)</f>
        <v/>
      </c>
    </row>
    <row r="784" spans="1:65" ht="16" thickBot="1" x14ac:dyDescent="0.4">
      <c r="A784">
        <v>1</v>
      </c>
      <c r="B784" s="304"/>
      <c r="C784" s="305"/>
      <c r="D784" s="306"/>
      <c r="E784" s="36"/>
      <c r="F784" s="168"/>
      <c r="G784" s="169"/>
      <c r="H784" s="170"/>
      <c r="I784" s="57"/>
      <c r="J784" s="56"/>
      <c r="K784" s="171"/>
      <c r="L784" s="142"/>
      <c r="M784" s="172"/>
      <c r="N784" s="173"/>
      <c r="O784" s="174"/>
      <c r="P784" s="175"/>
      <c r="Q784" s="182"/>
      <c r="R784" s="182"/>
      <c r="S784" s="175"/>
      <c r="T784" s="173"/>
      <c r="U784" s="62">
        <v>180</v>
      </c>
      <c r="V784" s="177" t="s">
        <v>89</v>
      </c>
      <c r="W784" s="177" t="s">
        <v>89</v>
      </c>
      <c r="X784" s="230"/>
      <c r="Y784" s="177"/>
      <c r="Z784" s="178">
        <v>12</v>
      </c>
      <c r="AA784" s="297"/>
      <c r="AB784" s="21" t="s">
        <v>2</v>
      </c>
      <c r="AH784" s="63">
        <v>1</v>
      </c>
      <c r="AO784" s="10" t="s">
        <v>3</v>
      </c>
      <c r="AP784" s="297"/>
      <c r="AQ784" s="178">
        <v>12</v>
      </c>
      <c r="AR784" s="177"/>
      <c r="AS784" s="222"/>
      <c r="AT784" s="177" t="s">
        <v>89</v>
      </c>
      <c r="AU784" s="177" t="s">
        <v>89</v>
      </c>
      <c r="AV784" s="62">
        <v>180</v>
      </c>
      <c r="AW784" s="173"/>
      <c r="AX784" s="175"/>
      <c r="AY784" s="182"/>
      <c r="AZ784" s="182"/>
      <c r="BA784" s="175"/>
      <c r="BB784" s="180"/>
      <c r="BC784" s="172"/>
      <c r="BD784" s="172"/>
      <c r="BE784" s="142"/>
      <c r="BF784" s="171"/>
      <c r="BG784" s="56"/>
      <c r="BH784" s="57"/>
      <c r="BI784" s="170"/>
      <c r="BJ784" s="169"/>
      <c r="BK784" s="181"/>
      <c r="BL784" s="36"/>
      <c r="BM784" s="36" t="str">
        <f>IF('[1]V1 V2'!X783="","",'[1]V1 V2'!X783)</f>
        <v/>
      </c>
    </row>
    <row r="785" spans="1:65" ht="16" thickBot="1" x14ac:dyDescent="0.4">
      <c r="A785">
        <v>1</v>
      </c>
      <c r="B785" s="304" t="s">
        <v>2389</v>
      </c>
      <c r="C785" s="305"/>
      <c r="D785" s="306"/>
      <c r="E785" s="36">
        <f>VLOOKUP($B785,'[1]V1 V2'!$B$5:$BW$1894,74,0)</f>
        <v>0</v>
      </c>
      <c r="F785" s="168"/>
      <c r="G785" s="169"/>
      <c r="H785" s="170"/>
      <c r="I785" s="57"/>
      <c r="J785" s="56">
        <v>-12</v>
      </c>
      <c r="K785" s="171"/>
      <c r="L785" s="142">
        <v>3.8</v>
      </c>
      <c r="M785" s="172"/>
      <c r="N785" s="173"/>
      <c r="O785" s="174"/>
      <c r="P785" s="175"/>
      <c r="Q785" s="182" t="s">
        <v>100</v>
      </c>
      <c r="R785" s="182" t="s">
        <v>29</v>
      </c>
      <c r="S785" s="175"/>
      <c r="T785" s="173" t="s">
        <v>30</v>
      </c>
      <c r="U785" s="62"/>
      <c r="V785" s="177" t="s">
        <v>2390</v>
      </c>
      <c r="W785" s="177" t="s">
        <v>2391</v>
      </c>
      <c r="X785" s="177">
        <v>29207.429000000007</v>
      </c>
      <c r="Y785" s="177">
        <v>5595.6099999999969</v>
      </c>
      <c r="Z785" s="178"/>
      <c r="AA785" s="297" t="s">
        <v>2389</v>
      </c>
      <c r="AB785" s="21" t="s">
        <v>2</v>
      </c>
      <c r="AH785" s="63">
        <v>1</v>
      </c>
      <c r="AO785" s="10" t="s">
        <v>3</v>
      </c>
      <c r="AP785" s="297" t="s">
        <v>2392</v>
      </c>
      <c r="AQ785" s="178"/>
      <c r="AR785" s="177">
        <v>5595.61</v>
      </c>
      <c r="AS785" s="222">
        <f>AS783-AQ784</f>
        <v>29665.23899999999</v>
      </c>
      <c r="AT785" s="177" t="s">
        <v>2393</v>
      </c>
      <c r="AU785" s="177" t="s">
        <v>2394</v>
      </c>
      <c r="AV785" s="62"/>
      <c r="AW785" s="173" t="s">
        <v>30</v>
      </c>
      <c r="AX785" s="175"/>
      <c r="AY785" s="182" t="s">
        <v>29</v>
      </c>
      <c r="AZ785" s="182" t="s">
        <v>100</v>
      </c>
      <c r="BA785" s="175"/>
      <c r="BB785" s="180"/>
      <c r="BC785" s="172"/>
      <c r="BD785" s="172"/>
      <c r="BE785" s="142">
        <v>3.8</v>
      </c>
      <c r="BF785" s="171"/>
      <c r="BG785" s="56">
        <v>-12</v>
      </c>
      <c r="BH785" s="57"/>
      <c r="BI785" s="170"/>
      <c r="BJ785" s="169"/>
      <c r="BK785" s="181"/>
      <c r="BL785" s="36">
        <f>VLOOKUP($AP785,'[1]V1 V2'!$B$5:$BW$1894,74,0)</f>
        <v>0</v>
      </c>
      <c r="BM785" s="36" t="str">
        <f>IF('[1]V1 V2'!X784="","",'[1]V1 V2'!X784)</f>
        <v/>
      </c>
    </row>
    <row r="786" spans="1:65" ht="16" thickBot="1" x14ac:dyDescent="0.4">
      <c r="A786">
        <v>1</v>
      </c>
      <c r="B786" s="304"/>
      <c r="C786" s="305"/>
      <c r="D786" s="306"/>
      <c r="E786" s="36"/>
      <c r="F786" s="168"/>
      <c r="G786" s="169"/>
      <c r="H786" s="170"/>
      <c r="I786" s="57"/>
      <c r="J786" s="56"/>
      <c r="K786" s="171"/>
      <c r="L786" s="142"/>
      <c r="M786" s="172"/>
      <c r="N786" s="173"/>
      <c r="O786" s="174"/>
      <c r="P786" s="175"/>
      <c r="Q786" s="182"/>
      <c r="R786" s="182"/>
      <c r="S786" s="175"/>
      <c r="T786" s="173"/>
      <c r="U786" s="62">
        <v>180</v>
      </c>
      <c r="V786" s="177" t="s">
        <v>89</v>
      </c>
      <c r="W786" s="177" t="s">
        <v>89</v>
      </c>
      <c r="X786" s="230"/>
      <c r="Y786" s="177"/>
      <c r="Z786" s="178">
        <v>12</v>
      </c>
      <c r="AA786" s="297"/>
      <c r="AB786" s="21" t="s">
        <v>2</v>
      </c>
      <c r="AH786" s="63">
        <v>1</v>
      </c>
      <c r="AO786" s="10" t="s">
        <v>3</v>
      </c>
      <c r="AP786" s="297"/>
      <c r="AQ786" s="178">
        <v>12</v>
      </c>
      <c r="AR786" s="177"/>
      <c r="AS786" s="222"/>
      <c r="AT786" s="177" t="s">
        <v>89</v>
      </c>
      <c r="AU786" s="177" t="s">
        <v>89</v>
      </c>
      <c r="AV786" s="62">
        <v>180</v>
      </c>
      <c r="AW786" s="173"/>
      <c r="AX786" s="175"/>
      <c r="AY786" s="182"/>
      <c r="AZ786" s="182"/>
      <c r="BA786" s="175"/>
      <c r="BB786" s="180"/>
      <c r="BC786" s="172"/>
      <c r="BD786" s="172"/>
      <c r="BE786" s="142"/>
      <c r="BF786" s="171"/>
      <c r="BG786" s="56"/>
      <c r="BH786" s="57"/>
      <c r="BI786" s="170"/>
      <c r="BJ786" s="169"/>
      <c r="BK786" s="181"/>
      <c r="BL786" s="36"/>
      <c r="BM786" s="36" t="str">
        <f>IF('[1]V1 V2'!X785="","",'[1]V1 V2'!X785)</f>
        <v/>
      </c>
    </row>
    <row r="787" spans="1:65" ht="16" thickBot="1" x14ac:dyDescent="0.4">
      <c r="A787">
        <v>1</v>
      </c>
      <c r="B787" s="304" t="s">
        <v>2395</v>
      </c>
      <c r="C787" s="305"/>
      <c r="D787" s="306"/>
      <c r="E787" s="36">
        <f>VLOOKUP($B787,'[1]V1 V2'!$B$5:$BW$1894,74,0)</f>
        <v>0</v>
      </c>
      <c r="F787" s="168"/>
      <c r="G787" s="169"/>
      <c r="H787" s="170"/>
      <c r="I787" s="57"/>
      <c r="J787" s="56">
        <v>-4</v>
      </c>
      <c r="K787" s="171"/>
      <c r="L787" s="142">
        <v>3.8</v>
      </c>
      <c r="M787" s="172"/>
      <c r="N787" s="173"/>
      <c r="O787" s="174"/>
      <c r="P787" s="175"/>
      <c r="Q787" s="182" t="s">
        <v>100</v>
      </c>
      <c r="R787" s="182" t="s">
        <v>29</v>
      </c>
      <c r="S787" s="175"/>
      <c r="T787" s="173" t="s">
        <v>30</v>
      </c>
      <c r="U787" s="62"/>
      <c r="V787" s="177" t="s">
        <v>2396</v>
      </c>
      <c r="W787" s="177" t="s">
        <v>2397</v>
      </c>
      <c r="X787" s="177">
        <v>29195.429000000007</v>
      </c>
      <c r="Y787" s="177">
        <v>5607.6099999999969</v>
      </c>
      <c r="Z787" s="178"/>
      <c r="AA787" s="297" t="s">
        <v>2395</v>
      </c>
      <c r="AB787" s="21" t="s">
        <v>2</v>
      </c>
      <c r="AH787" s="63">
        <v>1</v>
      </c>
      <c r="AO787" s="10" t="s">
        <v>3</v>
      </c>
      <c r="AP787" s="297" t="s">
        <v>2398</v>
      </c>
      <c r="AQ787" s="178"/>
      <c r="AR787" s="177">
        <v>5607.61</v>
      </c>
      <c r="AS787" s="222">
        <f>AS785-AQ786</f>
        <v>29653.23899999999</v>
      </c>
      <c r="AT787" s="177" t="s">
        <v>2399</v>
      </c>
      <c r="AU787" s="177" t="s">
        <v>2400</v>
      </c>
      <c r="AV787" s="62"/>
      <c r="AW787" s="173" t="s">
        <v>30</v>
      </c>
      <c r="AX787" s="175"/>
      <c r="AY787" s="182" t="s">
        <v>29</v>
      </c>
      <c r="AZ787" s="182" t="s">
        <v>100</v>
      </c>
      <c r="BA787" s="175"/>
      <c r="BB787" s="180"/>
      <c r="BC787" s="172"/>
      <c r="BD787" s="172"/>
      <c r="BE787" s="142">
        <v>3.8</v>
      </c>
      <c r="BF787" s="171"/>
      <c r="BG787" s="56">
        <v>-4</v>
      </c>
      <c r="BH787" s="57"/>
      <c r="BI787" s="170"/>
      <c r="BJ787" s="169"/>
      <c r="BK787" s="181"/>
      <c r="BL787" s="36">
        <f>VLOOKUP($AP787,'[1]V1 V2'!$B$5:$BW$1894,74,0)</f>
        <v>0</v>
      </c>
      <c r="BM787" s="36" t="str">
        <f>IF('[1]V1 V2'!X786="","",'[1]V1 V2'!X786)</f>
        <v/>
      </c>
    </row>
    <row r="788" spans="1:65" ht="16" thickBot="1" x14ac:dyDescent="0.4">
      <c r="A788">
        <v>1</v>
      </c>
      <c r="B788" s="304"/>
      <c r="C788" s="305"/>
      <c r="D788" s="306"/>
      <c r="E788" s="36"/>
      <c r="F788" s="168"/>
      <c r="G788" s="169"/>
      <c r="H788" s="170"/>
      <c r="I788" s="57"/>
      <c r="J788" s="56"/>
      <c r="K788" s="171"/>
      <c r="L788" s="142"/>
      <c r="M788" s="172"/>
      <c r="N788" s="173"/>
      <c r="O788" s="174"/>
      <c r="P788" s="175"/>
      <c r="Q788" s="182"/>
      <c r="R788" s="182"/>
      <c r="S788" s="175"/>
      <c r="T788" s="173"/>
      <c r="U788" s="62">
        <v>180</v>
      </c>
      <c r="V788" s="177" t="s">
        <v>89</v>
      </c>
      <c r="W788" s="177" t="s">
        <v>89</v>
      </c>
      <c r="X788" s="230"/>
      <c r="Y788" s="177"/>
      <c r="Z788" s="178">
        <v>12</v>
      </c>
      <c r="AA788" s="297"/>
      <c r="AB788" s="21" t="s">
        <v>2</v>
      </c>
      <c r="AH788" s="63">
        <v>1</v>
      </c>
      <c r="AO788" s="10" t="s">
        <v>3</v>
      </c>
      <c r="AP788" s="297"/>
      <c r="AQ788" s="178">
        <v>12</v>
      </c>
      <c r="AR788" s="177"/>
      <c r="AS788" s="222"/>
      <c r="AT788" s="177" t="s">
        <v>89</v>
      </c>
      <c r="AU788" s="177" t="s">
        <v>89</v>
      </c>
      <c r="AV788" s="62">
        <v>180</v>
      </c>
      <c r="AW788" s="173"/>
      <c r="AX788" s="175"/>
      <c r="AY788" s="182"/>
      <c r="AZ788" s="182"/>
      <c r="BA788" s="175"/>
      <c r="BB788" s="180"/>
      <c r="BC788" s="172"/>
      <c r="BD788" s="172"/>
      <c r="BE788" s="142"/>
      <c r="BF788" s="171"/>
      <c r="BG788" s="56"/>
      <c r="BH788" s="57"/>
      <c r="BI788" s="170"/>
      <c r="BJ788" s="169"/>
      <c r="BK788" s="181"/>
      <c r="BL788" s="36"/>
      <c r="BM788" s="36" t="str">
        <f>IF('[1]V1 V2'!X787="","",'[1]V1 V2'!X787)</f>
        <v/>
      </c>
    </row>
    <row r="789" spans="1:65" ht="16" thickBot="1" x14ac:dyDescent="0.4">
      <c r="A789">
        <v>1</v>
      </c>
      <c r="B789" s="304" t="s">
        <v>2401</v>
      </c>
      <c r="C789" s="305"/>
      <c r="D789" s="306"/>
      <c r="E789" s="36">
        <f>VLOOKUP($B789,'[1]V1 V2'!$B$5:$BW$1894,74,0)</f>
        <v>0</v>
      </c>
      <c r="F789" s="168"/>
      <c r="G789" s="169"/>
      <c r="H789" s="170"/>
      <c r="I789" s="57"/>
      <c r="J789" s="56" t="s">
        <v>113</v>
      </c>
      <c r="K789" s="171"/>
      <c r="L789" s="142">
        <v>3.8</v>
      </c>
      <c r="M789" s="172"/>
      <c r="N789" s="173"/>
      <c r="O789" s="174"/>
      <c r="P789" s="175"/>
      <c r="Q789" s="182" t="s">
        <v>100</v>
      </c>
      <c r="R789" s="182" t="s">
        <v>29</v>
      </c>
      <c r="S789" s="175"/>
      <c r="T789" s="173" t="s">
        <v>30</v>
      </c>
      <c r="U789" s="62"/>
      <c r="V789" s="177" t="s">
        <v>2402</v>
      </c>
      <c r="W789" s="177" t="s">
        <v>2403</v>
      </c>
      <c r="X789" s="177">
        <v>29183.429000000007</v>
      </c>
      <c r="Y789" s="177">
        <v>5619.6099999999969</v>
      </c>
      <c r="Z789" s="178"/>
      <c r="AA789" s="297" t="s">
        <v>2401</v>
      </c>
      <c r="AB789" s="21" t="s">
        <v>2</v>
      </c>
      <c r="AH789" s="63">
        <v>1</v>
      </c>
      <c r="AO789" s="10" t="s">
        <v>3</v>
      </c>
      <c r="AP789" s="297" t="s">
        <v>2404</v>
      </c>
      <c r="AQ789" s="178"/>
      <c r="AR789" s="177">
        <v>5619.61</v>
      </c>
      <c r="AS789" s="222">
        <f>AS787-AQ788</f>
        <v>29641.23899999999</v>
      </c>
      <c r="AT789" s="177" t="s">
        <v>2405</v>
      </c>
      <c r="AU789" s="177" t="s">
        <v>2406</v>
      </c>
      <c r="AV789" s="62"/>
      <c r="AW789" s="173" t="s">
        <v>30</v>
      </c>
      <c r="AX789" s="175"/>
      <c r="AY789" s="182" t="s">
        <v>29</v>
      </c>
      <c r="AZ789" s="182" t="s">
        <v>100</v>
      </c>
      <c r="BA789" s="175"/>
      <c r="BB789" s="180"/>
      <c r="BC789" s="172"/>
      <c r="BD789" s="172"/>
      <c r="BE789" s="142">
        <v>3.8</v>
      </c>
      <c r="BF789" s="171"/>
      <c r="BG789" s="183" t="s">
        <v>113</v>
      </c>
      <c r="BH789" s="57"/>
      <c r="BI789" s="170"/>
      <c r="BJ789" s="169"/>
      <c r="BK789" s="181"/>
      <c r="BL789" s="36">
        <f>VLOOKUP($AP789,'[1]V1 V2'!$B$5:$BW$1894,74,0)</f>
        <v>0</v>
      </c>
      <c r="BM789" s="36" t="str">
        <f>IF('[1]V1 V2'!X788="","",'[1]V1 V2'!X788)</f>
        <v/>
      </c>
    </row>
    <row r="790" spans="1:65" ht="16" thickBot="1" x14ac:dyDescent="0.4">
      <c r="A790">
        <v>1</v>
      </c>
      <c r="B790" s="304"/>
      <c r="C790" s="305"/>
      <c r="D790" s="306"/>
      <c r="E790" s="36"/>
      <c r="F790" s="168"/>
      <c r="G790" s="169"/>
      <c r="H790" s="170"/>
      <c r="I790" s="57"/>
      <c r="J790" s="56"/>
      <c r="K790" s="171"/>
      <c r="L790" s="142"/>
      <c r="M790" s="172"/>
      <c r="N790" s="173"/>
      <c r="O790" s="174"/>
      <c r="P790" s="175"/>
      <c r="Q790" s="182"/>
      <c r="R790" s="182"/>
      <c r="S790" s="175"/>
      <c r="T790" s="173"/>
      <c r="U790" s="62">
        <v>180</v>
      </c>
      <c r="V790" s="177" t="s">
        <v>89</v>
      </c>
      <c r="W790" s="177" t="s">
        <v>89</v>
      </c>
      <c r="X790" s="230"/>
      <c r="Y790" s="177"/>
      <c r="Z790" s="178">
        <v>12</v>
      </c>
      <c r="AA790" s="297"/>
      <c r="AB790" s="21" t="s">
        <v>2</v>
      </c>
      <c r="AH790" s="63">
        <v>1</v>
      </c>
      <c r="AO790" s="10" t="s">
        <v>3</v>
      </c>
      <c r="AP790" s="297"/>
      <c r="AQ790" s="178">
        <v>12</v>
      </c>
      <c r="AR790" s="177"/>
      <c r="AS790" s="222"/>
      <c r="AT790" s="177" t="s">
        <v>89</v>
      </c>
      <c r="AU790" s="177" t="s">
        <v>89</v>
      </c>
      <c r="AV790" s="62">
        <v>180</v>
      </c>
      <c r="AW790" s="173"/>
      <c r="AX790" s="175"/>
      <c r="AY790" s="182"/>
      <c r="AZ790" s="182"/>
      <c r="BA790" s="175"/>
      <c r="BB790" s="180"/>
      <c r="BC790" s="172"/>
      <c r="BD790" s="172"/>
      <c r="BE790" s="142"/>
      <c r="BF790" s="171"/>
      <c r="BG790" s="56"/>
      <c r="BH790" s="57"/>
      <c r="BI790" s="170"/>
      <c r="BJ790" s="169"/>
      <c r="BK790" s="181"/>
      <c r="BL790" s="36"/>
      <c r="BM790" s="36" t="str">
        <f>IF('[1]V1 V2'!X789="","",'[1]V1 V2'!X789)</f>
        <v/>
      </c>
    </row>
    <row r="791" spans="1:65" ht="16" thickBot="1" x14ac:dyDescent="0.4">
      <c r="A791">
        <v>1</v>
      </c>
      <c r="B791" s="304" t="s">
        <v>2407</v>
      </c>
      <c r="C791" s="305"/>
      <c r="D791" s="306"/>
      <c r="E791" s="36">
        <f>VLOOKUP($B791,'[1]V1 V2'!$B$5:$BW$1894,74,0)</f>
        <v>0</v>
      </c>
      <c r="F791" s="168"/>
      <c r="G791" s="169"/>
      <c r="H791" s="170"/>
      <c r="I791" s="57"/>
      <c r="J791" s="56" t="s">
        <v>120</v>
      </c>
      <c r="K791" s="171"/>
      <c r="L791" s="142">
        <v>3.8</v>
      </c>
      <c r="M791" s="172"/>
      <c r="N791" s="173"/>
      <c r="O791" s="174"/>
      <c r="P791" s="175"/>
      <c r="Q791" s="182" t="s">
        <v>100</v>
      </c>
      <c r="R791" s="182" t="s">
        <v>29</v>
      </c>
      <c r="S791" s="175"/>
      <c r="T791" s="173" t="s">
        <v>30</v>
      </c>
      <c r="U791" s="62"/>
      <c r="V791" s="177" t="s">
        <v>2408</v>
      </c>
      <c r="W791" s="177" t="s">
        <v>2409</v>
      </c>
      <c r="X791" s="177">
        <v>29171.429000000007</v>
      </c>
      <c r="Y791" s="177">
        <v>5631.6099999999969</v>
      </c>
      <c r="Z791" s="178"/>
      <c r="AA791" s="297" t="s">
        <v>2407</v>
      </c>
      <c r="AB791" s="21" t="s">
        <v>2</v>
      </c>
      <c r="AH791" s="63">
        <v>1</v>
      </c>
      <c r="AO791" s="10" t="s">
        <v>3</v>
      </c>
      <c r="AP791" s="297" t="s">
        <v>2410</v>
      </c>
      <c r="AQ791" s="178"/>
      <c r="AR791" s="177">
        <v>5631.61</v>
      </c>
      <c r="AS791" s="222">
        <f>AS789-AQ790</f>
        <v>29629.23899999999</v>
      </c>
      <c r="AT791" s="177" t="s">
        <v>2411</v>
      </c>
      <c r="AU791" s="177" t="s">
        <v>2412</v>
      </c>
      <c r="AV791" s="62"/>
      <c r="AW791" s="173" t="s">
        <v>30</v>
      </c>
      <c r="AX791" s="175"/>
      <c r="AY791" s="182" t="s">
        <v>29</v>
      </c>
      <c r="AZ791" s="182" t="s">
        <v>100</v>
      </c>
      <c r="BA791" s="175"/>
      <c r="BB791" s="180"/>
      <c r="BC791" s="172"/>
      <c r="BD791" s="172"/>
      <c r="BE791" s="142">
        <v>3.8</v>
      </c>
      <c r="BF791" s="171"/>
      <c r="BG791" s="183" t="s">
        <v>120</v>
      </c>
      <c r="BH791" s="57"/>
      <c r="BI791" s="170"/>
      <c r="BJ791" s="169"/>
      <c r="BK791" s="181"/>
      <c r="BL791" s="36">
        <f>VLOOKUP($AP791,'[1]V1 V2'!$B$5:$BW$1894,74,0)</f>
        <v>0</v>
      </c>
      <c r="BM791" s="36" t="str">
        <f>IF('[1]V1 V2'!X790="","",'[1]V1 V2'!X790)</f>
        <v/>
      </c>
    </row>
    <row r="792" spans="1:65" ht="16" thickBot="1" x14ac:dyDescent="0.4">
      <c r="A792">
        <v>1</v>
      </c>
      <c r="B792" s="304"/>
      <c r="C792" s="305"/>
      <c r="D792" s="306"/>
      <c r="E792" s="36"/>
      <c r="F792" s="168"/>
      <c r="G792" s="169"/>
      <c r="H792" s="170"/>
      <c r="I792" s="57"/>
      <c r="J792" s="56"/>
      <c r="K792" s="171"/>
      <c r="L792" s="142"/>
      <c r="M792" s="172"/>
      <c r="N792" s="173"/>
      <c r="O792" s="174"/>
      <c r="P792" s="175"/>
      <c r="Q792" s="182"/>
      <c r="R792" s="182"/>
      <c r="S792" s="175"/>
      <c r="T792" s="173"/>
      <c r="U792" s="62">
        <v>180</v>
      </c>
      <c r="V792" s="177" t="s">
        <v>89</v>
      </c>
      <c r="W792" s="177" t="s">
        <v>89</v>
      </c>
      <c r="X792" s="230"/>
      <c r="Y792" s="177"/>
      <c r="Z792" s="178">
        <v>12</v>
      </c>
      <c r="AA792" s="297"/>
      <c r="AB792" s="21" t="s">
        <v>2</v>
      </c>
      <c r="AH792" s="63">
        <v>1</v>
      </c>
      <c r="AO792" s="10" t="s">
        <v>3</v>
      </c>
      <c r="AP792" s="297"/>
      <c r="AQ792" s="178">
        <v>12</v>
      </c>
      <c r="AR792" s="177"/>
      <c r="AS792" s="222"/>
      <c r="AT792" s="177" t="s">
        <v>89</v>
      </c>
      <c r="AU792" s="177" t="s">
        <v>89</v>
      </c>
      <c r="AV792" s="62">
        <v>180</v>
      </c>
      <c r="AW792" s="173"/>
      <c r="AX792" s="175"/>
      <c r="AY792" s="182"/>
      <c r="AZ792" s="182"/>
      <c r="BA792" s="175"/>
      <c r="BB792" s="180"/>
      <c r="BC792" s="172"/>
      <c r="BD792" s="172"/>
      <c r="BE792" s="142"/>
      <c r="BF792" s="171"/>
      <c r="BG792" s="56"/>
      <c r="BH792" s="57"/>
      <c r="BI792" s="170"/>
      <c r="BJ792" s="169"/>
      <c r="BK792" s="181"/>
      <c r="BL792" s="36"/>
      <c r="BM792" s="36" t="str">
        <f>IF('[1]V1 V2'!X791="","",'[1]V1 V2'!X791)</f>
        <v/>
      </c>
    </row>
    <row r="793" spans="1:65" ht="16" thickBot="1" x14ac:dyDescent="0.4">
      <c r="A793">
        <v>1</v>
      </c>
      <c r="B793" s="304" t="s">
        <v>2413</v>
      </c>
      <c r="C793" s="305"/>
      <c r="D793" s="306"/>
      <c r="E793" s="36">
        <f>VLOOKUP($B793,'[1]V1 V2'!$B$5:$BW$1894,74,0)</f>
        <v>0</v>
      </c>
      <c r="F793" s="168"/>
      <c r="G793" s="169"/>
      <c r="H793" s="170"/>
      <c r="I793" s="57"/>
      <c r="J793" s="56" t="s">
        <v>127</v>
      </c>
      <c r="K793" s="171"/>
      <c r="L793" s="142">
        <v>3.8</v>
      </c>
      <c r="M793" s="172"/>
      <c r="N793" s="173"/>
      <c r="O793" s="174"/>
      <c r="P793" s="175"/>
      <c r="Q793" s="182" t="s">
        <v>100</v>
      </c>
      <c r="R793" s="182" t="s">
        <v>29</v>
      </c>
      <c r="S793" s="175"/>
      <c r="T793" s="173" t="s">
        <v>30</v>
      </c>
      <c r="U793" s="62"/>
      <c r="V793" s="177" t="s">
        <v>2414</v>
      </c>
      <c r="W793" s="177" t="s">
        <v>2415</v>
      </c>
      <c r="X793" s="177">
        <v>29159.429000000007</v>
      </c>
      <c r="Y793" s="177">
        <v>5643.6099999999969</v>
      </c>
      <c r="Z793" s="178"/>
      <c r="AA793" s="297" t="s">
        <v>2413</v>
      </c>
      <c r="AB793" s="21" t="s">
        <v>2</v>
      </c>
      <c r="AH793" s="63">
        <v>1</v>
      </c>
      <c r="AO793" s="10" t="s">
        <v>3</v>
      </c>
      <c r="AP793" s="297" t="s">
        <v>2416</v>
      </c>
      <c r="AQ793" s="178"/>
      <c r="AR793" s="177">
        <v>5643.61</v>
      </c>
      <c r="AS793" s="222">
        <f>AS791-AQ792</f>
        <v>29617.23899999999</v>
      </c>
      <c r="AT793" s="177" t="s">
        <v>2417</v>
      </c>
      <c r="AU793" s="177" t="s">
        <v>2418</v>
      </c>
      <c r="AV793" s="62"/>
      <c r="AW793" s="173" t="s">
        <v>30</v>
      </c>
      <c r="AX793" s="175"/>
      <c r="AY793" s="182" t="s">
        <v>29</v>
      </c>
      <c r="AZ793" s="182" t="s">
        <v>100</v>
      </c>
      <c r="BA793" s="175"/>
      <c r="BB793" s="180"/>
      <c r="BC793" s="172"/>
      <c r="BD793" s="172"/>
      <c r="BE793" s="142">
        <v>3.8</v>
      </c>
      <c r="BF793" s="171"/>
      <c r="BG793" s="183" t="s">
        <v>127</v>
      </c>
      <c r="BH793" s="57"/>
      <c r="BI793" s="170"/>
      <c r="BJ793" s="169"/>
      <c r="BK793" s="181"/>
      <c r="BL793" s="36">
        <f>VLOOKUP($AP793,'[1]V1 V2'!$B$5:$BW$1894,74,0)</f>
        <v>0</v>
      </c>
      <c r="BM793" s="36" t="str">
        <f>IF('[1]V1 V2'!X792="","",'[1]V1 V2'!X792)</f>
        <v/>
      </c>
    </row>
    <row r="794" spans="1:65" ht="16" thickBot="1" x14ac:dyDescent="0.4">
      <c r="A794">
        <v>1</v>
      </c>
      <c r="B794" s="304"/>
      <c r="C794" s="305"/>
      <c r="D794" s="306"/>
      <c r="E794" s="36"/>
      <c r="F794" s="168"/>
      <c r="G794" s="169"/>
      <c r="H794" s="170"/>
      <c r="I794" s="57"/>
      <c r="J794" s="56"/>
      <c r="K794" s="171"/>
      <c r="L794" s="142"/>
      <c r="M794" s="172"/>
      <c r="N794" s="173"/>
      <c r="O794" s="174"/>
      <c r="P794" s="175"/>
      <c r="Q794" s="182"/>
      <c r="R794" s="182"/>
      <c r="S794" s="175"/>
      <c r="T794" s="173"/>
      <c r="U794" s="62">
        <v>180</v>
      </c>
      <c r="V794" s="177" t="s">
        <v>89</v>
      </c>
      <c r="W794" s="177" t="s">
        <v>89</v>
      </c>
      <c r="X794" s="230"/>
      <c r="Y794" s="177"/>
      <c r="Z794" s="178">
        <v>12</v>
      </c>
      <c r="AA794" s="297"/>
      <c r="AB794" s="21" t="s">
        <v>2</v>
      </c>
      <c r="AH794" s="63">
        <v>1</v>
      </c>
      <c r="AO794" s="10" t="s">
        <v>3</v>
      </c>
      <c r="AP794" s="297"/>
      <c r="AQ794" s="178">
        <v>12</v>
      </c>
      <c r="AR794" s="177"/>
      <c r="AS794" s="222"/>
      <c r="AT794" s="177" t="s">
        <v>89</v>
      </c>
      <c r="AU794" s="177" t="s">
        <v>89</v>
      </c>
      <c r="AV794" s="62">
        <v>180</v>
      </c>
      <c r="AW794" s="173"/>
      <c r="AX794" s="175"/>
      <c r="AY794" s="182"/>
      <c r="AZ794" s="182"/>
      <c r="BA794" s="175"/>
      <c r="BB794" s="180"/>
      <c r="BC794" s="172"/>
      <c r="BD794" s="172"/>
      <c r="BE794" s="142"/>
      <c r="BF794" s="171"/>
      <c r="BG794" s="56"/>
      <c r="BH794" s="57"/>
      <c r="BI794" s="170"/>
      <c r="BJ794" s="169"/>
      <c r="BK794" s="181"/>
      <c r="BL794" s="36"/>
      <c r="BM794" s="36" t="str">
        <f>IF('[1]V1 V2'!X793="","",'[1]V1 V2'!X793)</f>
        <v/>
      </c>
    </row>
    <row r="795" spans="1:65" ht="16" thickBot="1" x14ac:dyDescent="0.4">
      <c r="A795">
        <v>1</v>
      </c>
      <c r="B795" s="304" t="s">
        <v>2419</v>
      </c>
      <c r="C795" s="305"/>
      <c r="D795" s="306"/>
      <c r="E795" s="36">
        <f>VLOOKUP($B795,'[1]V1 V2'!$B$5:$BW$1894,74,0)</f>
        <v>0</v>
      </c>
      <c r="F795" s="168"/>
      <c r="G795" s="169"/>
      <c r="H795" s="170"/>
      <c r="I795" s="57"/>
      <c r="J795" s="56" t="s">
        <v>120</v>
      </c>
      <c r="K795" s="171"/>
      <c r="L795" s="142">
        <v>3.8</v>
      </c>
      <c r="M795" s="172"/>
      <c r="N795" s="173"/>
      <c r="O795" s="174"/>
      <c r="P795" s="175"/>
      <c r="Q795" s="182" t="s">
        <v>100</v>
      </c>
      <c r="R795" s="182" t="s">
        <v>29</v>
      </c>
      <c r="S795" s="175"/>
      <c r="T795" s="173" t="s">
        <v>30</v>
      </c>
      <c r="U795" s="62"/>
      <c r="V795" s="177" t="s">
        <v>2420</v>
      </c>
      <c r="W795" s="177" t="s">
        <v>2421</v>
      </c>
      <c r="X795" s="177">
        <v>29147.429000000007</v>
      </c>
      <c r="Y795" s="177">
        <v>5655.6099999999969</v>
      </c>
      <c r="Z795" s="178"/>
      <c r="AA795" s="297" t="s">
        <v>2419</v>
      </c>
      <c r="AB795" s="21" t="s">
        <v>2</v>
      </c>
      <c r="AH795" s="63">
        <v>1</v>
      </c>
      <c r="AO795" s="10" t="s">
        <v>3</v>
      </c>
      <c r="AP795" s="297" t="s">
        <v>2422</v>
      </c>
      <c r="AQ795" s="178"/>
      <c r="AR795" s="177">
        <v>5655.61</v>
      </c>
      <c r="AS795" s="222">
        <f>AS793-AQ794</f>
        <v>29605.23899999999</v>
      </c>
      <c r="AT795" s="177" t="s">
        <v>2423</v>
      </c>
      <c r="AU795" s="177" t="s">
        <v>2424</v>
      </c>
      <c r="AV795" s="62"/>
      <c r="AW795" s="173" t="s">
        <v>30</v>
      </c>
      <c r="AX795" s="175"/>
      <c r="AY795" s="182" t="s">
        <v>29</v>
      </c>
      <c r="AZ795" s="182" t="s">
        <v>100</v>
      </c>
      <c r="BA795" s="175"/>
      <c r="BB795" s="180"/>
      <c r="BC795" s="172"/>
      <c r="BD795" s="172"/>
      <c r="BE795" s="142">
        <v>3.8</v>
      </c>
      <c r="BF795" s="171"/>
      <c r="BG795" s="183" t="s">
        <v>120</v>
      </c>
      <c r="BH795" s="57"/>
      <c r="BI795" s="170"/>
      <c r="BJ795" s="169"/>
      <c r="BK795" s="181"/>
      <c r="BL795" s="36">
        <f>VLOOKUP($AP795,'[1]V1 V2'!$B$5:$BW$1894,74,0)</f>
        <v>0</v>
      </c>
      <c r="BM795" s="36" t="str">
        <f>IF('[1]V1 V2'!X794="","",'[1]V1 V2'!X794)</f>
        <v/>
      </c>
    </row>
    <row r="796" spans="1:65" ht="16" thickBot="1" x14ac:dyDescent="0.4">
      <c r="A796">
        <v>1</v>
      </c>
      <c r="B796" s="304"/>
      <c r="C796" s="305"/>
      <c r="D796" s="306"/>
      <c r="E796" s="36"/>
      <c r="F796" s="168"/>
      <c r="G796" s="169"/>
      <c r="H796" s="170"/>
      <c r="I796" s="57"/>
      <c r="J796" s="56"/>
      <c r="K796" s="171"/>
      <c r="L796" s="142"/>
      <c r="M796" s="172"/>
      <c r="N796" s="173"/>
      <c r="O796" s="174"/>
      <c r="P796" s="175"/>
      <c r="Q796" s="182"/>
      <c r="R796" s="182"/>
      <c r="S796" s="175"/>
      <c r="T796" s="173"/>
      <c r="U796" s="62">
        <v>180</v>
      </c>
      <c r="V796" s="177" t="s">
        <v>89</v>
      </c>
      <c r="W796" s="177" t="s">
        <v>89</v>
      </c>
      <c r="X796" s="230"/>
      <c r="Y796" s="177"/>
      <c r="Z796" s="178">
        <v>12</v>
      </c>
      <c r="AA796" s="297"/>
      <c r="AB796" s="21" t="s">
        <v>2</v>
      </c>
      <c r="AH796" s="63">
        <v>1</v>
      </c>
      <c r="AO796" s="10" t="s">
        <v>3</v>
      </c>
      <c r="AP796" s="297"/>
      <c r="AQ796" s="178">
        <v>12</v>
      </c>
      <c r="AR796" s="177"/>
      <c r="AS796" s="222"/>
      <c r="AT796" s="177" t="s">
        <v>89</v>
      </c>
      <c r="AU796" s="177" t="s">
        <v>89</v>
      </c>
      <c r="AV796" s="62">
        <v>180</v>
      </c>
      <c r="AW796" s="173"/>
      <c r="AX796" s="175"/>
      <c r="AY796" s="182"/>
      <c r="AZ796" s="182"/>
      <c r="BA796" s="175"/>
      <c r="BB796" s="180"/>
      <c r="BC796" s="172"/>
      <c r="BD796" s="172"/>
      <c r="BE796" s="142"/>
      <c r="BF796" s="171"/>
      <c r="BG796" s="56"/>
      <c r="BH796" s="57"/>
      <c r="BI796" s="170"/>
      <c r="BJ796" s="169"/>
      <c r="BK796" s="181"/>
      <c r="BL796" s="36"/>
      <c r="BM796" s="36" t="str">
        <f>IF('[1]V1 V2'!X795="","",'[1]V1 V2'!X795)</f>
        <v/>
      </c>
    </row>
    <row r="797" spans="1:65" ht="16" thickBot="1" x14ac:dyDescent="0.4">
      <c r="A797">
        <v>1</v>
      </c>
      <c r="B797" s="304" t="s">
        <v>2425</v>
      </c>
      <c r="C797" s="305"/>
      <c r="D797" s="306"/>
      <c r="E797" s="36">
        <f>VLOOKUP($B797,'[1]V1 V2'!$B$5:$BW$1894,74,0)</f>
        <v>0</v>
      </c>
      <c r="F797" s="168"/>
      <c r="G797" s="169"/>
      <c r="H797" s="170"/>
      <c r="I797" s="57"/>
      <c r="J797" s="56" t="s">
        <v>113</v>
      </c>
      <c r="K797" s="171"/>
      <c r="L797" s="142">
        <v>3.8</v>
      </c>
      <c r="M797" s="172"/>
      <c r="N797" s="173"/>
      <c r="O797" s="174"/>
      <c r="P797" s="175"/>
      <c r="Q797" s="182" t="s">
        <v>100</v>
      </c>
      <c r="R797" s="182" t="s">
        <v>29</v>
      </c>
      <c r="S797" s="175"/>
      <c r="T797" s="173" t="s">
        <v>30</v>
      </c>
      <c r="U797" s="62"/>
      <c r="V797" s="177" t="s">
        <v>2426</v>
      </c>
      <c r="W797" s="177" t="s">
        <v>2427</v>
      </c>
      <c r="X797" s="177">
        <v>29135.429000000007</v>
      </c>
      <c r="Y797" s="177">
        <v>5667.6099999999969</v>
      </c>
      <c r="Z797" s="178"/>
      <c r="AA797" s="297" t="s">
        <v>2425</v>
      </c>
      <c r="AB797" s="21" t="s">
        <v>2</v>
      </c>
      <c r="AH797" s="63">
        <v>1</v>
      </c>
      <c r="AO797" s="10" t="s">
        <v>3</v>
      </c>
      <c r="AP797" s="297" t="s">
        <v>2428</v>
      </c>
      <c r="AQ797" s="178"/>
      <c r="AR797" s="177">
        <v>5667.61</v>
      </c>
      <c r="AS797" s="222">
        <f>AS795-AQ796</f>
        <v>29593.23899999999</v>
      </c>
      <c r="AT797" s="177" t="s">
        <v>2429</v>
      </c>
      <c r="AU797" s="177" t="s">
        <v>2430</v>
      </c>
      <c r="AV797" s="62"/>
      <c r="AW797" s="173" t="s">
        <v>30</v>
      </c>
      <c r="AX797" s="175"/>
      <c r="AY797" s="182" t="s">
        <v>29</v>
      </c>
      <c r="AZ797" s="182" t="s">
        <v>100</v>
      </c>
      <c r="BA797" s="175"/>
      <c r="BB797" s="180"/>
      <c r="BC797" s="172"/>
      <c r="BD797" s="172"/>
      <c r="BE797" s="142">
        <v>3.8</v>
      </c>
      <c r="BF797" s="171"/>
      <c r="BG797" s="183" t="s">
        <v>113</v>
      </c>
      <c r="BH797" s="57"/>
      <c r="BI797" s="170"/>
      <c r="BJ797" s="169"/>
      <c r="BK797" s="181"/>
      <c r="BL797" s="36">
        <f>VLOOKUP($AP797,'[1]V1 V2'!$B$5:$BW$1894,74,0)</f>
        <v>0</v>
      </c>
      <c r="BM797" s="36" t="str">
        <f>IF('[1]V1 V2'!X796="","",'[1]V1 V2'!X796)</f>
        <v/>
      </c>
    </row>
    <row r="798" spans="1:65" ht="16" thickBot="1" x14ac:dyDescent="0.4">
      <c r="A798">
        <v>1</v>
      </c>
      <c r="B798" s="304"/>
      <c r="C798" s="305"/>
      <c r="D798" s="306"/>
      <c r="E798" s="36"/>
      <c r="F798" s="168"/>
      <c r="G798" s="169"/>
      <c r="H798" s="170"/>
      <c r="I798" s="57"/>
      <c r="J798" s="56"/>
      <c r="K798" s="171"/>
      <c r="L798" s="142"/>
      <c r="M798" s="172"/>
      <c r="N798" s="173"/>
      <c r="O798" s="174"/>
      <c r="P798" s="175"/>
      <c r="Q798" s="182"/>
      <c r="R798" s="182"/>
      <c r="S798" s="175"/>
      <c r="T798" s="173"/>
      <c r="U798" s="62">
        <v>180</v>
      </c>
      <c r="V798" s="177" t="s">
        <v>89</v>
      </c>
      <c r="W798" s="177" t="s">
        <v>89</v>
      </c>
      <c r="X798" s="230"/>
      <c r="Y798" s="177"/>
      <c r="Z798" s="178">
        <v>12</v>
      </c>
      <c r="AA798" s="297"/>
      <c r="AB798" s="21" t="s">
        <v>2</v>
      </c>
      <c r="AH798" s="63">
        <v>1</v>
      </c>
      <c r="AO798" s="10" t="s">
        <v>3</v>
      </c>
      <c r="AP798" s="297"/>
      <c r="AQ798" s="178">
        <v>12</v>
      </c>
      <c r="AR798" s="177"/>
      <c r="AS798" s="222"/>
      <c r="AT798" s="177" t="s">
        <v>89</v>
      </c>
      <c r="AU798" s="177" t="s">
        <v>89</v>
      </c>
      <c r="AV798" s="62">
        <v>180</v>
      </c>
      <c r="AW798" s="173"/>
      <c r="AX798" s="175"/>
      <c r="AY798" s="182"/>
      <c r="AZ798" s="182"/>
      <c r="BA798" s="175"/>
      <c r="BB798" s="180"/>
      <c r="BC798" s="172"/>
      <c r="BD798" s="172"/>
      <c r="BE798" s="142"/>
      <c r="BF798" s="171"/>
      <c r="BG798" s="56"/>
      <c r="BH798" s="57"/>
      <c r="BI798" s="170"/>
      <c r="BJ798" s="169"/>
      <c r="BK798" s="181"/>
      <c r="BL798" s="36"/>
      <c r="BM798" s="36" t="str">
        <f>IF('[1]V1 V2'!X797="","",'[1]V1 V2'!X797)</f>
        <v/>
      </c>
    </row>
    <row r="799" spans="1:65" ht="16" thickBot="1" x14ac:dyDescent="0.4">
      <c r="A799">
        <v>1</v>
      </c>
      <c r="B799" s="304" t="s">
        <v>2431</v>
      </c>
      <c r="C799" s="305"/>
      <c r="D799" s="306"/>
      <c r="E799" s="36">
        <f>VLOOKUP($B799,'[1]V1 V2'!$B$5:$BW$1894,74,0)</f>
        <v>0</v>
      </c>
      <c r="F799" s="168"/>
      <c r="G799" s="169"/>
      <c r="H799" s="170"/>
      <c r="I799" s="57"/>
      <c r="J799" s="56">
        <v>-4</v>
      </c>
      <c r="K799" s="171"/>
      <c r="L799" s="142">
        <v>3.8</v>
      </c>
      <c r="M799" s="172"/>
      <c r="N799" s="173"/>
      <c r="O799" s="174"/>
      <c r="P799" s="175"/>
      <c r="Q799" s="182" t="s">
        <v>100</v>
      </c>
      <c r="R799" s="182" t="s">
        <v>29</v>
      </c>
      <c r="S799" s="175"/>
      <c r="T799" s="173" t="s">
        <v>30</v>
      </c>
      <c r="U799" s="62"/>
      <c r="V799" s="177" t="s">
        <v>2432</v>
      </c>
      <c r="W799" s="177" t="s">
        <v>2433</v>
      </c>
      <c r="X799" s="177">
        <v>29123.429000000007</v>
      </c>
      <c r="Y799" s="177">
        <v>5679.6099999999969</v>
      </c>
      <c r="Z799" s="178"/>
      <c r="AA799" s="297" t="s">
        <v>2431</v>
      </c>
      <c r="AB799" s="21" t="s">
        <v>2</v>
      </c>
      <c r="AH799" s="63">
        <v>1</v>
      </c>
      <c r="AO799" s="10" t="s">
        <v>3</v>
      </c>
      <c r="AP799" s="297" t="s">
        <v>2434</v>
      </c>
      <c r="AQ799" s="178"/>
      <c r="AR799" s="177">
        <v>5679.61</v>
      </c>
      <c r="AS799" s="222">
        <f>AS797-AQ798</f>
        <v>29581.23899999999</v>
      </c>
      <c r="AT799" s="177" t="s">
        <v>2435</v>
      </c>
      <c r="AU799" s="177" t="s">
        <v>2436</v>
      </c>
      <c r="AV799" s="62"/>
      <c r="AW799" s="173" t="s">
        <v>30</v>
      </c>
      <c r="AX799" s="175"/>
      <c r="AY799" s="182" t="s">
        <v>29</v>
      </c>
      <c r="AZ799" s="182" t="s">
        <v>100</v>
      </c>
      <c r="BA799" s="175"/>
      <c r="BB799" s="180"/>
      <c r="BC799" s="172"/>
      <c r="BD799" s="172"/>
      <c r="BE799" s="142">
        <v>3.8</v>
      </c>
      <c r="BF799" s="171"/>
      <c r="BG799" s="56">
        <v>-4</v>
      </c>
      <c r="BH799" s="57"/>
      <c r="BI799" s="170"/>
      <c r="BJ799" s="169"/>
      <c r="BK799" s="181"/>
      <c r="BL799" s="36">
        <f>VLOOKUP($AP799,'[1]V1 V2'!$B$5:$BW$1894,74,0)</f>
        <v>0</v>
      </c>
      <c r="BM799" s="36" t="str">
        <f>IF('[1]V1 V2'!X798="","",'[1]V1 V2'!X798)</f>
        <v/>
      </c>
    </row>
    <row r="800" spans="1:65" ht="16" thickBot="1" x14ac:dyDescent="0.4">
      <c r="A800">
        <v>1</v>
      </c>
      <c r="B800" s="304"/>
      <c r="C800" s="305"/>
      <c r="D800" s="306"/>
      <c r="E800" s="36"/>
      <c r="F800" s="168"/>
      <c r="G800" s="169"/>
      <c r="H800" s="170"/>
      <c r="I800" s="57"/>
      <c r="J800" s="56"/>
      <c r="K800" s="171"/>
      <c r="L800" s="142"/>
      <c r="M800" s="172"/>
      <c r="N800" s="173"/>
      <c r="O800" s="174"/>
      <c r="P800" s="175"/>
      <c r="Q800" s="182"/>
      <c r="R800" s="182"/>
      <c r="S800" s="175"/>
      <c r="T800" s="173"/>
      <c r="U800" s="62" t="s">
        <v>48</v>
      </c>
      <c r="V800" s="177" t="s">
        <v>89</v>
      </c>
      <c r="W800" s="177" t="s">
        <v>89</v>
      </c>
      <c r="X800" s="230"/>
      <c r="Y800" s="177"/>
      <c r="Z800" s="178">
        <v>12</v>
      </c>
      <c r="AA800" s="297"/>
      <c r="AB800" s="21" t="s">
        <v>2</v>
      </c>
      <c r="AH800" s="63">
        <v>1</v>
      </c>
      <c r="AO800" s="10" t="s">
        <v>3</v>
      </c>
      <c r="AP800" s="297"/>
      <c r="AQ800" s="178">
        <v>12</v>
      </c>
      <c r="AR800" s="177"/>
      <c r="AS800" s="222"/>
      <c r="AT800" s="177" t="s">
        <v>89</v>
      </c>
      <c r="AU800" s="177" t="s">
        <v>89</v>
      </c>
      <c r="AV800" s="62" t="s">
        <v>48</v>
      </c>
      <c r="AW800" s="173"/>
      <c r="AX800" s="175"/>
      <c r="AY800" s="182"/>
      <c r="AZ800" s="182"/>
      <c r="BA800" s="175"/>
      <c r="BB800" s="180"/>
      <c r="BC800" s="172"/>
      <c r="BD800" s="172"/>
      <c r="BE800" s="142"/>
      <c r="BF800" s="171"/>
      <c r="BG800" s="56"/>
      <c r="BH800" s="57"/>
      <c r="BI800" s="170"/>
      <c r="BJ800" s="169"/>
      <c r="BK800" s="181"/>
      <c r="BL800" s="36"/>
      <c r="BM800" s="36" t="str">
        <f>IF('[1]V1 V2'!X799="","",'[1]V1 V2'!X799)</f>
        <v/>
      </c>
    </row>
    <row r="801" spans="1:65" ht="16" thickBot="1" x14ac:dyDescent="0.4">
      <c r="A801">
        <v>1</v>
      </c>
      <c r="B801" s="304" t="s">
        <v>2437</v>
      </c>
      <c r="C801" s="305"/>
      <c r="D801" s="306"/>
      <c r="E801" s="36">
        <f>VLOOKUP($B801,'[1]V1 V2'!$B$5:$BW$1894,74,0)</f>
        <v>0</v>
      </c>
      <c r="F801" s="168"/>
      <c r="G801" s="169"/>
      <c r="H801" s="170"/>
      <c r="I801" s="57"/>
      <c r="J801" s="56">
        <v>-12</v>
      </c>
      <c r="K801" s="171"/>
      <c r="L801" s="142">
        <v>3.8</v>
      </c>
      <c r="M801" s="172"/>
      <c r="N801" s="173"/>
      <c r="O801" s="174"/>
      <c r="P801" s="175"/>
      <c r="Q801" s="182" t="s">
        <v>100</v>
      </c>
      <c r="R801" s="182" t="s">
        <v>29</v>
      </c>
      <c r="S801" s="175"/>
      <c r="T801" s="173" t="s">
        <v>30</v>
      </c>
      <c r="U801" s="62"/>
      <c r="V801" s="177" t="s">
        <v>2438</v>
      </c>
      <c r="W801" s="177" t="s">
        <v>2439</v>
      </c>
      <c r="X801" s="177">
        <v>29111.429000000007</v>
      </c>
      <c r="Y801" s="177">
        <v>5691.6099999999969</v>
      </c>
      <c r="Z801" s="178"/>
      <c r="AA801" s="297" t="s">
        <v>2437</v>
      </c>
      <c r="AB801" s="21" t="s">
        <v>2</v>
      </c>
      <c r="AH801" s="63">
        <v>1</v>
      </c>
      <c r="AO801" s="10" t="s">
        <v>3</v>
      </c>
      <c r="AP801" s="297" t="s">
        <v>2440</v>
      </c>
      <c r="AQ801" s="178"/>
      <c r="AR801" s="177">
        <v>5691.61</v>
      </c>
      <c r="AS801" s="222">
        <f>AS799-AQ800</f>
        <v>29569.23899999999</v>
      </c>
      <c r="AT801" s="177" t="s">
        <v>2441</v>
      </c>
      <c r="AU801" s="177" t="s">
        <v>2442</v>
      </c>
      <c r="AV801" s="62"/>
      <c r="AW801" s="173" t="s">
        <v>30</v>
      </c>
      <c r="AX801" s="175"/>
      <c r="AY801" s="182" t="s">
        <v>29</v>
      </c>
      <c r="AZ801" s="182" t="s">
        <v>100</v>
      </c>
      <c r="BA801" s="175"/>
      <c r="BB801" s="180"/>
      <c r="BC801" s="172"/>
      <c r="BD801" s="172"/>
      <c r="BE801" s="142">
        <v>3.8</v>
      </c>
      <c r="BF801" s="171"/>
      <c r="BG801" s="56">
        <v>-12</v>
      </c>
      <c r="BH801" s="57"/>
      <c r="BI801" s="170"/>
      <c r="BJ801" s="169"/>
      <c r="BK801" s="181"/>
      <c r="BL801" s="36">
        <f>VLOOKUP($AP801,'[1]V1 V2'!$B$5:$BW$1894,74,0)</f>
        <v>0</v>
      </c>
      <c r="BM801" s="36" t="str">
        <f>IF('[1]V1 V2'!X800="","",'[1]V1 V2'!X800)</f>
        <v/>
      </c>
    </row>
    <row r="802" spans="1:65" ht="16" thickBot="1" x14ac:dyDescent="0.4">
      <c r="A802">
        <v>1</v>
      </c>
      <c r="B802" s="304"/>
      <c r="C802" s="305"/>
      <c r="D802" s="306"/>
      <c r="E802" s="36"/>
      <c r="F802" s="168"/>
      <c r="G802" s="169"/>
      <c r="H802" s="170"/>
      <c r="I802" s="57"/>
      <c r="J802" s="56"/>
      <c r="K802" s="171"/>
      <c r="L802" s="142"/>
      <c r="M802" s="172"/>
      <c r="N802" s="173"/>
      <c r="O802" s="174"/>
      <c r="P802" s="175"/>
      <c r="Q802" s="182"/>
      <c r="R802" s="182"/>
      <c r="S802" s="175"/>
      <c r="T802" s="173"/>
      <c r="U802" s="62" t="s">
        <v>48</v>
      </c>
      <c r="V802" s="177" t="s">
        <v>89</v>
      </c>
      <c r="W802" s="177" t="s">
        <v>89</v>
      </c>
      <c r="X802" s="230"/>
      <c r="Y802" s="177"/>
      <c r="Z802" s="178">
        <v>11</v>
      </c>
      <c r="AA802" s="297"/>
      <c r="AB802" s="21" t="s">
        <v>2</v>
      </c>
      <c r="AH802" s="63">
        <v>1</v>
      </c>
      <c r="AO802" s="10" t="s">
        <v>3</v>
      </c>
      <c r="AP802" s="297"/>
      <c r="AQ802" s="178">
        <v>8.1999999999999993</v>
      </c>
      <c r="AR802" s="177"/>
      <c r="AS802" s="222"/>
      <c r="AT802" s="177" t="s">
        <v>89</v>
      </c>
      <c r="AU802" s="177" t="s">
        <v>89</v>
      </c>
      <c r="AV802" s="62" t="s">
        <v>48</v>
      </c>
      <c r="AW802" s="173"/>
      <c r="AX802" s="175"/>
      <c r="AY802" s="182"/>
      <c r="AZ802" s="182"/>
      <c r="BA802" s="175"/>
      <c r="BB802" s="180"/>
      <c r="BC802" s="172"/>
      <c r="BD802" s="172"/>
      <c r="BE802" s="142"/>
      <c r="BF802" s="171"/>
      <c r="BG802" s="56"/>
      <c r="BH802" s="57"/>
      <c r="BI802" s="170"/>
      <c r="BJ802" s="169"/>
      <c r="BK802" s="181"/>
      <c r="BL802" s="36"/>
      <c r="BM802" s="36" t="str">
        <f>IF('[1]V1 V2'!X801="","",'[1]V1 V2'!X801)</f>
        <v/>
      </c>
    </row>
    <row r="803" spans="1:65" ht="16" thickBot="1" x14ac:dyDescent="0.4">
      <c r="A803">
        <v>1</v>
      </c>
      <c r="B803" s="304" t="s">
        <v>2443</v>
      </c>
      <c r="C803" s="305"/>
      <c r="D803" s="306"/>
      <c r="E803" s="36">
        <f>VLOOKUP($B803,'[1]V1 V2'!$B$5:$BW$1894,74,0)</f>
        <v>0</v>
      </c>
      <c r="F803" s="168"/>
      <c r="G803" s="169"/>
      <c r="H803" s="170"/>
      <c r="I803" s="57"/>
      <c r="J803" s="56">
        <v>-20</v>
      </c>
      <c r="K803" s="171"/>
      <c r="L803" s="142">
        <v>3.8</v>
      </c>
      <c r="M803" s="172"/>
      <c r="N803" s="173"/>
      <c r="O803" s="174"/>
      <c r="P803" s="175"/>
      <c r="Q803" s="182" t="s">
        <v>100</v>
      </c>
      <c r="R803" s="182" t="s">
        <v>29</v>
      </c>
      <c r="S803" s="175"/>
      <c r="T803" s="173" t="s">
        <v>30</v>
      </c>
      <c r="U803" s="62"/>
      <c r="V803" s="177" t="s">
        <v>2444</v>
      </c>
      <c r="W803" s="177" t="s">
        <v>2445</v>
      </c>
      <c r="X803" s="177">
        <v>29100.429000000007</v>
      </c>
      <c r="Y803" s="177">
        <v>5702.6099999999969</v>
      </c>
      <c r="Z803" s="178"/>
      <c r="AA803" s="297" t="s">
        <v>2443</v>
      </c>
      <c r="AB803" s="21" t="s">
        <v>2</v>
      </c>
      <c r="AH803" s="63">
        <v>1</v>
      </c>
      <c r="AO803" s="10" t="s">
        <v>3</v>
      </c>
      <c r="AP803" s="297" t="s">
        <v>2446</v>
      </c>
      <c r="AQ803" s="178"/>
      <c r="AR803" s="177">
        <v>5699.8099999999995</v>
      </c>
      <c r="AS803" s="222">
        <f>AS801-AQ802</f>
        <v>29561.03899999999</v>
      </c>
      <c r="AT803" s="177" t="s">
        <v>2447</v>
      </c>
      <c r="AU803" s="177" t="s">
        <v>2448</v>
      </c>
      <c r="AV803" s="62"/>
      <c r="AW803" s="173" t="s">
        <v>30</v>
      </c>
      <c r="AX803" s="175"/>
      <c r="AY803" s="182" t="s">
        <v>29</v>
      </c>
      <c r="AZ803" s="182" t="s">
        <v>100</v>
      </c>
      <c r="BA803" s="175"/>
      <c r="BB803" s="180"/>
      <c r="BC803" s="172"/>
      <c r="BD803" s="172"/>
      <c r="BE803" s="142">
        <v>3.8</v>
      </c>
      <c r="BF803" s="171"/>
      <c r="BG803" s="56">
        <v>-20</v>
      </c>
      <c r="BH803" s="57"/>
      <c r="BI803" s="170"/>
      <c r="BJ803" s="169"/>
      <c r="BK803" s="181"/>
      <c r="BL803" s="36">
        <f>VLOOKUP($AP803,'[1]V1 V2'!$B$5:$BW$1894,74,0)</f>
        <v>0</v>
      </c>
      <c r="BM803" s="36" t="str">
        <f>IF('[1]V1 V2'!X802="","",'[1]V1 V2'!X802)</f>
        <v/>
      </c>
    </row>
    <row r="804" spans="1:65" ht="16" thickBot="1" x14ac:dyDescent="0.4">
      <c r="A804">
        <v>1</v>
      </c>
      <c r="B804" s="304"/>
      <c r="C804" s="305"/>
      <c r="D804" s="306"/>
      <c r="E804" s="36"/>
      <c r="F804" s="168"/>
      <c r="G804" s="169"/>
      <c r="H804" s="170"/>
      <c r="I804" s="57"/>
      <c r="J804" s="56"/>
      <c r="K804" s="171"/>
      <c r="L804" s="142"/>
      <c r="M804" s="172"/>
      <c r="N804" s="173"/>
      <c r="O804" s="174"/>
      <c r="P804" s="175"/>
      <c r="Q804" s="182"/>
      <c r="R804" s="182"/>
      <c r="S804" s="175"/>
      <c r="T804" s="173"/>
      <c r="U804" s="62" t="s">
        <v>48</v>
      </c>
      <c r="V804" s="177" t="s">
        <v>89</v>
      </c>
      <c r="W804" s="177" t="s">
        <v>89</v>
      </c>
      <c r="X804" s="230"/>
      <c r="Y804" s="177"/>
      <c r="Z804" s="178">
        <v>12</v>
      </c>
      <c r="AA804" s="297"/>
      <c r="AB804" s="21" t="s">
        <v>2</v>
      </c>
      <c r="AH804" s="63">
        <v>1</v>
      </c>
      <c r="AO804" s="10" t="s">
        <v>3</v>
      </c>
      <c r="AP804" s="297"/>
      <c r="AQ804" s="178">
        <v>12</v>
      </c>
      <c r="AR804" s="177"/>
      <c r="AS804" s="222"/>
      <c r="AT804" s="177" t="s">
        <v>89</v>
      </c>
      <c r="AU804" s="177" t="s">
        <v>89</v>
      </c>
      <c r="AV804" s="62" t="s">
        <v>48</v>
      </c>
      <c r="AW804" s="173"/>
      <c r="AX804" s="175"/>
      <c r="AY804" s="182"/>
      <c r="AZ804" s="182"/>
      <c r="BA804" s="175"/>
      <c r="BB804" s="180"/>
      <c r="BC804" s="172"/>
      <c r="BD804" s="172"/>
      <c r="BE804" s="142"/>
      <c r="BF804" s="171"/>
      <c r="BG804" s="56"/>
      <c r="BH804" s="57"/>
      <c r="BI804" s="170"/>
      <c r="BJ804" s="169"/>
      <c r="BK804" s="181"/>
      <c r="BL804" s="36"/>
      <c r="BM804" s="36" t="str">
        <f>IF('[1]V1 V2'!X803="","",'[1]V1 V2'!X803)</f>
        <v/>
      </c>
    </row>
    <row r="805" spans="1:65" ht="16" thickBot="1" x14ac:dyDescent="0.4">
      <c r="A805">
        <v>1</v>
      </c>
      <c r="B805" s="304" t="s">
        <v>2449</v>
      </c>
      <c r="C805" s="305"/>
      <c r="D805" s="306"/>
      <c r="E805" s="36">
        <f>VLOOKUP($B805,'[1]V1 V2'!$B$5:$BW$1894,74,0)</f>
        <v>0</v>
      </c>
      <c r="F805" s="168"/>
      <c r="G805" s="169"/>
      <c r="H805" s="170"/>
      <c r="I805" s="57"/>
      <c r="J805" s="56">
        <v>-12</v>
      </c>
      <c r="K805" s="171"/>
      <c r="L805" s="142">
        <v>3.8</v>
      </c>
      <c r="M805" s="172"/>
      <c r="N805" s="173"/>
      <c r="O805" s="174"/>
      <c r="P805" s="175"/>
      <c r="Q805" s="182" t="s">
        <v>100</v>
      </c>
      <c r="R805" s="182" t="s">
        <v>29</v>
      </c>
      <c r="S805" s="175"/>
      <c r="T805" s="173" t="s">
        <v>30</v>
      </c>
      <c r="U805" s="62"/>
      <c r="V805" s="177" t="s">
        <v>2450</v>
      </c>
      <c r="W805" s="177" t="s">
        <v>2451</v>
      </c>
      <c r="X805" s="177">
        <v>29088.429000000007</v>
      </c>
      <c r="Y805" s="177">
        <v>5714.7099999999973</v>
      </c>
      <c r="Z805" s="178"/>
      <c r="AA805" s="297" t="s">
        <v>2449</v>
      </c>
      <c r="AB805" s="21" t="s">
        <v>2</v>
      </c>
      <c r="AH805" s="63">
        <v>1</v>
      </c>
      <c r="AO805" s="10" t="s">
        <v>3</v>
      </c>
      <c r="AP805" s="297" t="s">
        <v>2452</v>
      </c>
      <c r="AQ805" s="178"/>
      <c r="AR805" s="177">
        <v>5711.91</v>
      </c>
      <c r="AS805" s="222">
        <f>AS803-AQ804</f>
        <v>29549.03899999999</v>
      </c>
      <c r="AT805" s="177" t="s">
        <v>2453</v>
      </c>
      <c r="AU805" s="177" t="s">
        <v>2454</v>
      </c>
      <c r="AV805" s="62"/>
      <c r="AW805" s="173" t="s">
        <v>30</v>
      </c>
      <c r="AX805" s="175"/>
      <c r="AY805" s="182" t="s">
        <v>29</v>
      </c>
      <c r="AZ805" s="182" t="s">
        <v>100</v>
      </c>
      <c r="BA805" s="175"/>
      <c r="BB805" s="180"/>
      <c r="BC805" s="172"/>
      <c r="BD805" s="172"/>
      <c r="BE805" s="142">
        <v>3.8</v>
      </c>
      <c r="BF805" s="171"/>
      <c r="BG805" s="56">
        <v>-12</v>
      </c>
      <c r="BH805" s="57"/>
      <c r="BI805" s="170"/>
      <c r="BJ805" s="169"/>
      <c r="BK805" s="181"/>
      <c r="BL805" s="36">
        <f>VLOOKUP($AP805,'[1]V1 V2'!$B$5:$BW$1894,74,0)</f>
        <v>0</v>
      </c>
      <c r="BM805" s="36" t="str">
        <f>IF('[1]V1 V2'!X804="","",'[1]V1 V2'!X804)</f>
        <v/>
      </c>
    </row>
    <row r="806" spans="1:65" ht="16" thickBot="1" x14ac:dyDescent="0.4">
      <c r="A806">
        <v>1</v>
      </c>
      <c r="B806" s="304"/>
      <c r="C806" s="305"/>
      <c r="D806" s="306"/>
      <c r="E806" s="36"/>
      <c r="F806" s="168"/>
      <c r="G806" s="169"/>
      <c r="H806" s="170"/>
      <c r="I806" s="57"/>
      <c r="J806" s="56"/>
      <c r="K806" s="171"/>
      <c r="L806" s="142"/>
      <c r="M806" s="172"/>
      <c r="N806" s="173"/>
      <c r="O806" s="174"/>
      <c r="P806" s="175"/>
      <c r="Q806" s="182"/>
      <c r="R806" s="182"/>
      <c r="S806" s="175"/>
      <c r="T806" s="173"/>
      <c r="U806" s="62"/>
      <c r="V806" s="177" t="s">
        <v>89</v>
      </c>
      <c r="W806" s="177" t="s">
        <v>89</v>
      </c>
      <c r="X806" s="230"/>
      <c r="Y806" s="177"/>
      <c r="Z806" s="178">
        <v>12</v>
      </c>
      <c r="AA806" s="297"/>
      <c r="AB806" s="21" t="s">
        <v>2</v>
      </c>
      <c r="AH806" s="63">
        <v>1</v>
      </c>
      <c r="AO806" s="10" t="s">
        <v>3</v>
      </c>
      <c r="AP806" s="297"/>
      <c r="AQ806" s="178">
        <v>12</v>
      </c>
      <c r="AR806" s="177"/>
      <c r="AS806" s="222"/>
      <c r="AT806" s="177" t="s">
        <v>89</v>
      </c>
      <c r="AU806" s="177" t="s">
        <v>89</v>
      </c>
      <c r="AV806" s="62"/>
      <c r="AW806" s="173"/>
      <c r="AX806" s="175"/>
      <c r="AY806" s="182"/>
      <c r="AZ806" s="182"/>
      <c r="BA806" s="175"/>
      <c r="BB806" s="180"/>
      <c r="BC806" s="172"/>
      <c r="BD806" s="172"/>
      <c r="BE806" s="142"/>
      <c r="BF806" s="171"/>
      <c r="BG806" s="56"/>
      <c r="BH806" s="57"/>
      <c r="BI806" s="170"/>
      <c r="BJ806" s="169"/>
      <c r="BK806" s="181"/>
      <c r="BL806" s="36"/>
      <c r="BM806" s="36" t="str">
        <f>IF('[1]V1 V2'!X805="","",'[1]V1 V2'!X805)</f>
        <v/>
      </c>
    </row>
    <row r="807" spans="1:65" ht="16" thickBot="1" x14ac:dyDescent="0.4">
      <c r="A807">
        <v>1</v>
      </c>
      <c r="B807" s="310" t="s">
        <v>2455</v>
      </c>
      <c r="C807" s="311"/>
      <c r="D807" s="312"/>
      <c r="E807" s="36">
        <f>VLOOKUP($B807,'[1]V1 V2'!$B$5:$BW$1894,74,0)</f>
        <v>0</v>
      </c>
      <c r="F807" s="144"/>
      <c r="G807" s="145"/>
      <c r="H807" s="69" t="s">
        <v>2267</v>
      </c>
      <c r="I807" s="87">
        <v>-20</v>
      </c>
      <c r="J807" s="86" t="s">
        <v>120</v>
      </c>
      <c r="K807" s="147"/>
      <c r="L807" s="148">
        <v>3.8</v>
      </c>
      <c r="M807" s="149"/>
      <c r="N807" s="150"/>
      <c r="O807" s="151"/>
      <c r="P807" s="152"/>
      <c r="Q807" s="153" t="s">
        <v>83</v>
      </c>
      <c r="R807" s="153" t="s">
        <v>29</v>
      </c>
      <c r="S807" s="152"/>
      <c r="T807" s="150" t="s">
        <v>33</v>
      </c>
      <c r="U807" s="80"/>
      <c r="V807" s="154" t="s">
        <v>2456</v>
      </c>
      <c r="W807" s="154" t="s">
        <v>2457</v>
      </c>
      <c r="X807" s="404">
        <v>29076.429000000007</v>
      </c>
      <c r="Y807" s="154">
        <v>5726.7099999999973</v>
      </c>
      <c r="Z807" s="155"/>
      <c r="AA807" s="315" t="s">
        <v>2455</v>
      </c>
      <c r="AB807" s="21" t="s">
        <v>2</v>
      </c>
      <c r="AH807" s="63">
        <v>1</v>
      </c>
      <c r="AO807" s="10" t="s">
        <v>3</v>
      </c>
      <c r="AP807" s="315" t="s">
        <v>2458</v>
      </c>
      <c r="AQ807" s="155"/>
      <c r="AR807" s="154">
        <v>5723.91</v>
      </c>
      <c r="AS807" s="154">
        <f>AS805-AQ806</f>
        <v>29537.03899999999</v>
      </c>
      <c r="AT807" s="154" t="s">
        <v>2459</v>
      </c>
      <c r="AU807" s="154" t="s">
        <v>2460</v>
      </c>
      <c r="AV807" s="80"/>
      <c r="AW807" s="150" t="s">
        <v>30</v>
      </c>
      <c r="AX807" s="152"/>
      <c r="AY807" s="153" t="s">
        <v>29</v>
      </c>
      <c r="AZ807" s="153" t="s">
        <v>100</v>
      </c>
      <c r="BA807" s="152"/>
      <c r="BB807" s="157"/>
      <c r="BC807" s="149"/>
      <c r="BD807" s="149"/>
      <c r="BE807" s="148">
        <v>3.8</v>
      </c>
      <c r="BF807" s="147"/>
      <c r="BG807" s="316" t="s">
        <v>120</v>
      </c>
      <c r="BH807" s="87">
        <v>-20</v>
      </c>
      <c r="BI807" s="92" t="s">
        <v>2267</v>
      </c>
      <c r="BJ807" s="145"/>
      <c r="BK807" s="160"/>
      <c r="BL807" s="36">
        <f>VLOOKUP($AP807,'[1]V1 V2'!$B$5:$BW$1894,74,0)</f>
        <v>0</v>
      </c>
      <c r="BM807" s="202" t="str">
        <f>IF('[1]V1 V2'!X806="","",'[1]V1 V2'!X806)</f>
        <v>FA</v>
      </c>
    </row>
    <row r="808" spans="1:65" ht="16" thickBot="1" x14ac:dyDescent="0.4">
      <c r="A808">
        <v>1</v>
      </c>
      <c r="B808" s="310"/>
      <c r="C808" s="311"/>
      <c r="D808" s="312"/>
      <c r="E808" s="36"/>
      <c r="F808" s="144"/>
      <c r="G808" s="145"/>
      <c r="H808" s="92" t="s">
        <v>8</v>
      </c>
      <c r="I808" s="257"/>
      <c r="J808" s="158"/>
      <c r="K808" s="147"/>
      <c r="L808" s="148"/>
      <c r="M808" s="149"/>
      <c r="N808" s="150"/>
      <c r="O808" s="151"/>
      <c r="P808" s="152"/>
      <c r="Q808" s="153"/>
      <c r="R808" s="153"/>
      <c r="S808" s="152"/>
      <c r="T808" s="150"/>
      <c r="U808" s="80"/>
      <c r="V808" s="154" t="s">
        <v>89</v>
      </c>
      <c r="W808" s="154" t="s">
        <v>89</v>
      </c>
      <c r="X808" s="405"/>
      <c r="Y808" s="154"/>
      <c r="Z808" s="155">
        <v>12</v>
      </c>
      <c r="AA808" s="315"/>
      <c r="AB808" s="21" t="s">
        <v>2</v>
      </c>
      <c r="AH808" s="63">
        <v>1</v>
      </c>
      <c r="AO808" s="10" t="s">
        <v>3</v>
      </c>
      <c r="AP808" s="315"/>
      <c r="AQ808" s="155">
        <v>12</v>
      </c>
      <c r="AR808" s="154"/>
      <c r="AS808" s="154"/>
      <c r="AT808" s="154" t="s">
        <v>89</v>
      </c>
      <c r="AU808" s="154" t="s">
        <v>89</v>
      </c>
      <c r="AV808" s="80"/>
      <c r="AW808" s="150"/>
      <c r="AX808" s="152"/>
      <c r="AY808" s="153"/>
      <c r="AZ808" s="153"/>
      <c r="BA808" s="152"/>
      <c r="BB808" s="157"/>
      <c r="BC808" s="149"/>
      <c r="BD808" s="149"/>
      <c r="BE808" s="148"/>
      <c r="BF808" s="147"/>
      <c r="BG808" s="158"/>
      <c r="BH808" s="257"/>
      <c r="BI808" s="98" t="s">
        <v>8</v>
      </c>
      <c r="BJ808" s="145"/>
      <c r="BK808" s="160"/>
      <c r="BL808" s="36"/>
      <c r="BM808" s="36" t="str">
        <f>IF('[1]V1 V2'!X807="","",'[1]V1 V2'!X807)</f>
        <v/>
      </c>
    </row>
    <row r="809" spans="1:65" ht="16" thickBot="1" x14ac:dyDescent="0.4">
      <c r="A809">
        <v>1</v>
      </c>
      <c r="B809" s="203" t="s">
        <v>2461</v>
      </c>
      <c r="C809" s="204"/>
      <c r="D809" s="309" t="s">
        <v>392</v>
      </c>
      <c r="E809" s="36">
        <f>VLOOKUP($B809,'[1]V1 V2'!$B$5:$BW$1894,74,0)</f>
        <v>0</v>
      </c>
      <c r="F809" s="206" t="s">
        <v>399</v>
      </c>
      <c r="G809" s="207" t="s">
        <v>400</v>
      </c>
      <c r="H809" s="386" t="s">
        <v>2462</v>
      </c>
      <c r="I809" s="406">
        <v>-12</v>
      </c>
      <c r="J809" s="407" t="s">
        <v>127</v>
      </c>
      <c r="K809" s="208"/>
      <c r="L809" s="209">
        <v>3.8</v>
      </c>
      <c r="M809" s="210"/>
      <c r="N809" s="211"/>
      <c r="O809" s="212"/>
      <c r="P809" s="213"/>
      <c r="Q809" s="214" t="s">
        <v>83</v>
      </c>
      <c r="R809" s="214" t="s">
        <v>29</v>
      </c>
      <c r="S809" s="213"/>
      <c r="T809" s="211" t="s">
        <v>33</v>
      </c>
      <c r="U809" s="108"/>
      <c r="V809" s="215" t="s">
        <v>2463</v>
      </c>
      <c r="W809" s="215" t="s">
        <v>2464</v>
      </c>
      <c r="X809" s="215">
        <v>29064.429000000007</v>
      </c>
      <c r="Y809" s="215">
        <v>5738.7099999999973</v>
      </c>
      <c r="Z809" s="216"/>
      <c r="AA809" s="217" t="s">
        <v>2461</v>
      </c>
      <c r="AB809" s="21" t="s">
        <v>2</v>
      </c>
      <c r="AH809" s="63">
        <v>1</v>
      </c>
      <c r="AO809" s="10" t="s">
        <v>3</v>
      </c>
      <c r="AP809" s="217" t="s">
        <v>2465</v>
      </c>
      <c r="AQ809" s="216"/>
      <c r="AR809" s="215">
        <v>5735.91</v>
      </c>
      <c r="AS809" s="215">
        <f>AS807-AQ808</f>
        <v>29525.03899999999</v>
      </c>
      <c r="AT809" s="215" t="s">
        <v>2466</v>
      </c>
      <c r="AU809" s="215" t="s">
        <v>2467</v>
      </c>
      <c r="AV809" s="108"/>
      <c r="AW809" s="211" t="s">
        <v>33</v>
      </c>
      <c r="AX809" s="213"/>
      <c r="AY809" s="214" t="s">
        <v>29</v>
      </c>
      <c r="AZ809" s="214" t="s">
        <v>83</v>
      </c>
      <c r="BA809" s="213"/>
      <c r="BB809" s="218"/>
      <c r="BC809" s="210"/>
      <c r="BD809" s="210"/>
      <c r="BE809" s="209">
        <v>3.8</v>
      </c>
      <c r="BF809" s="208"/>
      <c r="BG809" s="408" t="s">
        <v>127</v>
      </c>
      <c r="BH809" s="406">
        <v>-12</v>
      </c>
      <c r="BI809" s="409" t="s">
        <v>2462</v>
      </c>
      <c r="BJ809" s="207" t="s">
        <v>400</v>
      </c>
      <c r="BK809" s="220" t="s">
        <v>399</v>
      </c>
      <c r="BL809" s="36">
        <f>VLOOKUP($AP809,'[1]V1 V2'!$B$5:$BW$1894,74,0)</f>
        <v>0</v>
      </c>
      <c r="BM809" s="36" t="str">
        <f>IF('[1]V1 V2'!X808="","",'[1]V1 V2'!X808)</f>
        <v/>
      </c>
    </row>
    <row r="810" spans="1:65" ht="16" thickBot="1" x14ac:dyDescent="0.4">
      <c r="A810">
        <v>1</v>
      </c>
      <c r="B810" s="304"/>
      <c r="C810" s="305"/>
      <c r="D810" s="306"/>
      <c r="E810" s="36"/>
      <c r="F810" s="168"/>
      <c r="G810" s="169"/>
      <c r="H810" s="336"/>
      <c r="I810" s="410"/>
      <c r="J810" s="411"/>
      <c r="K810" s="171"/>
      <c r="L810" s="142"/>
      <c r="M810" s="172"/>
      <c r="N810" s="173"/>
      <c r="O810" s="174"/>
      <c r="P810" s="175"/>
      <c r="Q810" s="182"/>
      <c r="R810" s="182"/>
      <c r="S810" s="175"/>
      <c r="T810" s="173"/>
      <c r="U810" s="62"/>
      <c r="V810" s="177" t="s">
        <v>89</v>
      </c>
      <c r="W810" s="177" t="s">
        <v>89</v>
      </c>
      <c r="X810" s="230"/>
      <c r="Y810" s="177"/>
      <c r="Z810" s="178">
        <v>6.2</v>
      </c>
      <c r="AA810" s="297"/>
      <c r="AB810" s="21" t="s">
        <v>2</v>
      </c>
      <c r="AH810" s="63">
        <v>1</v>
      </c>
      <c r="AO810" s="10" t="s">
        <v>3</v>
      </c>
      <c r="AP810" s="297"/>
      <c r="AQ810" s="178">
        <v>6.2</v>
      </c>
      <c r="AR810" s="177"/>
      <c r="AS810" s="222"/>
      <c r="AT810" s="177" t="s">
        <v>89</v>
      </c>
      <c r="AU810" s="177" t="s">
        <v>89</v>
      </c>
      <c r="AV810" s="62"/>
      <c r="AW810" s="173"/>
      <c r="AX810" s="175"/>
      <c r="AY810" s="182"/>
      <c r="AZ810" s="182"/>
      <c r="BA810" s="175"/>
      <c r="BB810" s="180"/>
      <c r="BC810" s="172"/>
      <c r="BD810" s="172"/>
      <c r="BE810" s="142"/>
      <c r="BF810" s="171"/>
      <c r="BG810" s="412"/>
      <c r="BH810" s="413"/>
      <c r="BI810" s="414"/>
      <c r="BJ810" s="169"/>
      <c r="BK810" s="181"/>
      <c r="BL810" s="36"/>
      <c r="BM810" s="36" t="str">
        <f>IF('[1]V1 V2'!X809="","",'[1]V1 V2'!X809)</f>
        <v/>
      </c>
    </row>
    <row r="811" spans="1:65" ht="16" thickBot="1" x14ac:dyDescent="0.4">
      <c r="A811">
        <v>1</v>
      </c>
      <c r="B811" s="304" t="s">
        <v>2468</v>
      </c>
      <c r="C811" s="305"/>
      <c r="D811" s="306"/>
      <c r="E811" s="36">
        <f>VLOOKUP($B811,'[1]V1 V2'!$B$5:$BW$1894,74,0)</f>
        <v>0</v>
      </c>
      <c r="F811" s="168"/>
      <c r="G811" s="169"/>
      <c r="H811" s="170"/>
      <c r="I811" s="57"/>
      <c r="J811" s="56" t="s">
        <v>120</v>
      </c>
      <c r="K811" s="171"/>
      <c r="L811" s="142">
        <v>3.8</v>
      </c>
      <c r="M811" s="172"/>
      <c r="N811" s="173"/>
      <c r="O811" s="174"/>
      <c r="P811" s="175"/>
      <c r="Q811" s="182" t="s">
        <v>100</v>
      </c>
      <c r="R811" s="182" t="s">
        <v>29</v>
      </c>
      <c r="S811" s="175"/>
      <c r="T811" s="173" t="s">
        <v>30</v>
      </c>
      <c r="U811" s="62"/>
      <c r="V811" s="177" t="s">
        <v>2469</v>
      </c>
      <c r="W811" s="177" t="s">
        <v>2470</v>
      </c>
      <c r="X811" s="177">
        <v>29058.229000000007</v>
      </c>
      <c r="Y811" s="177">
        <v>5744.9099999999971</v>
      </c>
      <c r="Z811" s="178"/>
      <c r="AA811" s="297" t="s">
        <v>2468</v>
      </c>
      <c r="AB811" s="21" t="s">
        <v>2</v>
      </c>
      <c r="AH811" s="63">
        <v>1</v>
      </c>
      <c r="AO811" s="10" t="s">
        <v>3</v>
      </c>
      <c r="AP811" s="297" t="s">
        <v>2471</v>
      </c>
      <c r="AQ811" s="178"/>
      <c r="AR811" s="177">
        <v>5742.11</v>
      </c>
      <c r="AS811" s="222">
        <f>AS809-AQ810</f>
        <v>29518.838999999989</v>
      </c>
      <c r="AT811" s="177" t="s">
        <v>2472</v>
      </c>
      <c r="AU811" s="177" t="s">
        <v>2473</v>
      </c>
      <c r="AV811" s="62"/>
      <c r="AW811" s="173" t="s">
        <v>33</v>
      </c>
      <c r="AX811" s="175"/>
      <c r="AY811" s="182" t="s">
        <v>29</v>
      </c>
      <c r="AZ811" s="182" t="s">
        <v>83</v>
      </c>
      <c r="BA811" s="175"/>
      <c r="BB811" s="180"/>
      <c r="BC811" s="172"/>
      <c r="BD811" s="172"/>
      <c r="BE811" s="142">
        <v>3.8</v>
      </c>
      <c r="BF811" s="171"/>
      <c r="BG811" s="183" t="s">
        <v>120</v>
      </c>
      <c r="BH811" s="57"/>
      <c r="BI811" s="170"/>
      <c r="BJ811" s="169"/>
      <c r="BK811" s="181"/>
      <c r="BL811" s="36">
        <f>VLOOKUP($AP811,'[1]V1 V2'!$B$5:$BW$1894,74,0)</f>
        <v>0</v>
      </c>
      <c r="BM811" s="36" t="str">
        <f>IF('[1]V1 V2'!X810="","",'[1]V1 V2'!X810)</f>
        <v/>
      </c>
    </row>
    <row r="812" spans="1:65" ht="16" thickBot="1" x14ac:dyDescent="0.4">
      <c r="A812">
        <v>1</v>
      </c>
      <c r="B812" s="304"/>
      <c r="C812" s="305"/>
      <c r="D812" s="306"/>
      <c r="E812" s="36"/>
      <c r="F812" s="168"/>
      <c r="G812" s="169"/>
      <c r="H812" s="170"/>
      <c r="I812" s="57"/>
      <c r="J812" s="56"/>
      <c r="K812" s="171"/>
      <c r="L812" s="142"/>
      <c r="M812" s="172"/>
      <c r="N812" s="173"/>
      <c r="O812" s="174"/>
      <c r="P812" s="175"/>
      <c r="Q812" s="182"/>
      <c r="R812" s="182"/>
      <c r="S812" s="175"/>
      <c r="T812" s="173"/>
      <c r="U812" s="62"/>
      <c r="V812" s="177" t="s">
        <v>89</v>
      </c>
      <c r="W812" s="177" t="s">
        <v>89</v>
      </c>
      <c r="X812" s="230"/>
      <c r="Y812" s="177"/>
      <c r="Z812" s="178">
        <v>12</v>
      </c>
      <c r="AA812" s="297"/>
      <c r="AB812" s="21" t="s">
        <v>2</v>
      </c>
      <c r="AH812" s="63">
        <v>1</v>
      </c>
      <c r="AO812" s="10" t="s">
        <v>3</v>
      </c>
      <c r="AP812" s="297"/>
      <c r="AQ812" s="178">
        <v>12</v>
      </c>
      <c r="AR812" s="177"/>
      <c r="AS812" s="222"/>
      <c r="AT812" s="177" t="s">
        <v>89</v>
      </c>
      <c r="AU812" s="177" t="s">
        <v>89</v>
      </c>
      <c r="AV812" s="62"/>
      <c r="AW812" s="173"/>
      <c r="AX812" s="175"/>
      <c r="AY812" s="182"/>
      <c r="AZ812" s="182"/>
      <c r="BA812" s="175"/>
      <c r="BB812" s="180"/>
      <c r="BC812" s="172"/>
      <c r="BD812" s="172"/>
      <c r="BE812" s="142"/>
      <c r="BF812" s="171"/>
      <c r="BG812" s="56"/>
      <c r="BH812" s="57"/>
      <c r="BI812" s="170"/>
      <c r="BJ812" s="169"/>
      <c r="BK812" s="181"/>
      <c r="BL812" s="36"/>
      <c r="BM812" s="36" t="str">
        <f>IF('[1]V1 V2'!X811="","",'[1]V1 V2'!X811)</f>
        <v/>
      </c>
    </row>
    <row r="813" spans="1:65" ht="16" thickBot="1" x14ac:dyDescent="0.4">
      <c r="A813">
        <v>1</v>
      </c>
      <c r="B813" s="304" t="s">
        <v>2474</v>
      </c>
      <c r="C813" s="305"/>
      <c r="D813" s="306"/>
      <c r="E813" s="36">
        <f>VLOOKUP($B813,'[1]V1 V2'!$B$5:$BW$1894,74,0)</f>
        <v>0</v>
      </c>
      <c r="F813" s="168"/>
      <c r="G813" s="169"/>
      <c r="H813" s="170"/>
      <c r="I813" s="57"/>
      <c r="J813" s="56" t="s">
        <v>113</v>
      </c>
      <c r="K813" s="171"/>
      <c r="L813" s="142">
        <v>3.8</v>
      </c>
      <c r="M813" s="172"/>
      <c r="N813" s="173"/>
      <c r="O813" s="174"/>
      <c r="P813" s="175"/>
      <c r="Q813" s="182" t="s">
        <v>100</v>
      </c>
      <c r="R813" s="182" t="s">
        <v>29</v>
      </c>
      <c r="S813" s="175"/>
      <c r="T813" s="173" t="s">
        <v>30</v>
      </c>
      <c r="U813" s="62"/>
      <c r="V813" s="177" t="s">
        <v>2475</v>
      </c>
      <c r="W813" s="177" t="s">
        <v>2476</v>
      </c>
      <c r="X813" s="177">
        <v>29046.229000000007</v>
      </c>
      <c r="Y813" s="177">
        <v>5756.9099999999971</v>
      </c>
      <c r="Z813" s="178"/>
      <c r="AA813" s="297" t="s">
        <v>2474</v>
      </c>
      <c r="AB813" s="21" t="s">
        <v>2</v>
      </c>
      <c r="AH813" s="63">
        <v>1</v>
      </c>
      <c r="AO813" s="10" t="s">
        <v>3</v>
      </c>
      <c r="AP813" s="297" t="s">
        <v>2477</v>
      </c>
      <c r="AQ813" s="178"/>
      <c r="AR813" s="177">
        <v>5754.11</v>
      </c>
      <c r="AS813" s="222">
        <f>AS811-AQ812</f>
        <v>29506.838999999989</v>
      </c>
      <c r="AT813" s="177" t="s">
        <v>2478</v>
      </c>
      <c r="AU813" s="177" t="s">
        <v>2479</v>
      </c>
      <c r="AV813" s="62"/>
      <c r="AW813" s="173" t="s">
        <v>30</v>
      </c>
      <c r="AX813" s="175"/>
      <c r="AY813" s="182" t="s">
        <v>29</v>
      </c>
      <c r="AZ813" s="182" t="s">
        <v>100</v>
      </c>
      <c r="BA813" s="175"/>
      <c r="BB813" s="180"/>
      <c r="BC813" s="172"/>
      <c r="BD813" s="172"/>
      <c r="BE813" s="142">
        <v>3.8</v>
      </c>
      <c r="BF813" s="171"/>
      <c r="BG813" s="183" t="s">
        <v>113</v>
      </c>
      <c r="BH813" s="57"/>
      <c r="BI813" s="170"/>
      <c r="BJ813" s="169"/>
      <c r="BK813" s="181"/>
      <c r="BL813" s="36">
        <f>VLOOKUP($AP813,'[1]V1 V2'!$B$5:$BW$1894,74,0)</f>
        <v>0</v>
      </c>
      <c r="BM813" s="36" t="str">
        <f>IF('[1]V1 V2'!X812="","",'[1]V1 V2'!X812)</f>
        <v/>
      </c>
    </row>
    <row r="814" spans="1:65" ht="16" thickBot="1" x14ac:dyDescent="0.4">
      <c r="A814">
        <v>1</v>
      </c>
      <c r="B814" s="304"/>
      <c r="C814" s="305"/>
      <c r="D814" s="306"/>
      <c r="E814" s="36"/>
      <c r="F814" s="168"/>
      <c r="G814" s="169"/>
      <c r="H814" s="170"/>
      <c r="I814" s="57"/>
      <c r="J814" s="56"/>
      <c r="K814" s="171"/>
      <c r="L814" s="142"/>
      <c r="M814" s="172"/>
      <c r="N814" s="173"/>
      <c r="O814" s="174"/>
      <c r="P814" s="175"/>
      <c r="Q814" s="182"/>
      <c r="R814" s="182"/>
      <c r="S814" s="175"/>
      <c r="T814" s="173"/>
      <c r="U814" s="62"/>
      <c r="V814" s="177" t="s">
        <v>89</v>
      </c>
      <c r="W814" s="177" t="s">
        <v>89</v>
      </c>
      <c r="X814" s="230"/>
      <c r="Y814" s="177"/>
      <c r="Z814" s="178">
        <v>12</v>
      </c>
      <c r="AA814" s="297"/>
      <c r="AB814" s="21" t="s">
        <v>2</v>
      </c>
      <c r="AH814" s="63">
        <v>1</v>
      </c>
      <c r="AO814" s="10" t="s">
        <v>3</v>
      </c>
      <c r="AP814" s="297"/>
      <c r="AQ814" s="178">
        <v>12</v>
      </c>
      <c r="AR814" s="177"/>
      <c r="AS814" s="222"/>
      <c r="AT814" s="177" t="s">
        <v>89</v>
      </c>
      <c r="AU814" s="177" t="s">
        <v>89</v>
      </c>
      <c r="AV814" s="62"/>
      <c r="AW814" s="173"/>
      <c r="AX814" s="175"/>
      <c r="AY814" s="182"/>
      <c r="AZ814" s="182"/>
      <c r="BA814" s="175"/>
      <c r="BB814" s="180"/>
      <c r="BC814" s="172"/>
      <c r="BD814" s="172"/>
      <c r="BE814" s="142"/>
      <c r="BF814" s="171"/>
      <c r="BG814" s="56"/>
      <c r="BH814" s="57"/>
      <c r="BI814" s="170"/>
      <c r="BJ814" s="169"/>
      <c r="BK814" s="181"/>
      <c r="BL814" s="36"/>
      <c r="BM814" s="36" t="str">
        <f>IF('[1]V1 V2'!X813="","",'[1]V1 V2'!X813)</f>
        <v/>
      </c>
    </row>
    <row r="815" spans="1:65" ht="16" thickBot="1" x14ac:dyDescent="0.4">
      <c r="A815">
        <v>1</v>
      </c>
      <c r="B815" s="304" t="s">
        <v>2480</v>
      </c>
      <c r="C815" s="305"/>
      <c r="D815" s="306"/>
      <c r="E815" s="36">
        <f>VLOOKUP($B815,'[1]V1 V2'!$B$5:$BW$1894,74,0)</f>
        <v>0</v>
      </c>
      <c r="F815" s="168"/>
      <c r="G815" s="169"/>
      <c r="H815" s="170"/>
      <c r="I815" s="57"/>
      <c r="J815" s="56">
        <v>-4</v>
      </c>
      <c r="K815" s="171"/>
      <c r="L815" s="142">
        <v>3.8</v>
      </c>
      <c r="M815" s="172"/>
      <c r="N815" s="173"/>
      <c r="O815" s="174"/>
      <c r="P815" s="175"/>
      <c r="Q815" s="182" t="s">
        <v>100</v>
      </c>
      <c r="R815" s="182" t="s">
        <v>29</v>
      </c>
      <c r="S815" s="175"/>
      <c r="T815" s="173" t="s">
        <v>30</v>
      </c>
      <c r="U815" s="62"/>
      <c r="V815" s="177" t="s">
        <v>2481</v>
      </c>
      <c r="W815" s="177" t="s">
        <v>2482</v>
      </c>
      <c r="X815" s="177">
        <v>29034.229000000007</v>
      </c>
      <c r="Y815" s="177">
        <v>5768.9099999999971</v>
      </c>
      <c r="Z815" s="178"/>
      <c r="AA815" s="297" t="s">
        <v>2480</v>
      </c>
      <c r="AB815" s="21" t="s">
        <v>2</v>
      </c>
      <c r="AH815" s="63">
        <v>1</v>
      </c>
      <c r="AO815" s="10" t="s">
        <v>3</v>
      </c>
      <c r="AP815" s="297" t="s">
        <v>2483</v>
      </c>
      <c r="AQ815" s="178"/>
      <c r="AR815" s="177">
        <v>5766.11</v>
      </c>
      <c r="AS815" s="222">
        <f>AS813-AQ814</f>
        <v>29494.838999999989</v>
      </c>
      <c r="AT815" s="177" t="s">
        <v>2484</v>
      </c>
      <c r="AU815" s="177" t="s">
        <v>2485</v>
      </c>
      <c r="AV815" s="62"/>
      <c r="AW815" s="173" t="s">
        <v>30</v>
      </c>
      <c r="AX815" s="175"/>
      <c r="AY815" s="182" t="s">
        <v>29</v>
      </c>
      <c r="AZ815" s="182" t="s">
        <v>100</v>
      </c>
      <c r="BA815" s="175"/>
      <c r="BB815" s="180"/>
      <c r="BC815" s="172"/>
      <c r="BD815" s="172"/>
      <c r="BE815" s="142">
        <v>3.8</v>
      </c>
      <c r="BF815" s="171"/>
      <c r="BG815" s="56">
        <v>-4</v>
      </c>
      <c r="BH815" s="57"/>
      <c r="BI815" s="170"/>
      <c r="BJ815" s="169"/>
      <c r="BK815" s="181"/>
      <c r="BL815" s="36">
        <f>VLOOKUP($AP815,'[1]V1 V2'!$B$5:$BW$1894,74,0)</f>
        <v>0</v>
      </c>
      <c r="BM815" s="36" t="str">
        <f>IF('[1]V1 V2'!X814="","",'[1]V1 V2'!X814)</f>
        <v/>
      </c>
    </row>
    <row r="816" spans="1:65" ht="16" thickBot="1" x14ac:dyDescent="0.4">
      <c r="A816">
        <v>1</v>
      </c>
      <c r="B816" s="304"/>
      <c r="C816" s="305"/>
      <c r="D816" s="306"/>
      <c r="E816" s="36"/>
      <c r="F816" s="168"/>
      <c r="G816" s="169"/>
      <c r="H816" s="170"/>
      <c r="I816" s="57"/>
      <c r="J816" s="56"/>
      <c r="K816" s="171"/>
      <c r="L816" s="142"/>
      <c r="M816" s="172"/>
      <c r="N816" s="173"/>
      <c r="O816" s="174"/>
      <c r="P816" s="175"/>
      <c r="Q816" s="182"/>
      <c r="R816" s="182"/>
      <c r="S816" s="175"/>
      <c r="T816" s="173"/>
      <c r="U816" s="62"/>
      <c r="V816" s="177" t="s">
        <v>89</v>
      </c>
      <c r="W816" s="177" t="s">
        <v>89</v>
      </c>
      <c r="X816" s="230"/>
      <c r="Y816" s="177"/>
      <c r="Z816" s="178">
        <v>12</v>
      </c>
      <c r="AA816" s="297"/>
      <c r="AB816" s="21" t="s">
        <v>2</v>
      </c>
      <c r="AH816" s="63">
        <v>1</v>
      </c>
      <c r="AO816" s="10" t="s">
        <v>3</v>
      </c>
      <c r="AP816" s="297"/>
      <c r="AQ816" s="178">
        <v>12</v>
      </c>
      <c r="AR816" s="177"/>
      <c r="AS816" s="222"/>
      <c r="AT816" s="177" t="s">
        <v>89</v>
      </c>
      <c r="AU816" s="177" t="s">
        <v>89</v>
      </c>
      <c r="AV816" s="62"/>
      <c r="AW816" s="173"/>
      <c r="AX816" s="175"/>
      <c r="AY816" s="182"/>
      <c r="AZ816" s="182"/>
      <c r="BA816" s="175"/>
      <c r="BB816" s="180"/>
      <c r="BC816" s="172"/>
      <c r="BD816" s="172"/>
      <c r="BE816" s="142"/>
      <c r="BF816" s="171"/>
      <c r="BG816" s="56"/>
      <c r="BH816" s="57"/>
      <c r="BI816" s="170"/>
      <c r="BJ816" s="169"/>
      <c r="BK816" s="181"/>
      <c r="BL816" s="36"/>
      <c r="BM816" s="36" t="str">
        <f>IF('[1]V1 V2'!X815="","",'[1]V1 V2'!X815)</f>
        <v/>
      </c>
    </row>
    <row r="817" spans="1:65" ht="16" thickBot="1" x14ac:dyDescent="0.4">
      <c r="A817">
        <v>1</v>
      </c>
      <c r="B817" s="304" t="s">
        <v>2486</v>
      </c>
      <c r="C817" s="305"/>
      <c r="D817" s="306"/>
      <c r="E817" s="36">
        <f>VLOOKUP($B817,'[1]V1 V2'!$B$5:$BW$1894,74,0)</f>
        <v>0</v>
      </c>
      <c r="F817" s="168"/>
      <c r="G817" s="169"/>
      <c r="H817" s="170"/>
      <c r="I817" s="57"/>
      <c r="J817" s="56">
        <v>-12</v>
      </c>
      <c r="K817" s="171"/>
      <c r="L817" s="142">
        <v>3.8</v>
      </c>
      <c r="M817" s="172"/>
      <c r="N817" s="173"/>
      <c r="O817" s="174"/>
      <c r="P817" s="175"/>
      <c r="Q817" s="182" t="s">
        <v>100</v>
      </c>
      <c r="R817" s="182" t="s">
        <v>29</v>
      </c>
      <c r="S817" s="175"/>
      <c r="T817" s="173" t="s">
        <v>30</v>
      </c>
      <c r="U817" s="62"/>
      <c r="V817" s="177" t="s">
        <v>2487</v>
      </c>
      <c r="W817" s="177" t="s">
        <v>2488</v>
      </c>
      <c r="X817" s="177">
        <v>29022.229000000007</v>
      </c>
      <c r="Y817" s="177">
        <v>5780.9099999999971</v>
      </c>
      <c r="Z817" s="178"/>
      <c r="AA817" s="297" t="s">
        <v>2486</v>
      </c>
      <c r="AB817" s="21" t="s">
        <v>2</v>
      </c>
      <c r="AH817" s="63">
        <v>1</v>
      </c>
      <c r="AO817" s="10" t="s">
        <v>3</v>
      </c>
      <c r="AP817" s="297" t="s">
        <v>2489</v>
      </c>
      <c r="AQ817" s="178"/>
      <c r="AR817" s="177">
        <v>5778.11</v>
      </c>
      <c r="AS817" s="222">
        <f>AS815-AQ816</f>
        <v>29482.838999999989</v>
      </c>
      <c r="AT817" s="177" t="s">
        <v>2490</v>
      </c>
      <c r="AU817" s="177" t="s">
        <v>2491</v>
      </c>
      <c r="AV817" s="62"/>
      <c r="AW817" s="173" t="s">
        <v>30</v>
      </c>
      <c r="AX817" s="175"/>
      <c r="AY817" s="182" t="s">
        <v>29</v>
      </c>
      <c r="AZ817" s="182" t="s">
        <v>100</v>
      </c>
      <c r="BA817" s="175"/>
      <c r="BB817" s="180"/>
      <c r="BC817" s="172"/>
      <c r="BD817" s="172"/>
      <c r="BE817" s="142">
        <v>3.8</v>
      </c>
      <c r="BF817" s="171"/>
      <c r="BG817" s="56">
        <v>-12</v>
      </c>
      <c r="BH817" s="57"/>
      <c r="BI817" s="170"/>
      <c r="BJ817" s="169"/>
      <c r="BK817" s="181"/>
      <c r="BL817" s="36">
        <f>VLOOKUP($AP817,'[1]V1 V2'!$B$5:$BW$1894,74,0)</f>
        <v>0</v>
      </c>
      <c r="BM817" s="36" t="str">
        <f>IF('[1]V1 V2'!X816="","",'[1]V1 V2'!X816)</f>
        <v/>
      </c>
    </row>
    <row r="818" spans="1:65" ht="16" thickBot="1" x14ac:dyDescent="0.4">
      <c r="A818">
        <v>1</v>
      </c>
      <c r="B818" s="304"/>
      <c r="C818" s="305"/>
      <c r="D818" s="306"/>
      <c r="E818" s="36"/>
      <c r="F818" s="168"/>
      <c r="G818" s="169"/>
      <c r="H818" s="170"/>
      <c r="I818" s="57"/>
      <c r="J818" s="56"/>
      <c r="K818" s="171"/>
      <c r="L818" s="142"/>
      <c r="M818" s="172"/>
      <c r="N818" s="173"/>
      <c r="O818" s="174"/>
      <c r="P818" s="175"/>
      <c r="Q818" s="182"/>
      <c r="R818" s="182"/>
      <c r="S818" s="175"/>
      <c r="T818" s="173"/>
      <c r="U818" s="62"/>
      <c r="V818" s="177" t="s">
        <v>89</v>
      </c>
      <c r="W818" s="177" t="s">
        <v>89</v>
      </c>
      <c r="X818" s="230"/>
      <c r="Y818" s="177"/>
      <c r="Z818" s="178">
        <v>12</v>
      </c>
      <c r="AA818" s="297"/>
      <c r="AB818" s="21" t="s">
        <v>2</v>
      </c>
      <c r="AH818" s="63">
        <v>1</v>
      </c>
      <c r="AO818" s="10" t="s">
        <v>3</v>
      </c>
      <c r="AP818" s="297"/>
      <c r="AQ818" s="178">
        <v>12</v>
      </c>
      <c r="AR818" s="177"/>
      <c r="AS818" s="222"/>
      <c r="AT818" s="177" t="s">
        <v>89</v>
      </c>
      <c r="AU818" s="177" t="s">
        <v>89</v>
      </c>
      <c r="AV818" s="62"/>
      <c r="AW818" s="173"/>
      <c r="AX818" s="175"/>
      <c r="AY818" s="182"/>
      <c r="AZ818" s="182"/>
      <c r="BA818" s="175"/>
      <c r="BB818" s="180"/>
      <c r="BC818" s="172"/>
      <c r="BD818" s="172"/>
      <c r="BE818" s="142"/>
      <c r="BF818" s="171"/>
      <c r="BG818" s="56"/>
      <c r="BH818" s="57"/>
      <c r="BI818" s="170"/>
      <c r="BJ818" s="169"/>
      <c r="BK818" s="181"/>
      <c r="BL818" s="36"/>
      <c r="BM818" s="36" t="str">
        <f>IF('[1]V1 V2'!X817="","",'[1]V1 V2'!X817)</f>
        <v/>
      </c>
    </row>
    <row r="819" spans="1:65" ht="16" thickBot="1" x14ac:dyDescent="0.4">
      <c r="A819">
        <v>1</v>
      </c>
      <c r="B819" s="304" t="s">
        <v>2492</v>
      </c>
      <c r="C819" s="305"/>
      <c r="D819" s="306"/>
      <c r="E819" s="36">
        <f>VLOOKUP($B819,'[1]V1 V2'!$B$5:$BW$1894,74,0)</f>
        <v>0</v>
      </c>
      <c r="F819" s="168"/>
      <c r="G819" s="169"/>
      <c r="H819" s="170"/>
      <c r="I819" s="57"/>
      <c r="J819" s="56">
        <v>-20</v>
      </c>
      <c r="K819" s="171"/>
      <c r="L819" s="142">
        <v>3.8</v>
      </c>
      <c r="M819" s="172"/>
      <c r="N819" s="173"/>
      <c r="O819" s="174"/>
      <c r="P819" s="175"/>
      <c r="Q819" s="182" t="s">
        <v>100</v>
      </c>
      <c r="R819" s="182" t="s">
        <v>29</v>
      </c>
      <c r="S819" s="175"/>
      <c r="T819" s="173" t="s">
        <v>30</v>
      </c>
      <c r="U819" s="62"/>
      <c r="V819" s="177" t="s">
        <v>2493</v>
      </c>
      <c r="W819" s="177" t="s">
        <v>2494</v>
      </c>
      <c r="X819" s="177">
        <v>29010.229000000007</v>
      </c>
      <c r="Y819" s="177">
        <v>5792.9099999999971</v>
      </c>
      <c r="Z819" s="178"/>
      <c r="AA819" s="297" t="s">
        <v>2492</v>
      </c>
      <c r="AB819" s="21" t="s">
        <v>2</v>
      </c>
      <c r="AH819" s="63">
        <v>1</v>
      </c>
      <c r="AO819" s="10" t="s">
        <v>3</v>
      </c>
      <c r="AP819" s="297" t="s">
        <v>2495</v>
      </c>
      <c r="AQ819" s="178"/>
      <c r="AR819" s="177">
        <v>5790.11</v>
      </c>
      <c r="AS819" s="222">
        <f>AS817-AQ818</f>
        <v>29470.838999999989</v>
      </c>
      <c r="AT819" s="177" t="s">
        <v>2496</v>
      </c>
      <c r="AU819" s="177" t="s">
        <v>2497</v>
      </c>
      <c r="AV819" s="62"/>
      <c r="AW819" s="173" t="s">
        <v>30</v>
      </c>
      <c r="AX819" s="175"/>
      <c r="AY819" s="182" t="s">
        <v>29</v>
      </c>
      <c r="AZ819" s="182" t="s">
        <v>100</v>
      </c>
      <c r="BA819" s="175"/>
      <c r="BB819" s="180"/>
      <c r="BC819" s="172"/>
      <c r="BD819" s="172"/>
      <c r="BE819" s="142">
        <v>3.8</v>
      </c>
      <c r="BF819" s="171"/>
      <c r="BG819" s="56">
        <v>-20</v>
      </c>
      <c r="BH819" s="57"/>
      <c r="BI819" s="170"/>
      <c r="BJ819" s="169"/>
      <c r="BK819" s="181"/>
      <c r="BL819" s="36">
        <f>VLOOKUP($AP819,'[1]V1 V2'!$B$5:$BW$1894,74,0)</f>
        <v>0</v>
      </c>
      <c r="BM819" s="36" t="str">
        <f>IF('[1]V1 V2'!X818="","",'[1]V1 V2'!X818)</f>
        <v/>
      </c>
    </row>
    <row r="820" spans="1:65" ht="16" thickBot="1" x14ac:dyDescent="0.4">
      <c r="A820">
        <v>1</v>
      </c>
      <c r="B820" s="304"/>
      <c r="C820" s="305"/>
      <c r="D820" s="306"/>
      <c r="E820" s="36"/>
      <c r="F820" s="168"/>
      <c r="G820" s="169"/>
      <c r="H820" s="170"/>
      <c r="I820" s="57"/>
      <c r="J820" s="56"/>
      <c r="K820" s="171"/>
      <c r="L820" s="142"/>
      <c r="M820" s="172"/>
      <c r="N820" s="173"/>
      <c r="O820" s="174"/>
      <c r="P820" s="175"/>
      <c r="Q820" s="182"/>
      <c r="R820" s="182"/>
      <c r="S820" s="175"/>
      <c r="T820" s="173"/>
      <c r="U820" s="62"/>
      <c r="V820" s="177" t="s">
        <v>89</v>
      </c>
      <c r="W820" s="177" t="s">
        <v>89</v>
      </c>
      <c r="X820" s="230"/>
      <c r="Y820" s="177"/>
      <c r="Z820" s="178">
        <v>12</v>
      </c>
      <c r="AA820" s="297"/>
      <c r="AB820" s="21" t="s">
        <v>2</v>
      </c>
      <c r="AH820" s="63">
        <v>1</v>
      </c>
      <c r="AO820" s="10" t="s">
        <v>3</v>
      </c>
      <c r="AP820" s="297"/>
      <c r="AQ820" s="178">
        <v>12</v>
      </c>
      <c r="AR820" s="177"/>
      <c r="AS820" s="222"/>
      <c r="AT820" s="177" t="s">
        <v>89</v>
      </c>
      <c r="AU820" s="177" t="s">
        <v>89</v>
      </c>
      <c r="AV820" s="62"/>
      <c r="AW820" s="173"/>
      <c r="AX820" s="175"/>
      <c r="AY820" s="182"/>
      <c r="AZ820" s="182"/>
      <c r="BA820" s="175"/>
      <c r="BB820" s="180"/>
      <c r="BC820" s="172"/>
      <c r="BD820" s="172"/>
      <c r="BE820" s="142"/>
      <c r="BF820" s="171"/>
      <c r="BG820" s="56"/>
      <c r="BH820" s="57"/>
      <c r="BI820" s="170"/>
      <c r="BJ820" s="169"/>
      <c r="BK820" s="181"/>
      <c r="BL820" s="36"/>
      <c r="BM820" s="36" t="str">
        <f>IF('[1]V1 V2'!X819="","",'[1]V1 V2'!X819)</f>
        <v/>
      </c>
    </row>
    <row r="821" spans="1:65" ht="16" thickBot="1" x14ac:dyDescent="0.4">
      <c r="A821">
        <v>1</v>
      </c>
      <c r="B821" s="304" t="s">
        <v>2498</v>
      </c>
      <c r="C821" s="305"/>
      <c r="D821" s="306"/>
      <c r="E821" s="36">
        <f>VLOOKUP($B821,'[1]V1 V2'!$B$5:$BW$1894,74,0)</f>
        <v>0</v>
      </c>
      <c r="F821" s="168"/>
      <c r="G821" s="169"/>
      <c r="H821" s="170"/>
      <c r="I821" s="57"/>
      <c r="J821" s="56">
        <v>-12</v>
      </c>
      <c r="K821" s="171"/>
      <c r="L821" s="142">
        <v>3.8</v>
      </c>
      <c r="M821" s="172"/>
      <c r="N821" s="173"/>
      <c r="O821" s="174"/>
      <c r="P821" s="175"/>
      <c r="Q821" s="182" t="s">
        <v>100</v>
      </c>
      <c r="R821" s="182" t="s">
        <v>29</v>
      </c>
      <c r="S821" s="175"/>
      <c r="T821" s="173" t="s">
        <v>30</v>
      </c>
      <c r="U821" s="62"/>
      <c r="V821" s="177" t="s">
        <v>2499</v>
      </c>
      <c r="W821" s="177" t="s">
        <v>2500</v>
      </c>
      <c r="X821" s="177">
        <v>28998.229000000007</v>
      </c>
      <c r="Y821" s="177">
        <v>5804.9099999999971</v>
      </c>
      <c r="Z821" s="178"/>
      <c r="AA821" s="297" t="s">
        <v>2498</v>
      </c>
      <c r="AB821" s="21" t="s">
        <v>2</v>
      </c>
      <c r="AH821" s="63">
        <v>1</v>
      </c>
      <c r="AO821" s="10" t="s">
        <v>3</v>
      </c>
      <c r="AP821" s="297" t="s">
        <v>2501</v>
      </c>
      <c r="AQ821" s="178"/>
      <c r="AR821" s="177">
        <v>5802.11</v>
      </c>
      <c r="AS821" s="222">
        <f>AS819-AQ820</f>
        <v>29458.838999999989</v>
      </c>
      <c r="AT821" s="177" t="s">
        <v>2502</v>
      </c>
      <c r="AU821" s="177" t="s">
        <v>2503</v>
      </c>
      <c r="AV821" s="62"/>
      <c r="AW821" s="173" t="s">
        <v>30</v>
      </c>
      <c r="AX821" s="175"/>
      <c r="AY821" s="182" t="s">
        <v>29</v>
      </c>
      <c r="AZ821" s="182" t="s">
        <v>100</v>
      </c>
      <c r="BA821" s="175"/>
      <c r="BB821" s="180"/>
      <c r="BC821" s="172"/>
      <c r="BD821" s="172"/>
      <c r="BE821" s="142">
        <v>3.8</v>
      </c>
      <c r="BF821" s="171"/>
      <c r="BG821" s="56">
        <v>-12</v>
      </c>
      <c r="BH821" s="57"/>
      <c r="BI821" s="170"/>
      <c r="BJ821" s="169"/>
      <c r="BK821" s="181"/>
      <c r="BL821" s="36">
        <f>VLOOKUP($AP821,'[1]V1 V2'!$B$5:$BW$1894,74,0)</f>
        <v>0</v>
      </c>
      <c r="BM821" s="36" t="str">
        <f>IF('[1]V1 V2'!X820="","",'[1]V1 V2'!X820)</f>
        <v/>
      </c>
    </row>
    <row r="822" spans="1:65" ht="16" thickBot="1" x14ac:dyDescent="0.4">
      <c r="A822">
        <v>1</v>
      </c>
      <c r="B822" s="304"/>
      <c r="C822" s="305"/>
      <c r="D822" s="306"/>
      <c r="E822" s="36"/>
      <c r="F822" s="168"/>
      <c r="G822" s="169"/>
      <c r="H822" s="170"/>
      <c r="I822" s="57"/>
      <c r="J822" s="56"/>
      <c r="K822" s="171"/>
      <c r="L822" s="142"/>
      <c r="M822" s="172"/>
      <c r="N822" s="173"/>
      <c r="O822" s="174"/>
      <c r="P822" s="175"/>
      <c r="Q822" s="182"/>
      <c r="R822" s="182"/>
      <c r="S822" s="175"/>
      <c r="T822" s="173"/>
      <c r="U822" s="62"/>
      <c r="V822" s="177" t="s">
        <v>89</v>
      </c>
      <c r="W822" s="177" t="s">
        <v>89</v>
      </c>
      <c r="X822" s="230"/>
      <c r="Y822" s="177"/>
      <c r="Z822" s="178">
        <v>12</v>
      </c>
      <c r="AA822" s="297"/>
      <c r="AB822" s="21" t="s">
        <v>2</v>
      </c>
      <c r="AH822" s="63">
        <v>1</v>
      </c>
      <c r="AO822" s="10" t="s">
        <v>3</v>
      </c>
      <c r="AP822" s="297"/>
      <c r="AQ822" s="178">
        <v>12</v>
      </c>
      <c r="AR822" s="177"/>
      <c r="AS822" s="222"/>
      <c r="AT822" s="177" t="s">
        <v>89</v>
      </c>
      <c r="AU822" s="177" t="s">
        <v>89</v>
      </c>
      <c r="AV822" s="62"/>
      <c r="AW822" s="173"/>
      <c r="AX822" s="175"/>
      <c r="AY822" s="182"/>
      <c r="AZ822" s="182"/>
      <c r="BA822" s="175"/>
      <c r="BB822" s="180"/>
      <c r="BC822" s="172"/>
      <c r="BD822" s="172"/>
      <c r="BE822" s="142"/>
      <c r="BF822" s="171"/>
      <c r="BG822" s="56"/>
      <c r="BH822" s="57"/>
      <c r="BI822" s="170"/>
      <c r="BJ822" s="169"/>
      <c r="BK822" s="181"/>
      <c r="BL822" s="36"/>
      <c r="BM822" s="36" t="str">
        <f>IF('[1]V1 V2'!X821="","",'[1]V1 V2'!X821)</f>
        <v/>
      </c>
    </row>
    <row r="823" spans="1:65" ht="16" thickBot="1" x14ac:dyDescent="0.4">
      <c r="A823">
        <v>1</v>
      </c>
      <c r="B823" s="304" t="s">
        <v>2504</v>
      </c>
      <c r="C823" s="305"/>
      <c r="D823" s="306"/>
      <c r="E823" s="36">
        <f>VLOOKUP($B823,'[1]V1 V2'!$B$5:$BW$1894,74,0)</f>
        <v>0</v>
      </c>
      <c r="F823" s="168"/>
      <c r="G823" s="169"/>
      <c r="H823" s="170"/>
      <c r="I823" s="57"/>
      <c r="J823" s="56">
        <v>-4</v>
      </c>
      <c r="K823" s="171"/>
      <c r="L823" s="142">
        <v>3.8</v>
      </c>
      <c r="M823" s="172"/>
      <c r="N823" s="173"/>
      <c r="O823" s="174"/>
      <c r="P823" s="175"/>
      <c r="Q823" s="182" t="s">
        <v>100</v>
      </c>
      <c r="R823" s="182" t="s">
        <v>29</v>
      </c>
      <c r="S823" s="175"/>
      <c r="T823" s="173" t="s">
        <v>30</v>
      </c>
      <c r="U823" s="62"/>
      <c r="V823" s="177" t="s">
        <v>2505</v>
      </c>
      <c r="W823" s="177" t="s">
        <v>2506</v>
      </c>
      <c r="X823" s="177">
        <v>28986.229000000007</v>
      </c>
      <c r="Y823" s="177">
        <v>5816.9099999999971</v>
      </c>
      <c r="Z823" s="178"/>
      <c r="AA823" s="297" t="s">
        <v>2504</v>
      </c>
      <c r="AB823" s="21" t="s">
        <v>2</v>
      </c>
      <c r="AH823" s="63">
        <v>1</v>
      </c>
      <c r="AO823" s="10" t="s">
        <v>3</v>
      </c>
      <c r="AP823" s="297" t="s">
        <v>2507</v>
      </c>
      <c r="AQ823" s="178"/>
      <c r="AR823" s="177">
        <v>5814.11</v>
      </c>
      <c r="AS823" s="222">
        <f>AS821-AQ822</f>
        <v>29446.838999999989</v>
      </c>
      <c r="AT823" s="177" t="s">
        <v>2508</v>
      </c>
      <c r="AU823" s="177" t="s">
        <v>2509</v>
      </c>
      <c r="AV823" s="62"/>
      <c r="AW823" s="173" t="s">
        <v>30</v>
      </c>
      <c r="AX823" s="175"/>
      <c r="AY823" s="182" t="s">
        <v>29</v>
      </c>
      <c r="AZ823" s="182" t="s">
        <v>100</v>
      </c>
      <c r="BA823" s="175"/>
      <c r="BB823" s="180"/>
      <c r="BC823" s="172"/>
      <c r="BD823" s="172"/>
      <c r="BE823" s="142">
        <v>3.8</v>
      </c>
      <c r="BF823" s="171"/>
      <c r="BG823" s="56">
        <v>-4</v>
      </c>
      <c r="BH823" s="57"/>
      <c r="BI823" s="170"/>
      <c r="BJ823" s="169"/>
      <c r="BK823" s="181"/>
      <c r="BL823" s="36">
        <f>VLOOKUP($AP823,'[1]V1 V2'!$B$5:$BW$1894,74,0)</f>
        <v>0</v>
      </c>
      <c r="BM823" s="36" t="str">
        <f>IF('[1]V1 V2'!X822="","",'[1]V1 V2'!X822)</f>
        <v/>
      </c>
    </row>
    <row r="824" spans="1:65" ht="16" thickBot="1" x14ac:dyDescent="0.4">
      <c r="A824">
        <v>1</v>
      </c>
      <c r="B824" s="304"/>
      <c r="C824" s="305"/>
      <c r="D824" s="306"/>
      <c r="E824" s="36"/>
      <c r="F824" s="168"/>
      <c r="G824" s="169"/>
      <c r="H824" s="170"/>
      <c r="I824" s="57"/>
      <c r="J824" s="56"/>
      <c r="K824" s="171"/>
      <c r="L824" s="142"/>
      <c r="M824" s="172"/>
      <c r="N824" s="173"/>
      <c r="O824" s="174"/>
      <c r="P824" s="175"/>
      <c r="Q824" s="182"/>
      <c r="R824" s="182"/>
      <c r="S824" s="175"/>
      <c r="T824" s="173"/>
      <c r="U824" s="62"/>
      <c r="V824" s="177" t="s">
        <v>89</v>
      </c>
      <c r="W824" s="177" t="s">
        <v>89</v>
      </c>
      <c r="X824" s="230"/>
      <c r="Y824" s="177"/>
      <c r="Z824" s="178">
        <v>12</v>
      </c>
      <c r="AA824" s="297"/>
      <c r="AB824" s="21" t="s">
        <v>2</v>
      </c>
      <c r="AH824" s="63">
        <v>1</v>
      </c>
      <c r="AO824" s="10" t="s">
        <v>3</v>
      </c>
      <c r="AP824" s="297"/>
      <c r="AQ824" s="178">
        <v>12</v>
      </c>
      <c r="AR824" s="177"/>
      <c r="AS824" s="222"/>
      <c r="AT824" s="177" t="s">
        <v>89</v>
      </c>
      <c r="AU824" s="177" t="s">
        <v>89</v>
      </c>
      <c r="AV824" s="62"/>
      <c r="AW824" s="173"/>
      <c r="AX824" s="175"/>
      <c r="AY824" s="182"/>
      <c r="AZ824" s="182"/>
      <c r="BA824" s="175"/>
      <c r="BB824" s="180"/>
      <c r="BC824" s="172"/>
      <c r="BD824" s="172"/>
      <c r="BE824" s="142"/>
      <c r="BF824" s="171"/>
      <c r="BG824" s="56"/>
      <c r="BH824" s="57"/>
      <c r="BI824" s="170"/>
      <c r="BJ824" s="169"/>
      <c r="BK824" s="181"/>
      <c r="BL824" s="36"/>
      <c r="BM824" s="36" t="str">
        <f>IF('[1]V1 V2'!X823="","",'[1]V1 V2'!X823)</f>
        <v/>
      </c>
    </row>
    <row r="825" spans="1:65" ht="16" thickBot="1" x14ac:dyDescent="0.4">
      <c r="A825">
        <v>1</v>
      </c>
      <c r="B825" s="304" t="s">
        <v>2510</v>
      </c>
      <c r="C825" s="305"/>
      <c r="D825" s="306"/>
      <c r="E825" s="36">
        <f>VLOOKUP($B825,'[1]V1 V2'!$B$5:$BW$1894,74,0)</f>
        <v>0</v>
      </c>
      <c r="F825" s="168"/>
      <c r="G825" s="169"/>
      <c r="H825" s="170"/>
      <c r="I825" s="57"/>
      <c r="J825" s="56" t="s">
        <v>113</v>
      </c>
      <c r="K825" s="171"/>
      <c r="L825" s="142">
        <v>3.8</v>
      </c>
      <c r="M825" s="172"/>
      <c r="N825" s="173"/>
      <c r="O825" s="174"/>
      <c r="P825" s="175"/>
      <c r="Q825" s="182" t="s">
        <v>100</v>
      </c>
      <c r="R825" s="182" t="s">
        <v>29</v>
      </c>
      <c r="S825" s="175"/>
      <c r="T825" s="173" t="s">
        <v>30</v>
      </c>
      <c r="U825" s="62"/>
      <c r="V825" s="177" t="s">
        <v>2511</v>
      </c>
      <c r="W825" s="177" t="s">
        <v>2512</v>
      </c>
      <c r="X825" s="177">
        <v>28974.229000000007</v>
      </c>
      <c r="Y825" s="177">
        <v>5828.9099999999971</v>
      </c>
      <c r="Z825" s="178"/>
      <c r="AA825" s="297" t="s">
        <v>2510</v>
      </c>
      <c r="AB825" s="21" t="s">
        <v>2</v>
      </c>
      <c r="AH825" s="63">
        <v>1</v>
      </c>
      <c r="AO825" s="10" t="s">
        <v>3</v>
      </c>
      <c r="AP825" s="297" t="s">
        <v>2513</v>
      </c>
      <c r="AQ825" s="178"/>
      <c r="AR825" s="177">
        <v>5826.11</v>
      </c>
      <c r="AS825" s="222">
        <f>AS823-AQ824</f>
        <v>29434.838999999989</v>
      </c>
      <c r="AT825" s="177" t="s">
        <v>2514</v>
      </c>
      <c r="AU825" s="177" t="s">
        <v>2515</v>
      </c>
      <c r="AV825" s="62"/>
      <c r="AW825" s="173" t="s">
        <v>30</v>
      </c>
      <c r="AX825" s="175"/>
      <c r="AY825" s="182" t="s">
        <v>29</v>
      </c>
      <c r="AZ825" s="182" t="s">
        <v>100</v>
      </c>
      <c r="BA825" s="175"/>
      <c r="BB825" s="180"/>
      <c r="BC825" s="172"/>
      <c r="BD825" s="172"/>
      <c r="BE825" s="142">
        <v>3.8</v>
      </c>
      <c r="BF825" s="171"/>
      <c r="BG825" s="183" t="s">
        <v>113</v>
      </c>
      <c r="BH825" s="57"/>
      <c r="BI825" s="170"/>
      <c r="BJ825" s="169"/>
      <c r="BK825" s="181"/>
      <c r="BL825" s="36">
        <f>VLOOKUP($AP825,'[1]V1 V2'!$B$5:$BW$1894,74,0)</f>
        <v>0</v>
      </c>
      <c r="BM825" s="36" t="str">
        <f>IF('[1]V1 V2'!X824="","",'[1]V1 V2'!X824)</f>
        <v/>
      </c>
    </row>
    <row r="826" spans="1:65" ht="16" thickBot="1" x14ac:dyDescent="0.4">
      <c r="A826">
        <v>1</v>
      </c>
      <c r="B826" s="304"/>
      <c r="C826" s="305"/>
      <c r="D826" s="306"/>
      <c r="E826" s="36"/>
      <c r="F826" s="168"/>
      <c r="G826" s="169"/>
      <c r="H826" s="170"/>
      <c r="I826" s="57"/>
      <c r="J826" s="56"/>
      <c r="K826" s="171"/>
      <c r="L826" s="142"/>
      <c r="M826" s="172"/>
      <c r="N826" s="173"/>
      <c r="O826" s="174"/>
      <c r="P826" s="175"/>
      <c r="Q826" s="182"/>
      <c r="R826" s="182"/>
      <c r="S826" s="175"/>
      <c r="T826" s="173"/>
      <c r="U826" s="62"/>
      <c r="V826" s="177" t="s">
        <v>89</v>
      </c>
      <c r="W826" s="177" t="s">
        <v>89</v>
      </c>
      <c r="X826" s="230"/>
      <c r="Y826" s="177"/>
      <c r="Z826" s="178">
        <v>12</v>
      </c>
      <c r="AA826" s="297"/>
      <c r="AB826" s="21" t="s">
        <v>2</v>
      </c>
      <c r="AH826" s="63">
        <v>1</v>
      </c>
      <c r="AO826" s="10" t="s">
        <v>3</v>
      </c>
      <c r="AP826" s="297"/>
      <c r="AQ826" s="178">
        <v>12</v>
      </c>
      <c r="AR826" s="177"/>
      <c r="AS826" s="222"/>
      <c r="AT826" s="177" t="s">
        <v>89</v>
      </c>
      <c r="AU826" s="177" t="s">
        <v>89</v>
      </c>
      <c r="AV826" s="62"/>
      <c r="AW826" s="173"/>
      <c r="AX826" s="175"/>
      <c r="AY826" s="182"/>
      <c r="AZ826" s="182"/>
      <c r="BA826" s="175"/>
      <c r="BB826" s="180"/>
      <c r="BC826" s="172"/>
      <c r="BD826" s="172"/>
      <c r="BE826" s="142"/>
      <c r="BF826" s="171"/>
      <c r="BG826" s="56"/>
      <c r="BH826" s="57"/>
      <c r="BI826" s="170"/>
      <c r="BJ826" s="169"/>
      <c r="BK826" s="181"/>
      <c r="BL826" s="36"/>
      <c r="BM826" s="36" t="str">
        <f>IF('[1]V1 V2'!X825="","",'[1]V1 V2'!X825)</f>
        <v/>
      </c>
    </row>
    <row r="827" spans="1:65" ht="16" thickBot="1" x14ac:dyDescent="0.4">
      <c r="A827">
        <v>1</v>
      </c>
      <c r="B827" s="304" t="s">
        <v>2516</v>
      </c>
      <c r="C827" s="305"/>
      <c r="D827" s="306"/>
      <c r="E827" s="36">
        <f>VLOOKUP($B827,'[1]V1 V2'!$B$5:$BW$1894,74,0)</f>
        <v>0</v>
      </c>
      <c r="F827" s="168"/>
      <c r="G827" s="169"/>
      <c r="H827" s="170"/>
      <c r="I827" s="57"/>
      <c r="J827" s="56" t="s">
        <v>120</v>
      </c>
      <c r="K827" s="171"/>
      <c r="L827" s="142">
        <v>3.8</v>
      </c>
      <c r="M827" s="172"/>
      <c r="N827" s="173"/>
      <c r="O827" s="174"/>
      <c r="P827" s="175"/>
      <c r="Q827" s="182" t="s">
        <v>100</v>
      </c>
      <c r="R827" s="182" t="s">
        <v>29</v>
      </c>
      <c r="S827" s="175"/>
      <c r="T827" s="173" t="s">
        <v>30</v>
      </c>
      <c r="U827" s="62"/>
      <c r="V827" s="177" t="s">
        <v>2517</v>
      </c>
      <c r="W827" s="177" t="s">
        <v>2518</v>
      </c>
      <c r="X827" s="177">
        <v>28962.229000000007</v>
      </c>
      <c r="Y827" s="177">
        <v>5840.9099999999971</v>
      </c>
      <c r="Z827" s="178"/>
      <c r="AA827" s="297" t="s">
        <v>2516</v>
      </c>
      <c r="AB827" s="21" t="s">
        <v>2</v>
      </c>
      <c r="AH827" s="63">
        <v>1</v>
      </c>
      <c r="AO827" s="10" t="s">
        <v>3</v>
      </c>
      <c r="AP827" s="297" t="s">
        <v>2519</v>
      </c>
      <c r="AQ827" s="178"/>
      <c r="AR827" s="177">
        <v>5838.11</v>
      </c>
      <c r="AS827" s="222">
        <f>AS825-AQ826</f>
        <v>29422.838999999989</v>
      </c>
      <c r="AT827" s="177" t="s">
        <v>2520</v>
      </c>
      <c r="AU827" s="177" t="s">
        <v>2521</v>
      </c>
      <c r="AV827" s="62"/>
      <c r="AW827" s="173" t="s">
        <v>30</v>
      </c>
      <c r="AX827" s="175"/>
      <c r="AY827" s="182" t="s">
        <v>29</v>
      </c>
      <c r="AZ827" s="182" t="s">
        <v>100</v>
      </c>
      <c r="BA827" s="175"/>
      <c r="BB827" s="180"/>
      <c r="BC827" s="172"/>
      <c r="BD827" s="172"/>
      <c r="BE827" s="142">
        <v>3.8</v>
      </c>
      <c r="BF827" s="171"/>
      <c r="BG827" s="183" t="s">
        <v>120</v>
      </c>
      <c r="BH827" s="57"/>
      <c r="BI827" s="170"/>
      <c r="BJ827" s="169"/>
      <c r="BK827" s="181"/>
      <c r="BL827" s="36">
        <f>VLOOKUP($AP827,'[1]V1 V2'!$B$5:$BW$1894,74,0)</f>
        <v>0</v>
      </c>
      <c r="BM827" s="36" t="str">
        <f>IF('[1]V1 V2'!X826="","",'[1]V1 V2'!X826)</f>
        <v/>
      </c>
    </row>
    <row r="828" spans="1:65" ht="16" thickBot="1" x14ac:dyDescent="0.4">
      <c r="A828">
        <v>1</v>
      </c>
      <c r="B828" s="304"/>
      <c r="C828" s="305"/>
      <c r="D828" s="306"/>
      <c r="E828" s="36"/>
      <c r="F828" s="168"/>
      <c r="G828" s="169"/>
      <c r="H828" s="170"/>
      <c r="I828" s="57"/>
      <c r="J828" s="56"/>
      <c r="K828" s="171"/>
      <c r="L828" s="142"/>
      <c r="M828" s="172"/>
      <c r="N828" s="173"/>
      <c r="O828" s="174"/>
      <c r="P828" s="175"/>
      <c r="Q828" s="182"/>
      <c r="R828" s="182"/>
      <c r="S828" s="175"/>
      <c r="T828" s="173"/>
      <c r="U828" s="62"/>
      <c r="V828" s="177" t="s">
        <v>89</v>
      </c>
      <c r="W828" s="177" t="s">
        <v>89</v>
      </c>
      <c r="X828" s="230"/>
      <c r="Y828" s="177"/>
      <c r="Z828" s="178">
        <v>12</v>
      </c>
      <c r="AA828" s="297"/>
      <c r="AB828" s="21" t="s">
        <v>2</v>
      </c>
      <c r="AH828" s="63">
        <v>1</v>
      </c>
      <c r="AO828" s="10" t="s">
        <v>3</v>
      </c>
      <c r="AP828" s="297"/>
      <c r="AQ828" s="178">
        <v>12</v>
      </c>
      <c r="AR828" s="177"/>
      <c r="AS828" s="222"/>
      <c r="AT828" s="177" t="s">
        <v>89</v>
      </c>
      <c r="AU828" s="177" t="s">
        <v>89</v>
      </c>
      <c r="AV828" s="62"/>
      <c r="AW828" s="173"/>
      <c r="AX828" s="175"/>
      <c r="AY828" s="182"/>
      <c r="AZ828" s="182"/>
      <c r="BA828" s="175"/>
      <c r="BB828" s="180"/>
      <c r="BC828" s="172"/>
      <c r="BD828" s="172"/>
      <c r="BE828" s="142"/>
      <c r="BF828" s="171"/>
      <c r="BG828" s="56"/>
      <c r="BH828" s="57"/>
      <c r="BI828" s="170"/>
      <c r="BJ828" s="169"/>
      <c r="BK828" s="181"/>
      <c r="BL828" s="36"/>
      <c r="BM828" s="36" t="str">
        <f>IF('[1]V1 V2'!X827="","",'[1]V1 V2'!X827)</f>
        <v/>
      </c>
    </row>
    <row r="829" spans="1:65" ht="16" thickBot="1" x14ac:dyDescent="0.4">
      <c r="A829">
        <v>1</v>
      </c>
      <c r="B829" s="304" t="s">
        <v>2522</v>
      </c>
      <c r="C829" s="305"/>
      <c r="D829" s="306"/>
      <c r="E829" s="36">
        <f>VLOOKUP($B829,'[1]V1 V2'!$B$5:$BW$1894,74,0)</f>
        <v>0</v>
      </c>
      <c r="F829" s="168"/>
      <c r="G829" s="169"/>
      <c r="H829" s="170"/>
      <c r="I829" s="57"/>
      <c r="J829" s="56" t="s">
        <v>127</v>
      </c>
      <c r="K829" s="171"/>
      <c r="L829" s="142">
        <v>3.8</v>
      </c>
      <c r="M829" s="172"/>
      <c r="N829" s="173"/>
      <c r="O829" s="174"/>
      <c r="P829" s="175"/>
      <c r="Q829" s="182" t="s">
        <v>100</v>
      </c>
      <c r="R829" s="182" t="s">
        <v>29</v>
      </c>
      <c r="S829" s="175"/>
      <c r="T829" s="173" t="s">
        <v>30</v>
      </c>
      <c r="U829" s="62"/>
      <c r="V829" s="177" t="s">
        <v>2523</v>
      </c>
      <c r="W829" s="177" t="s">
        <v>2524</v>
      </c>
      <c r="X829" s="177">
        <v>28950.229000000007</v>
      </c>
      <c r="Y829" s="177">
        <v>5852.9099999999971</v>
      </c>
      <c r="Z829" s="178"/>
      <c r="AA829" s="297" t="s">
        <v>2522</v>
      </c>
      <c r="AB829" s="21" t="s">
        <v>2</v>
      </c>
      <c r="AH829" s="63">
        <v>1</v>
      </c>
      <c r="AO829" s="10" t="s">
        <v>3</v>
      </c>
      <c r="AP829" s="297" t="s">
        <v>2525</v>
      </c>
      <c r="AQ829" s="178"/>
      <c r="AR829" s="177">
        <v>5850.11</v>
      </c>
      <c r="AS829" s="222">
        <f>AS827-AQ828</f>
        <v>29410.838999999989</v>
      </c>
      <c r="AT829" s="177" t="s">
        <v>2526</v>
      </c>
      <c r="AU829" s="177" t="s">
        <v>2527</v>
      </c>
      <c r="AV829" s="62"/>
      <c r="AW829" s="173" t="s">
        <v>30</v>
      </c>
      <c r="AX829" s="175"/>
      <c r="AY829" s="182" t="s">
        <v>29</v>
      </c>
      <c r="AZ829" s="182" t="s">
        <v>100</v>
      </c>
      <c r="BA829" s="175"/>
      <c r="BB829" s="180"/>
      <c r="BC829" s="172"/>
      <c r="BD829" s="172"/>
      <c r="BE829" s="142">
        <v>3.8</v>
      </c>
      <c r="BF829" s="171"/>
      <c r="BG829" s="183" t="s">
        <v>127</v>
      </c>
      <c r="BH829" s="57"/>
      <c r="BI829" s="170"/>
      <c r="BJ829" s="169"/>
      <c r="BK829" s="181"/>
      <c r="BL829" s="36">
        <f>VLOOKUP($AP829,'[1]V1 V2'!$B$5:$BW$1894,74,0)</f>
        <v>0</v>
      </c>
      <c r="BM829" s="36" t="str">
        <f>IF('[1]V1 V2'!X828="","",'[1]V1 V2'!X828)</f>
        <v/>
      </c>
    </row>
    <row r="830" spans="1:65" ht="16" thickBot="1" x14ac:dyDescent="0.4">
      <c r="A830">
        <v>1</v>
      </c>
      <c r="B830" s="304"/>
      <c r="C830" s="305"/>
      <c r="D830" s="306"/>
      <c r="E830" s="36"/>
      <c r="F830" s="168"/>
      <c r="G830" s="169"/>
      <c r="H830" s="170"/>
      <c r="I830" s="57"/>
      <c r="J830" s="56"/>
      <c r="K830" s="171"/>
      <c r="L830" s="142"/>
      <c r="M830" s="172"/>
      <c r="N830" s="173"/>
      <c r="O830" s="174"/>
      <c r="P830" s="175"/>
      <c r="Q830" s="182"/>
      <c r="R830" s="182"/>
      <c r="S830" s="175"/>
      <c r="T830" s="173"/>
      <c r="U830" s="62"/>
      <c r="V830" s="177" t="s">
        <v>89</v>
      </c>
      <c r="W830" s="177" t="s">
        <v>89</v>
      </c>
      <c r="X830" s="230"/>
      <c r="Y830" s="177"/>
      <c r="Z830" s="178">
        <v>12</v>
      </c>
      <c r="AA830" s="297"/>
      <c r="AB830" s="21" t="s">
        <v>2</v>
      </c>
      <c r="AH830" s="63">
        <v>1</v>
      </c>
      <c r="AO830" s="10" t="s">
        <v>3</v>
      </c>
      <c r="AP830" s="297"/>
      <c r="AQ830" s="178">
        <v>12</v>
      </c>
      <c r="AR830" s="177"/>
      <c r="AS830" s="222"/>
      <c r="AT830" s="177" t="s">
        <v>89</v>
      </c>
      <c r="AU830" s="177" t="s">
        <v>89</v>
      </c>
      <c r="AV830" s="62"/>
      <c r="AW830" s="173"/>
      <c r="AX830" s="175"/>
      <c r="AY830" s="182"/>
      <c r="AZ830" s="182"/>
      <c r="BA830" s="175"/>
      <c r="BB830" s="180"/>
      <c r="BC830" s="172"/>
      <c r="BD830" s="172"/>
      <c r="BE830" s="142"/>
      <c r="BF830" s="171"/>
      <c r="BG830" s="56"/>
      <c r="BH830" s="57"/>
      <c r="BI830" s="170"/>
      <c r="BJ830" s="169"/>
      <c r="BK830" s="181"/>
      <c r="BL830" s="36"/>
      <c r="BM830" s="36" t="str">
        <f>IF('[1]V1 V2'!X829="","",'[1]V1 V2'!X829)</f>
        <v/>
      </c>
    </row>
    <row r="831" spans="1:65" ht="16" thickBot="1" x14ac:dyDescent="0.4">
      <c r="A831">
        <v>1</v>
      </c>
      <c r="B831" s="304" t="s">
        <v>2528</v>
      </c>
      <c r="C831" s="305"/>
      <c r="D831" s="306"/>
      <c r="E831" s="36">
        <f>VLOOKUP($B831,'[1]V1 V2'!$B$5:$BW$1894,74,0)</f>
        <v>0</v>
      </c>
      <c r="F831" s="168"/>
      <c r="G831" s="169"/>
      <c r="H831" s="170"/>
      <c r="I831" s="57"/>
      <c r="J831" s="56" t="s">
        <v>120</v>
      </c>
      <c r="K831" s="171"/>
      <c r="L831" s="142">
        <v>3.8</v>
      </c>
      <c r="M831" s="172"/>
      <c r="N831" s="173"/>
      <c r="O831" s="174"/>
      <c r="P831" s="175"/>
      <c r="Q831" s="182" t="s">
        <v>100</v>
      </c>
      <c r="R831" s="182" t="s">
        <v>29</v>
      </c>
      <c r="S831" s="175"/>
      <c r="T831" s="173" t="s">
        <v>30</v>
      </c>
      <c r="U831" s="62"/>
      <c r="V831" s="177" t="s">
        <v>2529</v>
      </c>
      <c r="W831" s="177" t="s">
        <v>2530</v>
      </c>
      <c r="X831" s="177">
        <v>28938.229000000007</v>
      </c>
      <c r="Y831" s="177">
        <v>5864.9099999999971</v>
      </c>
      <c r="Z831" s="178"/>
      <c r="AA831" s="297" t="s">
        <v>2528</v>
      </c>
      <c r="AB831" s="21" t="s">
        <v>2</v>
      </c>
      <c r="AH831" s="63">
        <v>1</v>
      </c>
      <c r="AO831" s="10" t="s">
        <v>3</v>
      </c>
      <c r="AP831" s="297" t="s">
        <v>2531</v>
      </c>
      <c r="AQ831" s="178"/>
      <c r="AR831" s="177">
        <v>5862.11</v>
      </c>
      <c r="AS831" s="222">
        <f>AS829-AQ830</f>
        <v>29398.838999999989</v>
      </c>
      <c r="AT831" s="177" t="s">
        <v>2532</v>
      </c>
      <c r="AU831" s="177" t="s">
        <v>2533</v>
      </c>
      <c r="AV831" s="62"/>
      <c r="AW831" s="173" t="s">
        <v>30</v>
      </c>
      <c r="AX831" s="175"/>
      <c r="AY831" s="182" t="s">
        <v>29</v>
      </c>
      <c r="AZ831" s="182" t="s">
        <v>100</v>
      </c>
      <c r="BA831" s="175"/>
      <c r="BB831" s="180"/>
      <c r="BC831" s="172"/>
      <c r="BD831" s="172"/>
      <c r="BE831" s="142">
        <v>3.8</v>
      </c>
      <c r="BF831" s="171"/>
      <c r="BG831" s="183" t="s">
        <v>120</v>
      </c>
      <c r="BH831" s="57"/>
      <c r="BI831" s="170"/>
      <c r="BJ831" s="169"/>
      <c r="BK831" s="181"/>
      <c r="BL831" s="36">
        <f>VLOOKUP($AP831,'[1]V1 V2'!$B$5:$BW$1894,74,0)</f>
        <v>0</v>
      </c>
      <c r="BM831" s="36" t="str">
        <f>IF('[1]V1 V2'!X830="","",'[1]V1 V2'!X830)</f>
        <v/>
      </c>
    </row>
    <row r="832" spans="1:65" ht="16" thickBot="1" x14ac:dyDescent="0.4">
      <c r="A832">
        <v>1</v>
      </c>
      <c r="B832" s="304"/>
      <c r="C832" s="305"/>
      <c r="D832" s="306"/>
      <c r="E832" s="36"/>
      <c r="F832" s="168"/>
      <c r="G832" s="169"/>
      <c r="H832" s="170"/>
      <c r="I832" s="57"/>
      <c r="J832" s="56"/>
      <c r="K832" s="171"/>
      <c r="L832" s="142"/>
      <c r="M832" s="172"/>
      <c r="N832" s="173"/>
      <c r="O832" s="174"/>
      <c r="P832" s="175"/>
      <c r="Q832" s="182"/>
      <c r="R832" s="182"/>
      <c r="S832" s="175"/>
      <c r="T832" s="173"/>
      <c r="U832" s="62"/>
      <c r="V832" s="177" t="s">
        <v>89</v>
      </c>
      <c r="W832" s="177" t="s">
        <v>89</v>
      </c>
      <c r="X832" s="230"/>
      <c r="Y832" s="177"/>
      <c r="Z832" s="178">
        <v>12</v>
      </c>
      <c r="AA832" s="297"/>
      <c r="AB832" s="21" t="s">
        <v>2</v>
      </c>
      <c r="AH832" s="63">
        <v>1</v>
      </c>
      <c r="AO832" s="10" t="s">
        <v>3</v>
      </c>
      <c r="AP832" s="297"/>
      <c r="AQ832" s="178">
        <v>12</v>
      </c>
      <c r="AR832" s="177"/>
      <c r="AS832" s="222"/>
      <c r="AT832" s="177" t="s">
        <v>89</v>
      </c>
      <c r="AU832" s="177" t="s">
        <v>89</v>
      </c>
      <c r="AV832" s="62"/>
      <c r="AW832" s="173"/>
      <c r="AX832" s="175"/>
      <c r="AY832" s="182"/>
      <c r="AZ832" s="182"/>
      <c r="BA832" s="175"/>
      <c r="BB832" s="180"/>
      <c r="BC832" s="172"/>
      <c r="BD832" s="172"/>
      <c r="BE832" s="142"/>
      <c r="BF832" s="171"/>
      <c r="BG832" s="56"/>
      <c r="BH832" s="57"/>
      <c r="BI832" s="170"/>
      <c r="BJ832" s="169"/>
      <c r="BK832" s="181"/>
      <c r="BL832" s="36"/>
      <c r="BM832" s="36" t="str">
        <f>IF('[1]V1 V2'!X831="","",'[1]V1 V2'!X831)</f>
        <v/>
      </c>
    </row>
    <row r="833" spans="1:65" ht="16" thickBot="1" x14ac:dyDescent="0.4">
      <c r="A833">
        <v>1</v>
      </c>
      <c r="B833" s="304" t="s">
        <v>2534</v>
      </c>
      <c r="C833" s="305"/>
      <c r="D833" s="306"/>
      <c r="E833" s="36">
        <f>VLOOKUP($B833,'[1]V1 V2'!$B$5:$BW$1894,74,0)</f>
        <v>0</v>
      </c>
      <c r="F833" s="168"/>
      <c r="G833" s="169"/>
      <c r="H833" s="170"/>
      <c r="I833" s="57"/>
      <c r="J833" s="56" t="s">
        <v>113</v>
      </c>
      <c r="K833" s="171"/>
      <c r="L833" s="142">
        <v>3.8</v>
      </c>
      <c r="M833" s="172"/>
      <c r="N833" s="173"/>
      <c r="O833" s="174"/>
      <c r="P833" s="175"/>
      <c r="Q833" s="182" t="s">
        <v>100</v>
      </c>
      <c r="R833" s="182" t="s">
        <v>29</v>
      </c>
      <c r="S833" s="175"/>
      <c r="T833" s="173" t="s">
        <v>30</v>
      </c>
      <c r="U833" s="62"/>
      <c r="V833" s="177" t="s">
        <v>2535</v>
      </c>
      <c r="W833" s="177" t="s">
        <v>2536</v>
      </c>
      <c r="X833" s="177">
        <v>28926.229000000007</v>
      </c>
      <c r="Y833" s="177">
        <v>5876.9099999999971</v>
      </c>
      <c r="Z833" s="178"/>
      <c r="AA833" s="297" t="s">
        <v>2534</v>
      </c>
      <c r="AB833" s="21" t="s">
        <v>2</v>
      </c>
      <c r="AH833" s="63">
        <v>1</v>
      </c>
      <c r="AO833" s="10" t="s">
        <v>3</v>
      </c>
      <c r="AP833" s="297" t="s">
        <v>2537</v>
      </c>
      <c r="AQ833" s="178"/>
      <c r="AR833" s="177">
        <v>5874.11</v>
      </c>
      <c r="AS833" s="222">
        <f>AS831-AQ832</f>
        <v>29386.838999999989</v>
      </c>
      <c r="AT833" s="177" t="s">
        <v>2538</v>
      </c>
      <c r="AU833" s="177" t="s">
        <v>2539</v>
      </c>
      <c r="AV833" s="62"/>
      <c r="AW833" s="173" t="s">
        <v>30</v>
      </c>
      <c r="AX833" s="175"/>
      <c r="AY833" s="182" t="s">
        <v>29</v>
      </c>
      <c r="AZ833" s="182" t="s">
        <v>100</v>
      </c>
      <c r="BA833" s="175"/>
      <c r="BB833" s="180"/>
      <c r="BC833" s="172"/>
      <c r="BD833" s="172"/>
      <c r="BE833" s="142">
        <v>3.8</v>
      </c>
      <c r="BF833" s="171"/>
      <c r="BG833" s="183" t="s">
        <v>113</v>
      </c>
      <c r="BH833" s="57"/>
      <c r="BI833" s="170"/>
      <c r="BJ833" s="169"/>
      <c r="BK833" s="181"/>
      <c r="BL833" s="36">
        <f>VLOOKUP($AP833,'[1]V1 V2'!$B$5:$BW$1894,74,0)</f>
        <v>0</v>
      </c>
      <c r="BM833" s="36" t="str">
        <f>IF('[1]V1 V2'!X832="","",'[1]V1 V2'!X832)</f>
        <v/>
      </c>
    </row>
    <row r="834" spans="1:65" ht="16" thickBot="1" x14ac:dyDescent="0.4">
      <c r="A834">
        <v>1</v>
      </c>
      <c r="B834" s="304"/>
      <c r="C834" s="305"/>
      <c r="D834" s="306"/>
      <c r="E834" s="36"/>
      <c r="F834" s="168"/>
      <c r="G834" s="169"/>
      <c r="H834" s="170"/>
      <c r="I834" s="57"/>
      <c r="J834" s="56"/>
      <c r="K834" s="171"/>
      <c r="L834" s="142"/>
      <c r="M834" s="172"/>
      <c r="N834" s="173"/>
      <c r="O834" s="174"/>
      <c r="P834" s="175"/>
      <c r="Q834" s="182"/>
      <c r="R834" s="182"/>
      <c r="S834" s="175"/>
      <c r="T834" s="173"/>
      <c r="U834" s="62"/>
      <c r="V834" s="177" t="s">
        <v>89</v>
      </c>
      <c r="W834" s="177" t="s">
        <v>89</v>
      </c>
      <c r="X834" s="230"/>
      <c r="Y834" s="177"/>
      <c r="Z834" s="178">
        <v>12</v>
      </c>
      <c r="AA834" s="297"/>
      <c r="AB834" s="21" t="s">
        <v>2</v>
      </c>
      <c r="AH834" s="63">
        <v>1</v>
      </c>
      <c r="AO834" s="10" t="s">
        <v>3</v>
      </c>
      <c r="AP834" s="297"/>
      <c r="AQ834" s="178">
        <v>12</v>
      </c>
      <c r="AR834" s="177"/>
      <c r="AS834" s="222"/>
      <c r="AT834" s="177" t="s">
        <v>89</v>
      </c>
      <c r="AU834" s="177" t="s">
        <v>89</v>
      </c>
      <c r="AV834" s="62"/>
      <c r="AW834" s="173"/>
      <c r="AX834" s="175"/>
      <c r="AY834" s="182"/>
      <c r="AZ834" s="182"/>
      <c r="BA834" s="175"/>
      <c r="BB834" s="180"/>
      <c r="BC834" s="172"/>
      <c r="BD834" s="172"/>
      <c r="BE834" s="142"/>
      <c r="BF834" s="171"/>
      <c r="BG834" s="56"/>
      <c r="BH834" s="57"/>
      <c r="BI834" s="170"/>
      <c r="BJ834" s="169"/>
      <c r="BK834" s="181"/>
      <c r="BL834" s="36"/>
      <c r="BM834" s="36" t="str">
        <f>IF('[1]V1 V2'!X833="","",'[1]V1 V2'!X833)</f>
        <v/>
      </c>
    </row>
    <row r="835" spans="1:65" ht="16" thickBot="1" x14ac:dyDescent="0.4">
      <c r="A835">
        <v>1</v>
      </c>
      <c r="B835" s="304" t="s">
        <v>2540</v>
      </c>
      <c r="C835" s="305"/>
      <c r="D835" s="306"/>
      <c r="E835" s="36">
        <f>VLOOKUP($B835,'[1]V1 V2'!$B$5:$BW$1894,74,0)</f>
        <v>0</v>
      </c>
      <c r="F835" s="168"/>
      <c r="G835" s="169"/>
      <c r="H835" s="170"/>
      <c r="I835" s="57"/>
      <c r="J835" s="56">
        <v>-4</v>
      </c>
      <c r="K835" s="171"/>
      <c r="L835" s="142">
        <v>3.8</v>
      </c>
      <c r="M835" s="172"/>
      <c r="N835" s="173"/>
      <c r="O835" s="174"/>
      <c r="P835" s="175"/>
      <c r="Q835" s="182" t="s">
        <v>100</v>
      </c>
      <c r="R835" s="182" t="s">
        <v>29</v>
      </c>
      <c r="S835" s="175"/>
      <c r="T835" s="173" t="s">
        <v>30</v>
      </c>
      <c r="U835" s="62"/>
      <c r="V835" s="177" t="s">
        <v>2541</v>
      </c>
      <c r="W835" s="177" t="s">
        <v>2542</v>
      </c>
      <c r="X835" s="177">
        <v>28914.229000000007</v>
      </c>
      <c r="Y835" s="177">
        <v>5888.9099999999971</v>
      </c>
      <c r="Z835" s="178"/>
      <c r="AA835" s="297" t="s">
        <v>2540</v>
      </c>
      <c r="AB835" s="21" t="s">
        <v>2</v>
      </c>
      <c r="AH835" s="63">
        <v>1</v>
      </c>
      <c r="AO835" s="10" t="s">
        <v>3</v>
      </c>
      <c r="AP835" s="297" t="s">
        <v>2543</v>
      </c>
      <c r="AQ835" s="178"/>
      <c r="AR835" s="177">
        <v>5886.11</v>
      </c>
      <c r="AS835" s="222">
        <f>AS833-AQ834</f>
        <v>29374.838999999989</v>
      </c>
      <c r="AT835" s="177" t="s">
        <v>2544</v>
      </c>
      <c r="AU835" s="177" t="s">
        <v>2545</v>
      </c>
      <c r="AV835" s="62"/>
      <c r="AW835" s="173" t="s">
        <v>30</v>
      </c>
      <c r="AX835" s="175"/>
      <c r="AY835" s="182" t="s">
        <v>29</v>
      </c>
      <c r="AZ835" s="182" t="s">
        <v>100</v>
      </c>
      <c r="BA835" s="175"/>
      <c r="BB835" s="180"/>
      <c r="BC835" s="172"/>
      <c r="BD835" s="172"/>
      <c r="BE835" s="142">
        <v>3.8</v>
      </c>
      <c r="BF835" s="171"/>
      <c r="BG835" s="56">
        <v>-4</v>
      </c>
      <c r="BH835" s="57"/>
      <c r="BI835" s="170"/>
      <c r="BJ835" s="169"/>
      <c r="BK835" s="181"/>
      <c r="BL835" s="36">
        <f>VLOOKUP($AP835,'[1]V1 V2'!$B$5:$BW$1894,74,0)</f>
        <v>0</v>
      </c>
      <c r="BM835" s="36" t="str">
        <f>IF('[1]V1 V2'!X834="","",'[1]V1 V2'!X834)</f>
        <v/>
      </c>
    </row>
    <row r="836" spans="1:65" ht="16" thickBot="1" x14ac:dyDescent="0.4">
      <c r="A836">
        <v>1</v>
      </c>
      <c r="B836" s="304"/>
      <c r="C836" s="305"/>
      <c r="D836" s="306"/>
      <c r="E836" s="36"/>
      <c r="F836" s="168"/>
      <c r="G836" s="169"/>
      <c r="H836" s="170"/>
      <c r="I836" s="57"/>
      <c r="J836" s="56"/>
      <c r="K836" s="171"/>
      <c r="L836" s="142"/>
      <c r="M836" s="172"/>
      <c r="N836" s="173"/>
      <c r="O836" s="174"/>
      <c r="P836" s="175"/>
      <c r="Q836" s="182"/>
      <c r="R836" s="182"/>
      <c r="S836" s="175"/>
      <c r="T836" s="173"/>
      <c r="U836" s="62"/>
      <c r="V836" s="177" t="s">
        <v>89</v>
      </c>
      <c r="W836" s="177" t="s">
        <v>89</v>
      </c>
      <c r="X836" s="230"/>
      <c r="Y836" s="177"/>
      <c r="Z836" s="178">
        <v>12</v>
      </c>
      <c r="AA836" s="297"/>
      <c r="AB836" s="21" t="s">
        <v>2</v>
      </c>
      <c r="AH836" s="63">
        <v>1</v>
      </c>
      <c r="AO836" s="10" t="s">
        <v>3</v>
      </c>
      <c r="AP836" s="297"/>
      <c r="AQ836" s="178">
        <v>12</v>
      </c>
      <c r="AR836" s="177"/>
      <c r="AS836" s="222"/>
      <c r="AT836" s="177" t="s">
        <v>89</v>
      </c>
      <c r="AU836" s="177" t="s">
        <v>89</v>
      </c>
      <c r="AV836" s="62"/>
      <c r="AW836" s="173"/>
      <c r="AX836" s="175"/>
      <c r="AY836" s="182"/>
      <c r="AZ836" s="182"/>
      <c r="BA836" s="175"/>
      <c r="BB836" s="180"/>
      <c r="BC836" s="172"/>
      <c r="BD836" s="172"/>
      <c r="BE836" s="142"/>
      <c r="BF836" s="171"/>
      <c r="BG836" s="56"/>
      <c r="BH836" s="57"/>
      <c r="BI836" s="170"/>
      <c r="BJ836" s="169"/>
      <c r="BK836" s="181"/>
      <c r="BL836" s="36"/>
      <c r="BM836" s="36" t="str">
        <f>IF('[1]V1 V2'!X835="","",'[1]V1 V2'!X835)</f>
        <v/>
      </c>
    </row>
    <row r="837" spans="1:65" ht="16" thickBot="1" x14ac:dyDescent="0.4">
      <c r="A837">
        <v>1</v>
      </c>
      <c r="B837" s="304" t="s">
        <v>2546</v>
      </c>
      <c r="C837" s="305"/>
      <c r="D837" s="306"/>
      <c r="E837" s="36">
        <f>VLOOKUP($B837,'[1]V1 V2'!$B$5:$BW$1894,74,0)</f>
        <v>0</v>
      </c>
      <c r="F837" s="168"/>
      <c r="G837" s="169"/>
      <c r="H837" s="170"/>
      <c r="I837" s="57"/>
      <c r="J837" s="56">
        <v>-12</v>
      </c>
      <c r="K837" s="171"/>
      <c r="L837" s="142">
        <v>3.8</v>
      </c>
      <c r="M837" s="172"/>
      <c r="N837" s="173"/>
      <c r="O837" s="174"/>
      <c r="P837" s="175"/>
      <c r="Q837" s="182" t="s">
        <v>100</v>
      </c>
      <c r="R837" s="182" t="s">
        <v>29</v>
      </c>
      <c r="S837" s="175"/>
      <c r="T837" s="173" t="s">
        <v>30</v>
      </c>
      <c r="U837" s="62"/>
      <c r="V837" s="177" t="s">
        <v>2547</v>
      </c>
      <c r="W837" s="177" t="s">
        <v>2548</v>
      </c>
      <c r="X837" s="177">
        <v>28902.229000000007</v>
      </c>
      <c r="Y837" s="177">
        <v>5900.9099999999971</v>
      </c>
      <c r="Z837" s="178"/>
      <c r="AA837" s="297" t="s">
        <v>2546</v>
      </c>
      <c r="AB837" s="21" t="s">
        <v>2</v>
      </c>
      <c r="AH837" s="63">
        <v>1</v>
      </c>
      <c r="AO837" s="10" t="s">
        <v>3</v>
      </c>
      <c r="AP837" s="297" t="s">
        <v>2549</v>
      </c>
      <c r="AQ837" s="178"/>
      <c r="AR837" s="177">
        <v>5898.11</v>
      </c>
      <c r="AS837" s="222">
        <f>AS835-AQ836</f>
        <v>29362.838999999989</v>
      </c>
      <c r="AT837" s="177" t="s">
        <v>2550</v>
      </c>
      <c r="AU837" s="177" t="s">
        <v>2551</v>
      </c>
      <c r="AV837" s="62"/>
      <c r="AW837" s="173" t="s">
        <v>30</v>
      </c>
      <c r="AX837" s="175"/>
      <c r="AY837" s="182" t="s">
        <v>29</v>
      </c>
      <c r="AZ837" s="182" t="s">
        <v>100</v>
      </c>
      <c r="BA837" s="175"/>
      <c r="BB837" s="180"/>
      <c r="BC837" s="172"/>
      <c r="BD837" s="172"/>
      <c r="BE837" s="142">
        <v>3.8</v>
      </c>
      <c r="BF837" s="171"/>
      <c r="BG837" s="56">
        <v>-12</v>
      </c>
      <c r="BH837" s="57"/>
      <c r="BI837" s="170"/>
      <c r="BJ837" s="169"/>
      <c r="BK837" s="181"/>
      <c r="BL837" s="36">
        <f>VLOOKUP($AP837,'[1]V1 V2'!$B$5:$BW$1894,74,0)</f>
        <v>0</v>
      </c>
      <c r="BM837" s="36" t="str">
        <f>IF('[1]V1 V2'!X836="","",'[1]V1 V2'!X836)</f>
        <v/>
      </c>
    </row>
    <row r="838" spans="1:65" ht="16" thickBot="1" x14ac:dyDescent="0.4">
      <c r="A838">
        <v>1</v>
      </c>
      <c r="B838" s="304"/>
      <c r="C838" s="305"/>
      <c r="D838" s="306"/>
      <c r="E838" s="36"/>
      <c r="F838" s="168"/>
      <c r="G838" s="169"/>
      <c r="H838" s="170"/>
      <c r="I838" s="57"/>
      <c r="J838" s="56"/>
      <c r="K838" s="171"/>
      <c r="L838" s="142"/>
      <c r="M838" s="172"/>
      <c r="N838" s="173"/>
      <c r="O838" s="174"/>
      <c r="P838" s="175"/>
      <c r="Q838" s="182"/>
      <c r="R838" s="182"/>
      <c r="S838" s="175"/>
      <c r="T838" s="173"/>
      <c r="U838" s="62"/>
      <c r="V838" s="177" t="s">
        <v>89</v>
      </c>
      <c r="W838" s="177" t="s">
        <v>89</v>
      </c>
      <c r="X838" s="230"/>
      <c r="Y838" s="177"/>
      <c r="Z838" s="178">
        <v>12</v>
      </c>
      <c r="AA838" s="297"/>
      <c r="AB838" s="21" t="s">
        <v>2</v>
      </c>
      <c r="AH838" s="63">
        <v>1</v>
      </c>
      <c r="AO838" s="10" t="s">
        <v>3</v>
      </c>
      <c r="AP838" s="297"/>
      <c r="AQ838" s="178">
        <v>12</v>
      </c>
      <c r="AR838" s="177"/>
      <c r="AS838" s="222"/>
      <c r="AT838" s="177" t="s">
        <v>89</v>
      </c>
      <c r="AU838" s="177" t="s">
        <v>89</v>
      </c>
      <c r="AV838" s="62"/>
      <c r="AW838" s="173"/>
      <c r="AX838" s="175"/>
      <c r="AY838" s="182"/>
      <c r="AZ838" s="182"/>
      <c r="BA838" s="175"/>
      <c r="BB838" s="180"/>
      <c r="BC838" s="172"/>
      <c r="BD838" s="172"/>
      <c r="BE838" s="142"/>
      <c r="BF838" s="171"/>
      <c r="BG838" s="56"/>
      <c r="BH838" s="57"/>
      <c r="BI838" s="170"/>
      <c r="BJ838" s="169"/>
      <c r="BK838" s="181"/>
      <c r="BL838" s="36"/>
      <c r="BM838" s="36" t="str">
        <f>IF('[1]V1 V2'!X837="","",'[1]V1 V2'!X837)</f>
        <v/>
      </c>
    </row>
    <row r="839" spans="1:65" ht="16" thickBot="1" x14ac:dyDescent="0.4">
      <c r="A839">
        <v>1</v>
      </c>
      <c r="B839" s="304" t="s">
        <v>2552</v>
      </c>
      <c r="C839" s="305"/>
      <c r="D839" s="306"/>
      <c r="E839" s="36">
        <f>VLOOKUP($B839,'[1]V1 V2'!$B$5:$BW$1894,74,0)</f>
        <v>0</v>
      </c>
      <c r="F839" s="168"/>
      <c r="G839" s="169"/>
      <c r="H839" s="170"/>
      <c r="I839" s="57"/>
      <c r="J839" s="56">
        <v>-20</v>
      </c>
      <c r="K839" s="171"/>
      <c r="L839" s="142">
        <v>3.8</v>
      </c>
      <c r="M839" s="172"/>
      <c r="N839" s="173"/>
      <c r="O839" s="174"/>
      <c r="P839" s="175"/>
      <c r="Q839" s="182" t="s">
        <v>140</v>
      </c>
      <c r="R839" s="182" t="s">
        <v>29</v>
      </c>
      <c r="S839" s="175"/>
      <c r="T839" s="173" t="s">
        <v>141</v>
      </c>
      <c r="U839" s="62"/>
      <c r="V839" s="177" t="s">
        <v>2553</v>
      </c>
      <c r="W839" s="177" t="s">
        <v>2554</v>
      </c>
      <c r="X839" s="177">
        <v>28890.229000000007</v>
      </c>
      <c r="Y839" s="177">
        <v>5912.9099999999971</v>
      </c>
      <c r="Z839" s="178"/>
      <c r="AA839" s="297" t="s">
        <v>2552</v>
      </c>
      <c r="AB839" s="21" t="s">
        <v>2</v>
      </c>
      <c r="AH839" s="63">
        <v>1</v>
      </c>
      <c r="AO839" s="10" t="s">
        <v>3</v>
      </c>
      <c r="AP839" s="297" t="s">
        <v>2555</v>
      </c>
      <c r="AQ839" s="178"/>
      <c r="AR839" s="177">
        <v>5910.11</v>
      </c>
      <c r="AS839" s="222">
        <f>AS837-AQ838</f>
        <v>29350.838999999989</v>
      </c>
      <c r="AT839" s="177" t="s">
        <v>2556</v>
      </c>
      <c r="AU839" s="177" t="s">
        <v>2557</v>
      </c>
      <c r="AV839" s="62"/>
      <c r="AW839" s="173" t="s">
        <v>141</v>
      </c>
      <c r="AX839" s="175"/>
      <c r="AY839" s="182" t="s">
        <v>29</v>
      </c>
      <c r="AZ839" s="182" t="s">
        <v>140</v>
      </c>
      <c r="BA839" s="175"/>
      <c r="BB839" s="180"/>
      <c r="BC839" s="172"/>
      <c r="BD839" s="172"/>
      <c r="BE839" s="142">
        <v>3.8</v>
      </c>
      <c r="BF839" s="171"/>
      <c r="BG839" s="56">
        <v>-20</v>
      </c>
      <c r="BH839" s="57"/>
      <c r="BI839" s="170"/>
      <c r="BJ839" s="169"/>
      <c r="BK839" s="181"/>
      <c r="BL839" s="36">
        <f>VLOOKUP($AP839,'[1]V1 V2'!$B$5:$BW$1894,74,0)</f>
        <v>0</v>
      </c>
      <c r="BM839" s="36" t="str">
        <f>IF('[1]V1 V2'!X838="","",'[1]V1 V2'!X838)</f>
        <v/>
      </c>
    </row>
    <row r="840" spans="1:65" ht="16" thickBot="1" x14ac:dyDescent="0.4">
      <c r="A840">
        <v>1</v>
      </c>
      <c r="B840" s="304"/>
      <c r="C840" s="305"/>
      <c r="D840" s="306"/>
      <c r="E840" s="36"/>
      <c r="F840" s="168"/>
      <c r="G840" s="169"/>
      <c r="H840" s="170"/>
      <c r="I840" s="57"/>
      <c r="J840" s="56"/>
      <c r="K840" s="171"/>
      <c r="L840" s="142"/>
      <c r="M840" s="172"/>
      <c r="N840" s="173"/>
      <c r="O840" s="174"/>
      <c r="P840" s="175"/>
      <c r="Q840" s="182"/>
      <c r="R840" s="182"/>
      <c r="S840" s="175"/>
      <c r="T840" s="173"/>
      <c r="U840" s="62"/>
      <c r="V840" s="177" t="s">
        <v>89</v>
      </c>
      <c r="W840" s="177" t="s">
        <v>89</v>
      </c>
      <c r="X840" s="230"/>
      <c r="Y840" s="177"/>
      <c r="Z840" s="178">
        <v>12</v>
      </c>
      <c r="AA840" s="297"/>
      <c r="AB840" s="21" t="s">
        <v>2</v>
      </c>
      <c r="AH840" s="63">
        <v>1</v>
      </c>
      <c r="AO840" s="10" t="s">
        <v>3</v>
      </c>
      <c r="AP840" s="297"/>
      <c r="AQ840" s="178">
        <v>12</v>
      </c>
      <c r="AR840" s="177"/>
      <c r="AS840" s="222"/>
      <c r="AT840" s="177" t="s">
        <v>89</v>
      </c>
      <c r="AU840" s="177" t="s">
        <v>89</v>
      </c>
      <c r="AV840" s="62"/>
      <c r="AW840" s="173"/>
      <c r="AX840" s="175"/>
      <c r="AY840" s="182"/>
      <c r="AZ840" s="182"/>
      <c r="BA840" s="175"/>
      <c r="BB840" s="180"/>
      <c r="BC840" s="172"/>
      <c r="BD840" s="172"/>
      <c r="BE840" s="142"/>
      <c r="BF840" s="171"/>
      <c r="BG840" s="56"/>
      <c r="BH840" s="57"/>
      <c r="BI840" s="170"/>
      <c r="BJ840" s="169"/>
      <c r="BK840" s="181"/>
      <c r="BL840" s="36"/>
      <c r="BM840" s="36" t="str">
        <f>IF('[1]V1 V2'!X839="","",'[1]V1 V2'!X839)</f>
        <v/>
      </c>
    </row>
    <row r="841" spans="1:65" ht="16" thickBot="1" x14ac:dyDescent="0.4">
      <c r="A841">
        <v>1</v>
      </c>
      <c r="B841" s="304" t="s">
        <v>2558</v>
      </c>
      <c r="C841" s="305"/>
      <c r="D841" s="306"/>
      <c r="E841" s="36">
        <f>VLOOKUP($B841,'[1]V1 V2'!$B$5:$BW$1894,74,0)</f>
        <v>0</v>
      </c>
      <c r="F841" s="168"/>
      <c r="G841" s="169"/>
      <c r="H841" s="170"/>
      <c r="I841" s="57"/>
      <c r="J841" s="56">
        <v>-12</v>
      </c>
      <c r="K841" s="171"/>
      <c r="L841" s="142">
        <v>3.8</v>
      </c>
      <c r="M841" s="172"/>
      <c r="N841" s="173"/>
      <c r="O841" s="174"/>
      <c r="P841" s="175"/>
      <c r="Q841" s="182" t="s">
        <v>100</v>
      </c>
      <c r="R841" s="182" t="s">
        <v>29</v>
      </c>
      <c r="S841" s="175"/>
      <c r="T841" s="173" t="s">
        <v>30</v>
      </c>
      <c r="U841" s="62"/>
      <c r="V841" s="177" t="s">
        <v>2559</v>
      </c>
      <c r="W841" s="177" t="s">
        <v>2560</v>
      </c>
      <c r="X841" s="177">
        <v>28878.229000000007</v>
      </c>
      <c r="Y841" s="177">
        <v>5924.9099999999971</v>
      </c>
      <c r="Z841" s="178"/>
      <c r="AA841" s="297" t="s">
        <v>2558</v>
      </c>
      <c r="AB841" s="21" t="s">
        <v>2</v>
      </c>
      <c r="AH841" s="63">
        <v>1</v>
      </c>
      <c r="AO841" s="10" t="s">
        <v>3</v>
      </c>
      <c r="AP841" s="297" t="s">
        <v>2561</v>
      </c>
      <c r="AQ841" s="178"/>
      <c r="AR841" s="177">
        <v>5922.11</v>
      </c>
      <c r="AS841" s="222">
        <f>AS839-AQ840</f>
        <v>29338.838999999989</v>
      </c>
      <c r="AT841" s="177" t="s">
        <v>2562</v>
      </c>
      <c r="AU841" s="177" t="s">
        <v>2563</v>
      </c>
      <c r="AV841" s="62"/>
      <c r="AW841" s="173" t="s">
        <v>30</v>
      </c>
      <c r="AX841" s="175"/>
      <c r="AY841" s="182" t="s">
        <v>29</v>
      </c>
      <c r="AZ841" s="182" t="s">
        <v>100</v>
      </c>
      <c r="BA841" s="175"/>
      <c r="BB841" s="180"/>
      <c r="BC841" s="172"/>
      <c r="BD841" s="172"/>
      <c r="BE841" s="142">
        <v>3.8</v>
      </c>
      <c r="BF841" s="171"/>
      <c r="BG841" s="56">
        <v>-12</v>
      </c>
      <c r="BH841" s="57"/>
      <c r="BI841" s="170"/>
      <c r="BJ841" s="169"/>
      <c r="BK841" s="181"/>
      <c r="BL841" s="36">
        <f>VLOOKUP($AP841,'[1]V1 V2'!$B$5:$BW$1894,74,0)</f>
        <v>0</v>
      </c>
      <c r="BM841" s="36" t="str">
        <f>IF('[1]V1 V2'!X840="","",'[1]V1 V2'!X840)</f>
        <v/>
      </c>
    </row>
    <row r="842" spans="1:65" ht="16" thickBot="1" x14ac:dyDescent="0.4">
      <c r="A842">
        <v>1</v>
      </c>
      <c r="B842" s="304"/>
      <c r="C842" s="305"/>
      <c r="D842" s="306"/>
      <c r="E842" s="36"/>
      <c r="F842" s="168"/>
      <c r="G842" s="169"/>
      <c r="H842" s="170"/>
      <c r="I842" s="57"/>
      <c r="J842" s="56"/>
      <c r="K842" s="171"/>
      <c r="L842" s="142"/>
      <c r="M842" s="172"/>
      <c r="N842" s="173"/>
      <c r="O842" s="174"/>
      <c r="P842" s="175"/>
      <c r="Q842" s="182"/>
      <c r="R842" s="182"/>
      <c r="S842" s="175"/>
      <c r="T842" s="173"/>
      <c r="U842" s="62"/>
      <c r="V842" s="177" t="s">
        <v>89</v>
      </c>
      <c r="W842" s="177" t="s">
        <v>89</v>
      </c>
      <c r="X842" s="230"/>
      <c r="Y842" s="177"/>
      <c r="Z842" s="178">
        <v>12</v>
      </c>
      <c r="AA842" s="297"/>
      <c r="AB842" s="21" t="s">
        <v>2</v>
      </c>
      <c r="AH842" s="63">
        <v>1</v>
      </c>
      <c r="AO842" s="10" t="s">
        <v>3</v>
      </c>
      <c r="AP842" s="297"/>
      <c r="AQ842" s="178">
        <v>12</v>
      </c>
      <c r="AR842" s="177"/>
      <c r="AS842" s="222"/>
      <c r="AT842" s="177" t="s">
        <v>89</v>
      </c>
      <c r="AU842" s="177" t="s">
        <v>89</v>
      </c>
      <c r="AV842" s="62"/>
      <c r="AW842" s="173"/>
      <c r="AX842" s="175"/>
      <c r="AY842" s="182"/>
      <c r="AZ842" s="182"/>
      <c r="BA842" s="175"/>
      <c r="BB842" s="180"/>
      <c r="BC842" s="172"/>
      <c r="BD842" s="172"/>
      <c r="BE842" s="142"/>
      <c r="BF842" s="171"/>
      <c r="BG842" s="56"/>
      <c r="BH842" s="57"/>
      <c r="BI842" s="170"/>
      <c r="BJ842" s="169"/>
      <c r="BK842" s="181"/>
      <c r="BL842" s="36"/>
      <c r="BM842" s="36" t="str">
        <f>IF('[1]V1 V2'!X841="","",'[1]V1 V2'!X841)</f>
        <v/>
      </c>
    </row>
    <row r="843" spans="1:65" ht="16" thickBot="1" x14ac:dyDescent="0.4">
      <c r="A843">
        <v>1</v>
      </c>
      <c r="B843" s="304" t="s">
        <v>2564</v>
      </c>
      <c r="C843" s="305"/>
      <c r="D843" s="306"/>
      <c r="E843" s="36">
        <f>VLOOKUP($B843,'[1]V1 V2'!$B$5:$BW$1894,74,0)</f>
        <v>0</v>
      </c>
      <c r="F843" s="168"/>
      <c r="G843" s="169"/>
      <c r="H843" s="170"/>
      <c r="I843" s="57"/>
      <c r="J843" s="56">
        <v>-4</v>
      </c>
      <c r="K843" s="171"/>
      <c r="L843" s="142">
        <v>3.8</v>
      </c>
      <c r="M843" s="172"/>
      <c r="N843" s="173"/>
      <c r="O843" s="174"/>
      <c r="P843" s="175"/>
      <c r="Q843" s="182" t="s">
        <v>100</v>
      </c>
      <c r="R843" s="182" t="s">
        <v>29</v>
      </c>
      <c r="S843" s="175"/>
      <c r="T843" s="173" t="s">
        <v>30</v>
      </c>
      <c r="U843" s="62"/>
      <c r="V843" s="177" t="s">
        <v>2565</v>
      </c>
      <c r="W843" s="177" t="s">
        <v>2566</v>
      </c>
      <c r="X843" s="177">
        <v>28866.229000000007</v>
      </c>
      <c r="Y843" s="177">
        <v>5936.9099999999971</v>
      </c>
      <c r="Z843" s="178"/>
      <c r="AA843" s="297" t="s">
        <v>2564</v>
      </c>
      <c r="AB843" s="21" t="s">
        <v>2</v>
      </c>
      <c r="AH843" s="63">
        <v>1</v>
      </c>
      <c r="AO843" s="10" t="s">
        <v>3</v>
      </c>
      <c r="AP843" s="297" t="s">
        <v>2567</v>
      </c>
      <c r="AQ843" s="178"/>
      <c r="AR843" s="177">
        <v>5934.11</v>
      </c>
      <c r="AS843" s="222">
        <f>AS841-AQ842</f>
        <v>29326.838999999989</v>
      </c>
      <c r="AT843" s="177" t="s">
        <v>2568</v>
      </c>
      <c r="AU843" s="177" t="s">
        <v>2569</v>
      </c>
      <c r="AV843" s="62"/>
      <c r="AW843" s="173" t="s">
        <v>30</v>
      </c>
      <c r="AX843" s="175"/>
      <c r="AY843" s="182" t="s">
        <v>29</v>
      </c>
      <c r="AZ843" s="182" t="s">
        <v>100</v>
      </c>
      <c r="BA843" s="175"/>
      <c r="BB843" s="180"/>
      <c r="BC843" s="172"/>
      <c r="BD843" s="172"/>
      <c r="BE843" s="142">
        <v>3.8</v>
      </c>
      <c r="BF843" s="171"/>
      <c r="BG843" s="56">
        <v>-4</v>
      </c>
      <c r="BH843" s="57"/>
      <c r="BI843" s="170"/>
      <c r="BJ843" s="169"/>
      <c r="BK843" s="181"/>
      <c r="BL843" s="36">
        <f>VLOOKUP($AP843,'[1]V1 V2'!$B$5:$BW$1894,74,0)</f>
        <v>0</v>
      </c>
      <c r="BM843" s="36" t="str">
        <f>IF('[1]V1 V2'!X842="","",'[1]V1 V2'!X842)</f>
        <v/>
      </c>
    </row>
    <row r="844" spans="1:65" ht="16" thickBot="1" x14ac:dyDescent="0.4">
      <c r="A844">
        <v>1</v>
      </c>
      <c r="B844" s="304"/>
      <c r="C844" s="305"/>
      <c r="D844" s="306"/>
      <c r="E844" s="36"/>
      <c r="F844" s="168"/>
      <c r="G844" s="169"/>
      <c r="H844" s="170"/>
      <c r="I844" s="57"/>
      <c r="J844" s="56"/>
      <c r="K844" s="171"/>
      <c r="L844" s="142"/>
      <c r="M844" s="172"/>
      <c r="N844" s="173"/>
      <c r="O844" s="174"/>
      <c r="P844" s="175"/>
      <c r="Q844" s="182"/>
      <c r="R844" s="182"/>
      <c r="S844" s="175"/>
      <c r="T844" s="173"/>
      <c r="U844" s="62" t="s">
        <v>48</v>
      </c>
      <c r="V844" s="177" t="s">
        <v>89</v>
      </c>
      <c r="W844" s="177" t="s">
        <v>89</v>
      </c>
      <c r="X844" s="230"/>
      <c r="Y844" s="177"/>
      <c r="Z844" s="178">
        <v>12</v>
      </c>
      <c r="AA844" s="297"/>
      <c r="AB844" s="21" t="s">
        <v>2</v>
      </c>
      <c r="AH844" s="63">
        <v>1</v>
      </c>
      <c r="AO844" s="10" t="s">
        <v>3</v>
      </c>
      <c r="AP844" s="297"/>
      <c r="AQ844" s="178">
        <v>12</v>
      </c>
      <c r="AR844" s="177"/>
      <c r="AS844" s="222"/>
      <c r="AT844" s="177" t="s">
        <v>89</v>
      </c>
      <c r="AU844" s="177" t="s">
        <v>89</v>
      </c>
      <c r="AV844" s="62" t="s">
        <v>48</v>
      </c>
      <c r="AW844" s="173"/>
      <c r="AX844" s="175"/>
      <c r="AY844" s="182"/>
      <c r="AZ844" s="182"/>
      <c r="BA844" s="175"/>
      <c r="BB844" s="180"/>
      <c r="BC844" s="172"/>
      <c r="BD844" s="172"/>
      <c r="BE844" s="142"/>
      <c r="BF844" s="171"/>
      <c r="BG844" s="56"/>
      <c r="BH844" s="57"/>
      <c r="BI844" s="170"/>
      <c r="BJ844" s="169"/>
      <c r="BK844" s="181"/>
      <c r="BL844" s="36"/>
      <c r="BM844" s="36" t="str">
        <f>IF('[1]V1 V2'!X843="","",'[1]V1 V2'!X843)</f>
        <v/>
      </c>
    </row>
    <row r="845" spans="1:65" ht="16" thickBot="1" x14ac:dyDescent="0.4">
      <c r="A845">
        <v>1</v>
      </c>
      <c r="B845" s="304" t="s">
        <v>2570</v>
      </c>
      <c r="C845" s="305"/>
      <c r="D845" s="306"/>
      <c r="E845" s="36">
        <f>VLOOKUP($B845,'[1]V1 V2'!$B$5:$BW$1894,74,0)</f>
        <v>0</v>
      </c>
      <c r="F845" s="168"/>
      <c r="G845" s="169"/>
      <c r="H845" s="170"/>
      <c r="I845" s="57"/>
      <c r="J845" s="56" t="s">
        <v>113</v>
      </c>
      <c r="K845" s="171"/>
      <c r="L845" s="142">
        <v>3.8</v>
      </c>
      <c r="M845" s="172"/>
      <c r="N845" s="173"/>
      <c r="O845" s="174"/>
      <c r="P845" s="175"/>
      <c r="Q845" s="182" t="s">
        <v>100</v>
      </c>
      <c r="R845" s="182" t="s">
        <v>29</v>
      </c>
      <c r="S845" s="175"/>
      <c r="T845" s="173" t="s">
        <v>30</v>
      </c>
      <c r="U845" s="62"/>
      <c r="V845" s="177" t="s">
        <v>2571</v>
      </c>
      <c r="W845" s="177" t="s">
        <v>2572</v>
      </c>
      <c r="X845" s="177">
        <v>28854.229000000007</v>
      </c>
      <c r="Y845" s="177">
        <v>5948.9099999999971</v>
      </c>
      <c r="Z845" s="178"/>
      <c r="AA845" s="297" t="s">
        <v>2570</v>
      </c>
      <c r="AB845" s="21" t="s">
        <v>2</v>
      </c>
      <c r="AH845" s="63">
        <v>1</v>
      </c>
      <c r="AO845" s="10" t="s">
        <v>3</v>
      </c>
      <c r="AP845" s="297" t="s">
        <v>2573</v>
      </c>
      <c r="AQ845" s="178"/>
      <c r="AR845" s="177">
        <v>5946.11</v>
      </c>
      <c r="AS845" s="222">
        <f>AS843-AQ844</f>
        <v>29314.838999999989</v>
      </c>
      <c r="AT845" s="177" t="s">
        <v>2574</v>
      </c>
      <c r="AU845" s="177" t="s">
        <v>2575</v>
      </c>
      <c r="AV845" s="62"/>
      <c r="AW845" s="173" t="s">
        <v>30</v>
      </c>
      <c r="AX845" s="175"/>
      <c r="AY845" s="182" t="s">
        <v>29</v>
      </c>
      <c r="AZ845" s="182" t="s">
        <v>100</v>
      </c>
      <c r="BA845" s="175"/>
      <c r="BB845" s="180"/>
      <c r="BC845" s="172"/>
      <c r="BD845" s="172"/>
      <c r="BE845" s="142">
        <v>3.8</v>
      </c>
      <c r="BF845" s="171"/>
      <c r="BG845" s="183" t="s">
        <v>113</v>
      </c>
      <c r="BH845" s="57"/>
      <c r="BI845" s="170"/>
      <c r="BJ845" s="169"/>
      <c r="BK845" s="181"/>
      <c r="BL845" s="36">
        <f>VLOOKUP($AP845,'[1]V1 V2'!$B$5:$BW$1894,74,0)</f>
        <v>0</v>
      </c>
      <c r="BM845" s="36" t="str">
        <f>IF('[1]V1 V2'!X844="","",'[1]V1 V2'!X844)</f>
        <v/>
      </c>
    </row>
    <row r="846" spans="1:65" ht="16" thickBot="1" x14ac:dyDescent="0.4">
      <c r="A846">
        <v>1</v>
      </c>
      <c r="B846" s="304"/>
      <c r="C846" s="305"/>
      <c r="D846" s="306"/>
      <c r="E846" s="36"/>
      <c r="F846" s="168"/>
      <c r="G846" s="169"/>
      <c r="H846" s="170"/>
      <c r="I846" s="57"/>
      <c r="J846" s="56"/>
      <c r="K846" s="171"/>
      <c r="L846" s="142"/>
      <c r="M846" s="172"/>
      <c r="N846" s="173"/>
      <c r="O846" s="174"/>
      <c r="P846" s="175"/>
      <c r="Q846" s="182"/>
      <c r="R846" s="182"/>
      <c r="S846" s="175"/>
      <c r="T846" s="173"/>
      <c r="U846" s="62" t="s">
        <v>48</v>
      </c>
      <c r="V846" s="177" t="s">
        <v>89</v>
      </c>
      <c r="W846" s="177" t="s">
        <v>89</v>
      </c>
      <c r="X846" s="230"/>
      <c r="Y846" s="177"/>
      <c r="Z846" s="178">
        <v>12</v>
      </c>
      <c r="AA846" s="297"/>
      <c r="AB846" s="21" t="s">
        <v>2</v>
      </c>
      <c r="AH846" s="63">
        <v>1</v>
      </c>
      <c r="AO846" s="10" t="s">
        <v>3</v>
      </c>
      <c r="AP846" s="297"/>
      <c r="AQ846" s="178">
        <v>12</v>
      </c>
      <c r="AR846" s="177"/>
      <c r="AS846" s="222"/>
      <c r="AT846" s="177" t="s">
        <v>89</v>
      </c>
      <c r="AU846" s="177" t="s">
        <v>89</v>
      </c>
      <c r="AV846" s="62" t="s">
        <v>48</v>
      </c>
      <c r="AW846" s="173"/>
      <c r="AX846" s="175"/>
      <c r="AY846" s="182"/>
      <c r="AZ846" s="182"/>
      <c r="BA846" s="175"/>
      <c r="BB846" s="180"/>
      <c r="BC846" s="172"/>
      <c r="BD846" s="172"/>
      <c r="BE846" s="142"/>
      <c r="BF846" s="171"/>
      <c r="BG846" s="56"/>
      <c r="BH846" s="57"/>
      <c r="BI846" s="170"/>
      <c r="BJ846" s="169"/>
      <c r="BK846" s="181"/>
      <c r="BL846" s="36"/>
      <c r="BM846" s="36" t="str">
        <f>IF('[1]V1 V2'!X845="","",'[1]V1 V2'!X845)</f>
        <v/>
      </c>
    </row>
    <row r="847" spans="1:65" ht="16" thickBot="1" x14ac:dyDescent="0.4">
      <c r="A847">
        <v>1</v>
      </c>
      <c r="B847" s="304" t="s">
        <v>2576</v>
      </c>
      <c r="C847" s="305"/>
      <c r="D847" s="306"/>
      <c r="E847" s="36">
        <f>VLOOKUP($B847,'[1]V1 V2'!$B$5:$BW$1894,74,0)</f>
        <v>0</v>
      </c>
      <c r="F847" s="168"/>
      <c r="G847" s="169"/>
      <c r="H847" s="170"/>
      <c r="I847" s="57"/>
      <c r="J847" s="56" t="s">
        <v>120</v>
      </c>
      <c r="K847" s="171"/>
      <c r="L847" s="142">
        <v>3.8</v>
      </c>
      <c r="M847" s="172"/>
      <c r="N847" s="173"/>
      <c r="O847" s="174"/>
      <c r="P847" s="175"/>
      <c r="Q847" s="182" t="s">
        <v>100</v>
      </c>
      <c r="R847" s="182" t="s">
        <v>29</v>
      </c>
      <c r="S847" s="175"/>
      <c r="T847" s="173" t="s">
        <v>30</v>
      </c>
      <c r="U847" s="62"/>
      <c r="V847" s="177" t="s">
        <v>2577</v>
      </c>
      <c r="W847" s="177" t="s">
        <v>2578</v>
      </c>
      <c r="X847" s="177">
        <v>28842.229000000007</v>
      </c>
      <c r="Y847" s="177">
        <v>5960.9099999999971</v>
      </c>
      <c r="Z847" s="178"/>
      <c r="AA847" s="297" t="s">
        <v>2576</v>
      </c>
      <c r="AB847" s="21" t="s">
        <v>2</v>
      </c>
      <c r="AH847" s="63">
        <v>1</v>
      </c>
      <c r="AO847" s="10" t="s">
        <v>3</v>
      </c>
      <c r="AP847" s="297" t="s">
        <v>2579</v>
      </c>
      <c r="AQ847" s="178"/>
      <c r="AR847" s="177">
        <v>5958.11</v>
      </c>
      <c r="AS847" s="222">
        <f>AS845-AQ846</f>
        <v>29302.838999999989</v>
      </c>
      <c r="AT847" s="177" t="s">
        <v>2580</v>
      </c>
      <c r="AU847" s="177" t="s">
        <v>2581</v>
      </c>
      <c r="AV847" s="62"/>
      <c r="AW847" s="173" t="s">
        <v>30</v>
      </c>
      <c r="AX847" s="175"/>
      <c r="AY847" s="182" t="s">
        <v>29</v>
      </c>
      <c r="AZ847" s="182" t="s">
        <v>100</v>
      </c>
      <c r="BA847" s="175"/>
      <c r="BB847" s="180"/>
      <c r="BC847" s="172"/>
      <c r="BD847" s="172"/>
      <c r="BE847" s="142">
        <v>3.8</v>
      </c>
      <c r="BF847" s="171"/>
      <c r="BG847" s="183" t="s">
        <v>120</v>
      </c>
      <c r="BH847" s="57"/>
      <c r="BI847" s="170"/>
      <c r="BJ847" s="169"/>
      <c r="BK847" s="181"/>
      <c r="BL847" s="36">
        <f>VLOOKUP($AP847,'[1]V1 V2'!$B$5:$BW$1894,74,0)</f>
        <v>0</v>
      </c>
      <c r="BM847" s="36" t="str">
        <f>IF('[1]V1 V2'!X846="","",'[1]V1 V2'!X846)</f>
        <v/>
      </c>
    </row>
    <row r="848" spans="1:65" ht="16" thickBot="1" x14ac:dyDescent="0.4">
      <c r="A848">
        <v>1</v>
      </c>
      <c r="B848" s="304"/>
      <c r="C848" s="305"/>
      <c r="D848" s="306"/>
      <c r="E848" s="36"/>
      <c r="F848" s="168"/>
      <c r="G848" s="169"/>
      <c r="H848" s="170"/>
      <c r="I848" s="57"/>
      <c r="J848" s="56"/>
      <c r="K848" s="171"/>
      <c r="L848" s="142"/>
      <c r="M848" s="172"/>
      <c r="N848" s="173"/>
      <c r="O848" s="174"/>
      <c r="P848" s="175"/>
      <c r="Q848" s="182"/>
      <c r="R848" s="182"/>
      <c r="S848" s="175"/>
      <c r="T848" s="173"/>
      <c r="U848" s="62" t="s">
        <v>48</v>
      </c>
      <c r="V848" s="177" t="s">
        <v>89</v>
      </c>
      <c r="W848" s="177" t="s">
        <v>89</v>
      </c>
      <c r="X848" s="230"/>
      <c r="Y848" s="177"/>
      <c r="Z848" s="178">
        <v>12</v>
      </c>
      <c r="AA848" s="297"/>
      <c r="AB848" s="21" t="s">
        <v>2</v>
      </c>
      <c r="AH848" s="63">
        <v>1</v>
      </c>
      <c r="AO848" s="10" t="s">
        <v>3</v>
      </c>
      <c r="AP848" s="297"/>
      <c r="AQ848" s="178">
        <v>12</v>
      </c>
      <c r="AR848" s="177"/>
      <c r="AS848" s="222"/>
      <c r="AT848" s="177" t="s">
        <v>89</v>
      </c>
      <c r="AU848" s="177" t="s">
        <v>89</v>
      </c>
      <c r="AV848" s="62" t="s">
        <v>48</v>
      </c>
      <c r="AW848" s="173"/>
      <c r="AX848" s="175"/>
      <c r="AY848" s="182"/>
      <c r="AZ848" s="182"/>
      <c r="BA848" s="175"/>
      <c r="BB848" s="180"/>
      <c r="BC848" s="172"/>
      <c r="BD848" s="172"/>
      <c r="BE848" s="142"/>
      <c r="BF848" s="171"/>
      <c r="BG848" s="56"/>
      <c r="BH848" s="57"/>
      <c r="BI848" s="170"/>
      <c r="BJ848" s="169"/>
      <c r="BK848" s="181"/>
      <c r="BL848" s="36"/>
      <c r="BM848" s="36" t="str">
        <f>IF('[1]V1 V2'!X847="","",'[1]V1 V2'!X847)</f>
        <v/>
      </c>
    </row>
    <row r="849" spans="1:65" ht="16" thickBot="1" x14ac:dyDescent="0.4">
      <c r="A849">
        <v>1</v>
      </c>
      <c r="B849" s="304" t="s">
        <v>2582</v>
      </c>
      <c r="C849" s="305"/>
      <c r="D849" s="306"/>
      <c r="E849" s="36">
        <f>VLOOKUP($B849,'[1]V1 V2'!$B$5:$BW$1894,74,0)</f>
        <v>0</v>
      </c>
      <c r="F849" s="168"/>
      <c r="G849" s="169"/>
      <c r="H849" s="170"/>
      <c r="I849" s="57"/>
      <c r="J849" s="56" t="s">
        <v>127</v>
      </c>
      <c r="K849" s="171"/>
      <c r="L849" s="142">
        <v>3.8</v>
      </c>
      <c r="M849" s="172"/>
      <c r="N849" s="173"/>
      <c r="O849" s="174"/>
      <c r="P849" s="175"/>
      <c r="Q849" s="182" t="s">
        <v>100</v>
      </c>
      <c r="R849" s="182" t="s">
        <v>29</v>
      </c>
      <c r="S849" s="175"/>
      <c r="T849" s="173" t="s">
        <v>30</v>
      </c>
      <c r="U849" s="62"/>
      <c r="V849" s="177" t="s">
        <v>2583</v>
      </c>
      <c r="W849" s="177" t="s">
        <v>2584</v>
      </c>
      <c r="X849" s="177">
        <v>28830.229000000007</v>
      </c>
      <c r="Y849" s="177">
        <v>5972.9099999999971</v>
      </c>
      <c r="Z849" s="178"/>
      <c r="AA849" s="297" t="s">
        <v>2582</v>
      </c>
      <c r="AB849" s="21" t="s">
        <v>2</v>
      </c>
      <c r="AH849" s="63">
        <v>1</v>
      </c>
      <c r="AO849" s="10" t="s">
        <v>3</v>
      </c>
      <c r="AP849" s="297" t="s">
        <v>2585</v>
      </c>
      <c r="AQ849" s="178"/>
      <c r="AR849" s="177">
        <v>5970.11</v>
      </c>
      <c r="AS849" s="222">
        <f>AS847-AQ848</f>
        <v>29290.838999999989</v>
      </c>
      <c r="AT849" s="177" t="s">
        <v>2586</v>
      </c>
      <c r="AU849" s="177" t="s">
        <v>2587</v>
      </c>
      <c r="AV849" s="62"/>
      <c r="AW849" s="173" t="s">
        <v>30</v>
      </c>
      <c r="AX849" s="175"/>
      <c r="AY849" s="182" t="s">
        <v>29</v>
      </c>
      <c r="AZ849" s="182" t="s">
        <v>100</v>
      </c>
      <c r="BA849" s="175"/>
      <c r="BB849" s="180"/>
      <c r="BC849" s="172"/>
      <c r="BD849" s="172"/>
      <c r="BE849" s="142">
        <v>3.8</v>
      </c>
      <c r="BF849" s="171"/>
      <c r="BG849" s="183" t="s">
        <v>127</v>
      </c>
      <c r="BH849" s="57"/>
      <c r="BI849" s="170"/>
      <c r="BJ849" s="169"/>
      <c r="BK849" s="181"/>
      <c r="BL849" s="36">
        <f>VLOOKUP($AP849,'[1]V1 V2'!$B$5:$BW$1894,74,0)</f>
        <v>0</v>
      </c>
      <c r="BM849" s="36" t="str">
        <f>IF('[1]V1 V2'!X848="","",'[1]V1 V2'!X848)</f>
        <v/>
      </c>
    </row>
    <row r="850" spans="1:65" ht="16" thickBot="1" x14ac:dyDescent="0.4">
      <c r="A850">
        <v>1</v>
      </c>
      <c r="B850" s="304"/>
      <c r="C850" s="305"/>
      <c r="D850" s="306"/>
      <c r="E850" s="36"/>
      <c r="F850" s="168"/>
      <c r="G850" s="169"/>
      <c r="H850" s="170"/>
      <c r="I850" s="57"/>
      <c r="J850" s="56"/>
      <c r="K850" s="171"/>
      <c r="L850" s="142"/>
      <c r="M850" s="172"/>
      <c r="N850" s="173"/>
      <c r="O850" s="174"/>
      <c r="P850" s="175"/>
      <c r="Q850" s="182"/>
      <c r="R850" s="182"/>
      <c r="S850" s="175"/>
      <c r="T850" s="173"/>
      <c r="U850" s="62">
        <v>-500</v>
      </c>
      <c r="V850" s="177" t="s">
        <v>89</v>
      </c>
      <c r="W850" s="177" t="s">
        <v>89</v>
      </c>
      <c r="X850" s="230"/>
      <c r="Y850" s="177"/>
      <c r="Z850" s="178">
        <v>12</v>
      </c>
      <c r="AA850" s="297"/>
      <c r="AB850" s="21" t="s">
        <v>2</v>
      </c>
      <c r="AH850" s="63">
        <v>1</v>
      </c>
      <c r="AO850" s="10" t="s">
        <v>3</v>
      </c>
      <c r="AP850" s="297"/>
      <c r="AQ850" s="178">
        <v>12</v>
      </c>
      <c r="AR850" s="177"/>
      <c r="AS850" s="222"/>
      <c r="AT850" s="177" t="s">
        <v>89</v>
      </c>
      <c r="AU850" s="177" t="s">
        <v>89</v>
      </c>
      <c r="AV850" s="62">
        <v>-500</v>
      </c>
      <c r="AW850" s="173"/>
      <c r="AX850" s="175"/>
      <c r="AY850" s="182"/>
      <c r="AZ850" s="182"/>
      <c r="BA850" s="175"/>
      <c r="BB850" s="180"/>
      <c r="BC850" s="172"/>
      <c r="BD850" s="172"/>
      <c r="BE850" s="142"/>
      <c r="BF850" s="171"/>
      <c r="BG850" s="56"/>
      <c r="BH850" s="57"/>
      <c r="BI850" s="170"/>
      <c r="BJ850" s="169"/>
      <c r="BK850" s="181"/>
      <c r="BL850" s="36"/>
      <c r="BM850" s="36" t="str">
        <f>IF('[1]V1 V2'!X849="","",'[1]V1 V2'!X849)</f>
        <v/>
      </c>
    </row>
    <row r="851" spans="1:65" ht="16" thickBot="1" x14ac:dyDescent="0.4">
      <c r="A851">
        <v>1</v>
      </c>
      <c r="B851" s="304" t="s">
        <v>2588</v>
      </c>
      <c r="C851" s="305"/>
      <c r="D851" s="306"/>
      <c r="E851" s="36">
        <f>VLOOKUP($B851,'[1]V1 V2'!$B$5:$BW$1894,74,0)</f>
        <v>0</v>
      </c>
      <c r="F851" s="168"/>
      <c r="G851" s="169"/>
      <c r="H851" s="170"/>
      <c r="I851" s="57"/>
      <c r="J851" s="56" t="s">
        <v>120</v>
      </c>
      <c r="K851" s="171"/>
      <c r="L851" s="142">
        <v>3.8</v>
      </c>
      <c r="M851" s="172"/>
      <c r="N851" s="173"/>
      <c r="O851" s="174"/>
      <c r="P851" s="175"/>
      <c r="Q851" s="182" t="s">
        <v>100</v>
      </c>
      <c r="R851" s="182" t="s">
        <v>29</v>
      </c>
      <c r="S851" s="175"/>
      <c r="T851" s="173" t="s">
        <v>30</v>
      </c>
      <c r="U851" s="62"/>
      <c r="V851" s="177" t="s">
        <v>2589</v>
      </c>
      <c r="W851" s="177" t="s">
        <v>2590</v>
      </c>
      <c r="X851" s="177">
        <v>28818.229000000007</v>
      </c>
      <c r="Y851" s="177">
        <v>5984.9099999999971</v>
      </c>
      <c r="Z851" s="178"/>
      <c r="AA851" s="297" t="s">
        <v>2588</v>
      </c>
      <c r="AB851" s="21" t="s">
        <v>2</v>
      </c>
      <c r="AH851" s="63">
        <v>1</v>
      </c>
      <c r="AO851" s="10" t="s">
        <v>3</v>
      </c>
      <c r="AP851" s="297" t="s">
        <v>2591</v>
      </c>
      <c r="AQ851" s="178"/>
      <c r="AR851" s="177">
        <v>5982.11</v>
      </c>
      <c r="AS851" s="222">
        <f>AS849-AQ850</f>
        <v>29278.838999999989</v>
      </c>
      <c r="AT851" s="177" t="s">
        <v>2592</v>
      </c>
      <c r="AU851" s="177" t="s">
        <v>2593</v>
      </c>
      <c r="AV851" s="62"/>
      <c r="AW851" s="173" t="s">
        <v>30</v>
      </c>
      <c r="AX851" s="175"/>
      <c r="AY851" s="182" t="s">
        <v>29</v>
      </c>
      <c r="AZ851" s="182" t="s">
        <v>100</v>
      </c>
      <c r="BA851" s="175"/>
      <c r="BB851" s="180"/>
      <c r="BC851" s="172"/>
      <c r="BD851" s="172"/>
      <c r="BE851" s="142">
        <v>3.8</v>
      </c>
      <c r="BF851" s="171"/>
      <c r="BG851" s="183" t="s">
        <v>120</v>
      </c>
      <c r="BH851" s="57"/>
      <c r="BI851" s="170"/>
      <c r="BJ851" s="169"/>
      <c r="BK851" s="181"/>
      <c r="BL851" s="36">
        <f>VLOOKUP($AP851,'[1]V1 V2'!$B$5:$BW$1894,74,0)</f>
        <v>0</v>
      </c>
      <c r="BM851" s="36" t="str">
        <f>IF('[1]V1 V2'!X850="","",'[1]V1 V2'!X850)</f>
        <v/>
      </c>
    </row>
    <row r="852" spans="1:65" ht="16" thickBot="1" x14ac:dyDescent="0.4">
      <c r="A852">
        <v>1</v>
      </c>
      <c r="B852" s="304"/>
      <c r="C852" s="305"/>
      <c r="D852" s="306"/>
      <c r="E852" s="36"/>
      <c r="F852" s="168"/>
      <c r="G852" s="169"/>
      <c r="H852" s="170"/>
      <c r="I852" s="57"/>
      <c r="J852" s="56"/>
      <c r="K852" s="171"/>
      <c r="L852" s="142"/>
      <c r="M852" s="172"/>
      <c r="N852" s="173"/>
      <c r="O852" s="174"/>
      <c r="P852" s="175"/>
      <c r="Q852" s="182"/>
      <c r="R852" s="182"/>
      <c r="S852" s="175"/>
      <c r="T852" s="173"/>
      <c r="U852" s="62">
        <v>-500</v>
      </c>
      <c r="V852" s="177" t="s">
        <v>89</v>
      </c>
      <c r="W852" s="177" t="s">
        <v>89</v>
      </c>
      <c r="X852" s="230"/>
      <c r="Y852" s="177"/>
      <c r="Z852" s="178">
        <v>12</v>
      </c>
      <c r="AA852" s="297"/>
      <c r="AB852" s="21" t="s">
        <v>2</v>
      </c>
      <c r="AH852" s="63">
        <v>1</v>
      </c>
      <c r="AO852" s="10" t="s">
        <v>3</v>
      </c>
      <c r="AP852" s="297"/>
      <c r="AQ852" s="178">
        <v>12</v>
      </c>
      <c r="AR852" s="177"/>
      <c r="AS852" s="222"/>
      <c r="AT852" s="177" t="s">
        <v>89</v>
      </c>
      <c r="AU852" s="177" t="s">
        <v>89</v>
      </c>
      <c r="AV852" s="62">
        <v>-500</v>
      </c>
      <c r="AW852" s="173"/>
      <c r="AX852" s="175"/>
      <c r="AY852" s="182"/>
      <c r="AZ852" s="182"/>
      <c r="BA852" s="175"/>
      <c r="BB852" s="180"/>
      <c r="BC852" s="172"/>
      <c r="BD852" s="172"/>
      <c r="BE852" s="142"/>
      <c r="BF852" s="171"/>
      <c r="BG852" s="56"/>
      <c r="BH852" s="57"/>
      <c r="BI852" s="170"/>
      <c r="BJ852" s="169"/>
      <c r="BK852" s="181"/>
      <c r="BL852" s="36"/>
      <c r="BM852" s="36" t="str">
        <f>IF('[1]V1 V2'!X851="","",'[1]V1 V2'!X851)</f>
        <v/>
      </c>
    </row>
    <row r="853" spans="1:65" ht="16" thickBot="1" x14ac:dyDescent="0.4">
      <c r="A853">
        <v>1</v>
      </c>
      <c r="B853" s="304" t="s">
        <v>2594</v>
      </c>
      <c r="C853" s="305"/>
      <c r="D853" s="306"/>
      <c r="E853" s="36">
        <f>VLOOKUP($B853,'[1]V1 V2'!$B$5:$BW$1894,74,0)</f>
        <v>0</v>
      </c>
      <c r="F853" s="168"/>
      <c r="G853" s="169"/>
      <c r="H853" s="170"/>
      <c r="I853" s="57"/>
      <c r="J853" s="56" t="s">
        <v>113</v>
      </c>
      <c r="K853" s="171"/>
      <c r="L853" s="142">
        <v>3.8</v>
      </c>
      <c r="M853" s="172"/>
      <c r="N853" s="173"/>
      <c r="O853" s="174"/>
      <c r="P853" s="175"/>
      <c r="Q853" s="182" t="s">
        <v>100</v>
      </c>
      <c r="R853" s="182" t="s">
        <v>29</v>
      </c>
      <c r="S853" s="175"/>
      <c r="T853" s="173" t="s">
        <v>30</v>
      </c>
      <c r="U853" s="62"/>
      <c r="V853" s="177" t="s">
        <v>2595</v>
      </c>
      <c r="W853" s="177" t="s">
        <v>2596</v>
      </c>
      <c r="X853" s="177">
        <v>28806.229000000007</v>
      </c>
      <c r="Y853" s="177">
        <v>5996.9099999999971</v>
      </c>
      <c r="Z853" s="178"/>
      <c r="AA853" s="297" t="s">
        <v>2594</v>
      </c>
      <c r="AB853" s="21" t="s">
        <v>2</v>
      </c>
      <c r="AH853" s="63">
        <v>1</v>
      </c>
      <c r="AO853" s="10" t="s">
        <v>3</v>
      </c>
      <c r="AP853" s="297" t="s">
        <v>2597</v>
      </c>
      <c r="AQ853" s="178"/>
      <c r="AR853" s="177">
        <v>5994.11</v>
      </c>
      <c r="AS853" s="222">
        <f>AS851-AQ852</f>
        <v>29266.838999999989</v>
      </c>
      <c r="AT853" s="177" t="s">
        <v>2598</v>
      </c>
      <c r="AU853" s="177" t="s">
        <v>2599</v>
      </c>
      <c r="AV853" s="62"/>
      <c r="AW853" s="173" t="s">
        <v>30</v>
      </c>
      <c r="AX853" s="175"/>
      <c r="AY853" s="182" t="s">
        <v>29</v>
      </c>
      <c r="AZ853" s="182" t="s">
        <v>100</v>
      </c>
      <c r="BA853" s="175"/>
      <c r="BB853" s="180"/>
      <c r="BC853" s="172"/>
      <c r="BD853" s="172"/>
      <c r="BE853" s="142">
        <v>3.8</v>
      </c>
      <c r="BF853" s="171"/>
      <c r="BG853" s="183" t="s">
        <v>113</v>
      </c>
      <c r="BH853" s="57"/>
      <c r="BI853" s="170"/>
      <c r="BJ853" s="169"/>
      <c r="BK853" s="181"/>
      <c r="BL853" s="36">
        <f>VLOOKUP($AP853,'[1]V1 V2'!$B$5:$BW$1894,74,0)</f>
        <v>0</v>
      </c>
      <c r="BM853" s="36" t="str">
        <f>IF('[1]V1 V2'!X852="","",'[1]V1 V2'!X852)</f>
        <v/>
      </c>
    </row>
    <row r="854" spans="1:65" ht="16" thickBot="1" x14ac:dyDescent="0.4">
      <c r="A854">
        <v>1</v>
      </c>
      <c r="B854" s="304"/>
      <c r="C854" s="305"/>
      <c r="D854" s="306"/>
      <c r="E854" s="36"/>
      <c r="F854" s="168"/>
      <c r="G854" s="169"/>
      <c r="H854" s="170"/>
      <c r="I854" s="57"/>
      <c r="J854" s="56"/>
      <c r="K854" s="171"/>
      <c r="L854" s="142"/>
      <c r="M854" s="172"/>
      <c r="N854" s="173"/>
      <c r="O854" s="174"/>
      <c r="P854" s="175"/>
      <c r="Q854" s="182"/>
      <c r="R854" s="182"/>
      <c r="S854" s="175"/>
      <c r="T854" s="173"/>
      <c r="U854" s="62">
        <v>-500</v>
      </c>
      <c r="V854" s="177" t="s">
        <v>89</v>
      </c>
      <c r="W854" s="177" t="s">
        <v>89</v>
      </c>
      <c r="X854" s="230"/>
      <c r="Y854" s="177"/>
      <c r="Z854" s="178">
        <v>12</v>
      </c>
      <c r="AA854" s="297"/>
      <c r="AB854" s="21" t="s">
        <v>2</v>
      </c>
      <c r="AH854" s="63">
        <v>1</v>
      </c>
      <c r="AO854" s="10" t="s">
        <v>3</v>
      </c>
      <c r="AP854" s="297"/>
      <c r="AQ854" s="178">
        <v>12</v>
      </c>
      <c r="AR854" s="177"/>
      <c r="AS854" s="222"/>
      <c r="AT854" s="177" t="s">
        <v>89</v>
      </c>
      <c r="AU854" s="177" t="s">
        <v>89</v>
      </c>
      <c r="AV854" s="62">
        <v>-500</v>
      </c>
      <c r="AW854" s="173"/>
      <c r="AX854" s="175"/>
      <c r="AY854" s="182"/>
      <c r="AZ854" s="182"/>
      <c r="BA854" s="175"/>
      <c r="BB854" s="180"/>
      <c r="BC854" s="172"/>
      <c r="BD854" s="172"/>
      <c r="BE854" s="142"/>
      <c r="BF854" s="171"/>
      <c r="BG854" s="56"/>
      <c r="BH854" s="57"/>
      <c r="BI854" s="170"/>
      <c r="BJ854" s="169"/>
      <c r="BK854" s="181"/>
      <c r="BL854" s="36"/>
      <c r="BM854" s="36" t="str">
        <f>IF('[1]V1 V2'!X853="","",'[1]V1 V2'!X853)</f>
        <v/>
      </c>
    </row>
    <row r="855" spans="1:65" ht="16" thickBot="1" x14ac:dyDescent="0.4">
      <c r="A855">
        <v>1</v>
      </c>
      <c r="B855" s="304" t="s">
        <v>2600</v>
      </c>
      <c r="C855" s="305"/>
      <c r="D855" s="306"/>
      <c r="E855" s="36">
        <f>VLOOKUP($B855,'[1]V1 V2'!$B$5:$BW$1894,74,0)</f>
        <v>0</v>
      </c>
      <c r="F855" s="168"/>
      <c r="G855" s="169"/>
      <c r="H855" s="170"/>
      <c r="I855" s="57"/>
      <c r="J855" s="56">
        <v>-4</v>
      </c>
      <c r="K855" s="171"/>
      <c r="L855" s="142">
        <v>3.8</v>
      </c>
      <c r="M855" s="172"/>
      <c r="N855" s="173"/>
      <c r="O855" s="174"/>
      <c r="P855" s="175"/>
      <c r="Q855" s="182" t="s">
        <v>100</v>
      </c>
      <c r="R855" s="182" t="s">
        <v>29</v>
      </c>
      <c r="S855" s="175"/>
      <c r="T855" s="173" t="s">
        <v>30</v>
      </c>
      <c r="U855" s="62"/>
      <c r="V855" s="177" t="s">
        <v>2601</v>
      </c>
      <c r="W855" s="177" t="s">
        <v>2602</v>
      </c>
      <c r="X855" s="177">
        <v>28794.229000000007</v>
      </c>
      <c r="Y855" s="177">
        <v>6008.9099999999971</v>
      </c>
      <c r="Z855" s="178"/>
      <c r="AA855" s="297" t="s">
        <v>2600</v>
      </c>
      <c r="AB855" s="21" t="s">
        <v>2</v>
      </c>
      <c r="AH855" s="63">
        <v>1</v>
      </c>
      <c r="AO855" s="10" t="s">
        <v>3</v>
      </c>
      <c r="AP855" s="297" t="s">
        <v>2603</v>
      </c>
      <c r="AQ855" s="178"/>
      <c r="AR855" s="177">
        <v>6006.11</v>
      </c>
      <c r="AS855" s="222">
        <f>AS853-AQ854</f>
        <v>29254.838999999989</v>
      </c>
      <c r="AT855" s="177" t="s">
        <v>2604</v>
      </c>
      <c r="AU855" s="177" t="s">
        <v>2605</v>
      </c>
      <c r="AV855" s="62"/>
      <c r="AW855" s="173" t="s">
        <v>30</v>
      </c>
      <c r="AX855" s="175"/>
      <c r="AY855" s="182" t="s">
        <v>29</v>
      </c>
      <c r="AZ855" s="182" t="s">
        <v>100</v>
      </c>
      <c r="BA855" s="175"/>
      <c r="BB855" s="180"/>
      <c r="BC855" s="172"/>
      <c r="BD855" s="172"/>
      <c r="BE855" s="142">
        <v>3.8</v>
      </c>
      <c r="BF855" s="171"/>
      <c r="BG855" s="56">
        <v>-4</v>
      </c>
      <c r="BH855" s="57"/>
      <c r="BI855" s="170"/>
      <c r="BJ855" s="169"/>
      <c r="BK855" s="181"/>
      <c r="BL855" s="36">
        <f>VLOOKUP($AP855,'[1]V1 V2'!$B$5:$BW$1894,74,0)</f>
        <v>0</v>
      </c>
      <c r="BM855" s="36" t="str">
        <f>IF('[1]V1 V2'!X854="","",'[1]V1 V2'!X854)</f>
        <v/>
      </c>
    </row>
    <row r="856" spans="1:65" ht="16" thickBot="1" x14ac:dyDescent="0.4">
      <c r="A856">
        <v>1</v>
      </c>
      <c r="B856" s="304"/>
      <c r="C856" s="305"/>
      <c r="D856" s="306"/>
      <c r="E856" s="36"/>
      <c r="F856" s="168"/>
      <c r="G856" s="169"/>
      <c r="H856" s="170"/>
      <c r="I856" s="57"/>
      <c r="J856" s="56"/>
      <c r="K856" s="171"/>
      <c r="L856" s="142"/>
      <c r="M856" s="172"/>
      <c r="N856" s="173"/>
      <c r="O856" s="174"/>
      <c r="P856" s="175"/>
      <c r="Q856" s="182"/>
      <c r="R856" s="182"/>
      <c r="S856" s="175"/>
      <c r="T856" s="173"/>
      <c r="U856" s="62">
        <v>-500</v>
      </c>
      <c r="V856" s="177" t="s">
        <v>89</v>
      </c>
      <c r="W856" s="177" t="s">
        <v>89</v>
      </c>
      <c r="X856" s="230"/>
      <c r="Y856" s="177"/>
      <c r="Z856" s="178">
        <v>12</v>
      </c>
      <c r="AA856" s="297"/>
      <c r="AB856" s="21" t="s">
        <v>2</v>
      </c>
      <c r="AH856" s="63">
        <v>1</v>
      </c>
      <c r="AO856" s="10" t="s">
        <v>3</v>
      </c>
      <c r="AP856" s="297"/>
      <c r="AQ856" s="178">
        <v>12</v>
      </c>
      <c r="AR856" s="177"/>
      <c r="AS856" s="222"/>
      <c r="AT856" s="177" t="s">
        <v>89</v>
      </c>
      <c r="AU856" s="177" t="s">
        <v>89</v>
      </c>
      <c r="AV856" s="62">
        <v>-500</v>
      </c>
      <c r="AW856" s="173"/>
      <c r="AX856" s="175"/>
      <c r="AY856" s="182"/>
      <c r="AZ856" s="182"/>
      <c r="BA856" s="175"/>
      <c r="BB856" s="180"/>
      <c r="BC856" s="172"/>
      <c r="BD856" s="172"/>
      <c r="BE856" s="142"/>
      <c r="BF856" s="171"/>
      <c r="BG856" s="56"/>
      <c r="BH856" s="57"/>
      <c r="BI856" s="170"/>
      <c r="BJ856" s="169"/>
      <c r="BK856" s="181"/>
      <c r="BL856" s="36"/>
      <c r="BM856" s="36" t="str">
        <f>IF('[1]V1 V2'!X855="","",'[1]V1 V2'!X855)</f>
        <v/>
      </c>
    </row>
    <row r="857" spans="1:65" ht="16" thickBot="1" x14ac:dyDescent="0.4">
      <c r="A857">
        <v>1</v>
      </c>
      <c r="B857" s="304" t="s">
        <v>2606</v>
      </c>
      <c r="C857" s="305"/>
      <c r="D857" s="306"/>
      <c r="E857" s="36">
        <f>VLOOKUP($B857,'[1]V1 V2'!$B$5:$BW$1894,74,0)</f>
        <v>0</v>
      </c>
      <c r="F857" s="168"/>
      <c r="G857" s="169"/>
      <c r="H857" s="170"/>
      <c r="I857" s="57"/>
      <c r="J857" s="56">
        <v>-12</v>
      </c>
      <c r="K857" s="171"/>
      <c r="L857" s="142">
        <v>3.8</v>
      </c>
      <c r="M857" s="172"/>
      <c r="N857" s="173"/>
      <c r="O857" s="174"/>
      <c r="P857" s="175"/>
      <c r="Q857" s="182" t="s">
        <v>100</v>
      </c>
      <c r="R857" s="182" t="s">
        <v>29</v>
      </c>
      <c r="S857" s="175"/>
      <c r="T857" s="173" t="s">
        <v>30</v>
      </c>
      <c r="U857" s="62"/>
      <c r="V857" s="177" t="s">
        <v>2607</v>
      </c>
      <c r="W857" s="177" t="s">
        <v>2608</v>
      </c>
      <c r="X857" s="177">
        <v>28782.229000000007</v>
      </c>
      <c r="Y857" s="177">
        <v>6020.9099999999971</v>
      </c>
      <c r="Z857" s="178"/>
      <c r="AA857" s="297" t="s">
        <v>2606</v>
      </c>
      <c r="AB857" s="21" t="s">
        <v>2</v>
      </c>
      <c r="AH857" s="63">
        <v>1</v>
      </c>
      <c r="AO857" s="10" t="s">
        <v>3</v>
      </c>
      <c r="AP857" s="297" t="s">
        <v>2609</v>
      </c>
      <c r="AQ857" s="178"/>
      <c r="AR857" s="177">
        <v>6018.11</v>
      </c>
      <c r="AS857" s="222">
        <f>AS855-AQ856</f>
        <v>29242.838999999989</v>
      </c>
      <c r="AT857" s="177" t="s">
        <v>2610</v>
      </c>
      <c r="AU857" s="177" t="s">
        <v>2611</v>
      </c>
      <c r="AV857" s="62"/>
      <c r="AW857" s="173" t="s">
        <v>30</v>
      </c>
      <c r="AX857" s="175"/>
      <c r="AY857" s="182" t="s">
        <v>29</v>
      </c>
      <c r="AZ857" s="182" t="s">
        <v>100</v>
      </c>
      <c r="BA857" s="175"/>
      <c r="BB857" s="180"/>
      <c r="BC857" s="172"/>
      <c r="BD857" s="172"/>
      <c r="BE857" s="142">
        <v>3.8</v>
      </c>
      <c r="BF857" s="171"/>
      <c r="BG857" s="56">
        <v>-12</v>
      </c>
      <c r="BH857" s="57"/>
      <c r="BI857" s="170"/>
      <c r="BJ857" s="169"/>
      <c r="BK857" s="181"/>
      <c r="BL857" s="36">
        <f>VLOOKUP($AP857,'[1]V1 V2'!$B$5:$BW$1894,74,0)</f>
        <v>0</v>
      </c>
      <c r="BM857" s="36" t="str">
        <f>IF('[1]V1 V2'!X856="","",'[1]V1 V2'!X856)</f>
        <v/>
      </c>
    </row>
    <row r="858" spans="1:65" ht="16" thickBot="1" x14ac:dyDescent="0.4">
      <c r="A858">
        <v>1</v>
      </c>
      <c r="B858" s="304"/>
      <c r="C858" s="305"/>
      <c r="D858" s="306"/>
      <c r="E858" s="36"/>
      <c r="F858" s="168"/>
      <c r="G858" s="169"/>
      <c r="H858" s="170"/>
      <c r="I858" s="57"/>
      <c r="J858" s="56"/>
      <c r="K858" s="171"/>
      <c r="L858" s="142"/>
      <c r="M858" s="172"/>
      <c r="N858" s="173"/>
      <c r="O858" s="174"/>
      <c r="P858" s="175"/>
      <c r="Q858" s="182"/>
      <c r="R858" s="182"/>
      <c r="S858" s="175"/>
      <c r="T858" s="173"/>
      <c r="U858" s="62">
        <v>-500</v>
      </c>
      <c r="V858" s="177" t="s">
        <v>89</v>
      </c>
      <c r="W858" s="177" t="s">
        <v>89</v>
      </c>
      <c r="X858" s="230"/>
      <c r="Y858" s="177"/>
      <c r="Z858" s="178">
        <v>12</v>
      </c>
      <c r="AA858" s="297"/>
      <c r="AB858" s="21" t="s">
        <v>2</v>
      </c>
      <c r="AH858" s="63">
        <v>1</v>
      </c>
      <c r="AO858" s="10" t="s">
        <v>3</v>
      </c>
      <c r="AP858" s="297"/>
      <c r="AQ858" s="178">
        <v>12</v>
      </c>
      <c r="AR858" s="177"/>
      <c r="AS858" s="222"/>
      <c r="AT858" s="177" t="s">
        <v>89</v>
      </c>
      <c r="AU858" s="177" t="s">
        <v>89</v>
      </c>
      <c r="AV858" s="62">
        <v>-500</v>
      </c>
      <c r="AW858" s="173"/>
      <c r="AX858" s="175"/>
      <c r="AY858" s="182"/>
      <c r="AZ858" s="182"/>
      <c r="BA858" s="175"/>
      <c r="BB858" s="180"/>
      <c r="BC858" s="172"/>
      <c r="BD858" s="172"/>
      <c r="BE858" s="142"/>
      <c r="BF858" s="171"/>
      <c r="BG858" s="56"/>
      <c r="BH858" s="57"/>
      <c r="BI858" s="170"/>
      <c r="BJ858" s="169"/>
      <c r="BK858" s="181"/>
      <c r="BL858" s="36"/>
      <c r="BM858" s="36" t="str">
        <f>IF('[1]V1 V2'!X857="","",'[1]V1 V2'!X857)</f>
        <v/>
      </c>
    </row>
    <row r="859" spans="1:65" ht="16" thickBot="1" x14ac:dyDescent="0.4">
      <c r="A859">
        <v>1</v>
      </c>
      <c r="B859" s="304" t="s">
        <v>2612</v>
      </c>
      <c r="C859" s="305"/>
      <c r="D859" s="306"/>
      <c r="E859" s="36">
        <f>VLOOKUP($B859,'[1]V1 V2'!$B$5:$BW$1894,74,0)</f>
        <v>0</v>
      </c>
      <c r="F859" s="168"/>
      <c r="G859" s="169"/>
      <c r="H859" s="170"/>
      <c r="I859" s="57"/>
      <c r="J859" s="56">
        <v>-20</v>
      </c>
      <c r="K859" s="171"/>
      <c r="L859" s="142">
        <v>3.8</v>
      </c>
      <c r="M859" s="172"/>
      <c r="N859" s="173"/>
      <c r="O859" s="174"/>
      <c r="P859" s="175"/>
      <c r="Q859" s="182" t="s">
        <v>100</v>
      </c>
      <c r="R859" s="182" t="s">
        <v>29</v>
      </c>
      <c r="S859" s="175"/>
      <c r="T859" s="173" t="s">
        <v>30</v>
      </c>
      <c r="U859" s="62"/>
      <c r="V859" s="177" t="s">
        <v>2613</v>
      </c>
      <c r="W859" s="177" t="s">
        <v>2614</v>
      </c>
      <c r="X859" s="177">
        <v>28770.229000000007</v>
      </c>
      <c r="Y859" s="177">
        <v>6032.9099999999971</v>
      </c>
      <c r="Z859" s="178"/>
      <c r="AA859" s="297" t="s">
        <v>2612</v>
      </c>
      <c r="AB859" s="21" t="s">
        <v>2</v>
      </c>
      <c r="AH859" s="63">
        <v>1</v>
      </c>
      <c r="AO859" s="10" t="s">
        <v>3</v>
      </c>
      <c r="AP859" s="297" t="s">
        <v>2615</v>
      </c>
      <c r="AQ859" s="178"/>
      <c r="AR859" s="177">
        <v>6030.11</v>
      </c>
      <c r="AS859" s="222">
        <f>AS857-AQ858</f>
        <v>29230.838999999989</v>
      </c>
      <c r="AT859" s="177" t="s">
        <v>2616</v>
      </c>
      <c r="AU859" s="177" t="s">
        <v>2617</v>
      </c>
      <c r="AV859" s="62"/>
      <c r="AW859" s="173" t="s">
        <v>30</v>
      </c>
      <c r="AX859" s="175"/>
      <c r="AY859" s="182" t="s">
        <v>29</v>
      </c>
      <c r="AZ859" s="182" t="s">
        <v>100</v>
      </c>
      <c r="BA859" s="175"/>
      <c r="BB859" s="180"/>
      <c r="BC859" s="172"/>
      <c r="BD859" s="172"/>
      <c r="BE859" s="142">
        <v>3.8</v>
      </c>
      <c r="BF859" s="171"/>
      <c r="BG859" s="56">
        <v>-20</v>
      </c>
      <c r="BH859" s="57"/>
      <c r="BI859" s="170"/>
      <c r="BJ859" s="169"/>
      <c r="BK859" s="181"/>
      <c r="BL859" s="36">
        <f>VLOOKUP($AP859,'[1]V1 V2'!$B$5:$BW$1894,74,0)</f>
        <v>0</v>
      </c>
      <c r="BM859" s="36" t="str">
        <f>IF('[1]V1 V2'!X858="","",'[1]V1 V2'!X858)</f>
        <v/>
      </c>
    </row>
    <row r="860" spans="1:65" ht="16" thickBot="1" x14ac:dyDescent="0.4">
      <c r="A860">
        <v>1</v>
      </c>
      <c r="B860" s="304"/>
      <c r="C860" s="305"/>
      <c r="D860" s="306"/>
      <c r="E860" s="36"/>
      <c r="F860" s="168"/>
      <c r="G860" s="169"/>
      <c r="H860" s="170"/>
      <c r="I860" s="57"/>
      <c r="J860" s="56"/>
      <c r="K860" s="171"/>
      <c r="L860" s="142"/>
      <c r="M860" s="172"/>
      <c r="N860" s="173"/>
      <c r="O860" s="174"/>
      <c r="P860" s="175"/>
      <c r="Q860" s="182"/>
      <c r="R860" s="182"/>
      <c r="S860" s="175"/>
      <c r="T860" s="173"/>
      <c r="U860" s="62">
        <v>-500</v>
      </c>
      <c r="V860" s="177" t="s">
        <v>89</v>
      </c>
      <c r="W860" s="177" t="s">
        <v>89</v>
      </c>
      <c r="X860" s="230"/>
      <c r="Y860" s="177"/>
      <c r="Z860" s="178">
        <v>12</v>
      </c>
      <c r="AA860" s="297"/>
      <c r="AB860" s="21" t="s">
        <v>2</v>
      </c>
      <c r="AH860" s="63">
        <v>1</v>
      </c>
      <c r="AO860" s="10" t="s">
        <v>3</v>
      </c>
      <c r="AP860" s="297"/>
      <c r="AQ860" s="178">
        <v>12</v>
      </c>
      <c r="AR860" s="177"/>
      <c r="AS860" s="222"/>
      <c r="AT860" s="177" t="s">
        <v>89</v>
      </c>
      <c r="AU860" s="177" t="s">
        <v>89</v>
      </c>
      <c r="AV860" s="62">
        <v>-500</v>
      </c>
      <c r="AW860" s="173"/>
      <c r="AX860" s="175"/>
      <c r="AY860" s="182"/>
      <c r="AZ860" s="182"/>
      <c r="BA860" s="175"/>
      <c r="BB860" s="180"/>
      <c r="BC860" s="172"/>
      <c r="BD860" s="172"/>
      <c r="BE860" s="142"/>
      <c r="BF860" s="171"/>
      <c r="BG860" s="56"/>
      <c r="BH860" s="57"/>
      <c r="BI860" s="170"/>
      <c r="BJ860" s="169"/>
      <c r="BK860" s="181"/>
      <c r="BL860" s="36"/>
      <c r="BM860" s="36" t="str">
        <f>IF('[1]V1 V2'!X859="","",'[1]V1 V2'!X859)</f>
        <v/>
      </c>
    </row>
    <row r="861" spans="1:65" ht="16" thickBot="1" x14ac:dyDescent="0.4">
      <c r="A861">
        <v>1</v>
      </c>
      <c r="B861" s="304" t="s">
        <v>2618</v>
      </c>
      <c r="C861" s="305"/>
      <c r="D861" s="306"/>
      <c r="E861" s="36">
        <f>VLOOKUP($B861,'[1]V1 V2'!$B$5:$BW$1894,74,0)</f>
        <v>0</v>
      </c>
      <c r="F861" s="168"/>
      <c r="G861" s="169"/>
      <c r="H861" s="170"/>
      <c r="I861" s="57"/>
      <c r="J861" s="56">
        <v>-12</v>
      </c>
      <c r="K861" s="171"/>
      <c r="L861" s="142">
        <v>3.8</v>
      </c>
      <c r="M861" s="172"/>
      <c r="N861" s="173"/>
      <c r="O861" s="174"/>
      <c r="P861" s="175"/>
      <c r="Q861" s="182" t="s">
        <v>100</v>
      </c>
      <c r="R861" s="182" t="s">
        <v>29</v>
      </c>
      <c r="S861" s="175"/>
      <c r="T861" s="173" t="s">
        <v>30</v>
      </c>
      <c r="U861" s="62"/>
      <c r="V861" s="177" t="s">
        <v>2619</v>
      </c>
      <c r="W861" s="177" t="s">
        <v>2620</v>
      </c>
      <c r="X861" s="177">
        <v>28758.229000000007</v>
      </c>
      <c r="Y861" s="177">
        <v>6044.9099999999971</v>
      </c>
      <c r="Z861" s="178"/>
      <c r="AA861" s="297" t="s">
        <v>2618</v>
      </c>
      <c r="AB861" s="21" t="s">
        <v>2</v>
      </c>
      <c r="AH861" s="63">
        <v>1</v>
      </c>
      <c r="AO861" s="10" t="s">
        <v>3</v>
      </c>
      <c r="AP861" s="297" t="s">
        <v>2621</v>
      </c>
      <c r="AQ861" s="178"/>
      <c r="AR861" s="177">
        <v>6042.11</v>
      </c>
      <c r="AS861" s="222">
        <f>AS859-AQ860</f>
        <v>29218.838999999989</v>
      </c>
      <c r="AT861" s="177" t="s">
        <v>2622</v>
      </c>
      <c r="AU861" s="177" t="s">
        <v>2623</v>
      </c>
      <c r="AV861" s="62"/>
      <c r="AW861" s="173" t="s">
        <v>30</v>
      </c>
      <c r="AX861" s="175"/>
      <c r="AY861" s="182" t="s">
        <v>29</v>
      </c>
      <c r="AZ861" s="182" t="s">
        <v>100</v>
      </c>
      <c r="BA861" s="175"/>
      <c r="BB861" s="180"/>
      <c r="BC861" s="172"/>
      <c r="BD861" s="172"/>
      <c r="BE861" s="142">
        <v>3.8</v>
      </c>
      <c r="BF861" s="171"/>
      <c r="BG861" s="56">
        <v>-12</v>
      </c>
      <c r="BH861" s="57"/>
      <c r="BI861" s="170"/>
      <c r="BJ861" s="169"/>
      <c r="BK861" s="181"/>
      <c r="BL861" s="36">
        <f>VLOOKUP($AP861,'[1]V1 V2'!$B$5:$BW$1894,74,0)</f>
        <v>0</v>
      </c>
      <c r="BM861" s="36" t="str">
        <f>IF('[1]V1 V2'!X860="","",'[1]V1 V2'!X860)</f>
        <v/>
      </c>
    </row>
    <row r="862" spans="1:65" ht="16" thickBot="1" x14ac:dyDescent="0.4">
      <c r="A862">
        <v>1</v>
      </c>
      <c r="B862" s="304"/>
      <c r="C862" s="305"/>
      <c r="D862" s="306"/>
      <c r="E862" s="36"/>
      <c r="F862" s="168"/>
      <c r="G862" s="169"/>
      <c r="H862" s="170"/>
      <c r="I862" s="57"/>
      <c r="J862" s="56"/>
      <c r="K862" s="171"/>
      <c r="L862" s="142"/>
      <c r="M862" s="172"/>
      <c r="N862" s="173"/>
      <c r="O862" s="174"/>
      <c r="P862" s="175"/>
      <c r="Q862" s="182"/>
      <c r="R862" s="182"/>
      <c r="S862" s="175"/>
      <c r="T862" s="173"/>
      <c r="U862" s="62" t="s">
        <v>48</v>
      </c>
      <c r="V862" s="177" t="s">
        <v>89</v>
      </c>
      <c r="W862" s="177" t="s">
        <v>89</v>
      </c>
      <c r="X862" s="230"/>
      <c r="Y862" s="177"/>
      <c r="Z862" s="178">
        <v>12</v>
      </c>
      <c r="AA862" s="297"/>
      <c r="AB862" s="21" t="s">
        <v>2</v>
      </c>
      <c r="AH862" s="63">
        <v>1</v>
      </c>
      <c r="AO862" s="10" t="s">
        <v>3</v>
      </c>
      <c r="AP862" s="297"/>
      <c r="AQ862" s="178">
        <v>12</v>
      </c>
      <c r="AR862" s="177"/>
      <c r="AS862" s="222"/>
      <c r="AT862" s="177" t="s">
        <v>89</v>
      </c>
      <c r="AU862" s="177" t="s">
        <v>89</v>
      </c>
      <c r="AV862" s="62" t="s">
        <v>48</v>
      </c>
      <c r="AW862" s="173"/>
      <c r="AX862" s="175"/>
      <c r="AY862" s="182"/>
      <c r="AZ862" s="182"/>
      <c r="BA862" s="175"/>
      <c r="BB862" s="180"/>
      <c r="BC862" s="172"/>
      <c r="BD862" s="172"/>
      <c r="BE862" s="142"/>
      <c r="BF862" s="171"/>
      <c r="BG862" s="56"/>
      <c r="BH862" s="57"/>
      <c r="BI862" s="170"/>
      <c r="BJ862" s="169"/>
      <c r="BK862" s="181"/>
      <c r="BL862" s="36"/>
      <c r="BM862" s="36" t="str">
        <f>IF('[1]V1 V2'!X861="","",'[1]V1 V2'!X861)</f>
        <v/>
      </c>
    </row>
    <row r="863" spans="1:65" ht="16" thickBot="1" x14ac:dyDescent="0.4">
      <c r="A863">
        <v>1</v>
      </c>
      <c r="B863" s="304" t="s">
        <v>2624</v>
      </c>
      <c r="C863" s="305"/>
      <c r="D863" s="306"/>
      <c r="E863" s="36">
        <f>VLOOKUP($B863,'[1]V1 V2'!$B$5:$BW$1894,74,0)</f>
        <v>0</v>
      </c>
      <c r="F863" s="168"/>
      <c r="G863" s="169"/>
      <c r="H863" s="170"/>
      <c r="I863" s="57"/>
      <c r="J863" s="56">
        <v>-4</v>
      </c>
      <c r="K863" s="171"/>
      <c r="L863" s="142">
        <v>3.8</v>
      </c>
      <c r="M863" s="172"/>
      <c r="N863" s="173"/>
      <c r="O863" s="174"/>
      <c r="P863" s="175"/>
      <c r="Q863" s="182" t="s">
        <v>100</v>
      </c>
      <c r="R863" s="182" t="s">
        <v>29</v>
      </c>
      <c r="S863" s="175"/>
      <c r="T863" s="173" t="s">
        <v>30</v>
      </c>
      <c r="U863" s="62"/>
      <c r="V863" s="177" t="s">
        <v>2625</v>
      </c>
      <c r="W863" s="177" t="s">
        <v>2626</v>
      </c>
      <c r="X863" s="177">
        <v>28746.229000000007</v>
      </c>
      <c r="Y863" s="177">
        <v>6056.9099999999971</v>
      </c>
      <c r="Z863" s="178"/>
      <c r="AA863" s="297" t="s">
        <v>2624</v>
      </c>
      <c r="AB863" s="21" t="s">
        <v>2</v>
      </c>
      <c r="AH863" s="63">
        <v>1</v>
      </c>
      <c r="AO863" s="10" t="s">
        <v>3</v>
      </c>
      <c r="AP863" s="297" t="s">
        <v>2627</v>
      </c>
      <c r="AQ863" s="178"/>
      <c r="AR863" s="177">
        <v>6054.11</v>
      </c>
      <c r="AS863" s="222">
        <f>AS861-AQ862</f>
        <v>29206.838999999989</v>
      </c>
      <c r="AT863" s="177" t="s">
        <v>2628</v>
      </c>
      <c r="AU863" s="177" t="s">
        <v>2629</v>
      </c>
      <c r="AV863" s="62"/>
      <c r="AW863" s="173" t="s">
        <v>30</v>
      </c>
      <c r="AX863" s="175"/>
      <c r="AY863" s="182" t="s">
        <v>29</v>
      </c>
      <c r="AZ863" s="182" t="s">
        <v>100</v>
      </c>
      <c r="BA863" s="175"/>
      <c r="BB863" s="180"/>
      <c r="BC863" s="172"/>
      <c r="BD863" s="172"/>
      <c r="BE863" s="142">
        <v>3.8</v>
      </c>
      <c r="BF863" s="171"/>
      <c r="BG863" s="56">
        <v>-4</v>
      </c>
      <c r="BH863" s="57"/>
      <c r="BI863" s="170"/>
      <c r="BJ863" s="169"/>
      <c r="BK863" s="181"/>
      <c r="BL863" s="36">
        <f>VLOOKUP($AP863,'[1]V1 V2'!$B$5:$BW$1894,74,0)</f>
        <v>0</v>
      </c>
      <c r="BM863" s="36" t="str">
        <f>IF('[1]V1 V2'!X862="","",'[1]V1 V2'!X862)</f>
        <v/>
      </c>
    </row>
    <row r="864" spans="1:65" ht="16" thickBot="1" x14ac:dyDescent="0.4">
      <c r="A864">
        <v>1</v>
      </c>
      <c r="B864" s="304"/>
      <c r="C864" s="305"/>
      <c r="D864" s="306"/>
      <c r="E864" s="36"/>
      <c r="F864" s="168"/>
      <c r="G864" s="169"/>
      <c r="H864" s="170"/>
      <c r="I864" s="57"/>
      <c r="J864" s="56"/>
      <c r="K864" s="171"/>
      <c r="L864" s="142"/>
      <c r="M864" s="172"/>
      <c r="N864" s="173"/>
      <c r="O864" s="174"/>
      <c r="P864" s="175"/>
      <c r="Q864" s="182"/>
      <c r="R864" s="182"/>
      <c r="S864" s="175"/>
      <c r="T864" s="173"/>
      <c r="U864" s="62" t="s">
        <v>48</v>
      </c>
      <c r="V864" s="177" t="s">
        <v>89</v>
      </c>
      <c r="W864" s="177" t="s">
        <v>89</v>
      </c>
      <c r="X864" s="230"/>
      <c r="Y864" s="177"/>
      <c r="Z864" s="178">
        <v>12</v>
      </c>
      <c r="AA864" s="297"/>
      <c r="AB864" s="21" t="s">
        <v>2</v>
      </c>
      <c r="AH864" s="63">
        <v>1</v>
      </c>
      <c r="AO864" s="10" t="s">
        <v>3</v>
      </c>
      <c r="AP864" s="297"/>
      <c r="AQ864" s="178">
        <v>12</v>
      </c>
      <c r="AR864" s="177"/>
      <c r="AS864" s="222"/>
      <c r="AT864" s="177" t="s">
        <v>89</v>
      </c>
      <c r="AU864" s="177" t="s">
        <v>89</v>
      </c>
      <c r="AV864" s="62" t="s">
        <v>48</v>
      </c>
      <c r="AW864" s="173"/>
      <c r="AX864" s="175"/>
      <c r="AY864" s="182"/>
      <c r="AZ864" s="182"/>
      <c r="BA864" s="175"/>
      <c r="BB864" s="180"/>
      <c r="BC864" s="172"/>
      <c r="BD864" s="172"/>
      <c r="BE864" s="142"/>
      <c r="BF864" s="171"/>
      <c r="BG864" s="56"/>
      <c r="BH864" s="57"/>
      <c r="BI864" s="170"/>
      <c r="BJ864" s="169"/>
      <c r="BK864" s="181"/>
      <c r="BL864" s="36"/>
      <c r="BM864" s="36" t="str">
        <f>IF('[1]V1 V2'!X863="","",'[1]V1 V2'!X863)</f>
        <v/>
      </c>
    </row>
    <row r="865" spans="1:65" ht="16" thickBot="1" x14ac:dyDescent="0.4">
      <c r="A865">
        <v>1</v>
      </c>
      <c r="B865" s="304" t="s">
        <v>2630</v>
      </c>
      <c r="C865" s="305"/>
      <c r="D865" s="306"/>
      <c r="E865" s="36">
        <f>VLOOKUP($B865,'[1]V1 V2'!$B$5:$BW$1894,74,0)</f>
        <v>0</v>
      </c>
      <c r="F865" s="168"/>
      <c r="G865" s="169"/>
      <c r="H865" s="170"/>
      <c r="I865" s="57"/>
      <c r="J865" s="56" t="s">
        <v>113</v>
      </c>
      <c r="K865" s="171"/>
      <c r="L865" s="142">
        <v>3.8</v>
      </c>
      <c r="M865" s="172"/>
      <c r="N865" s="173"/>
      <c r="O865" s="174"/>
      <c r="P865" s="175"/>
      <c r="Q865" s="182" t="s">
        <v>100</v>
      </c>
      <c r="R865" s="182" t="s">
        <v>29</v>
      </c>
      <c r="S865" s="175"/>
      <c r="T865" s="173" t="s">
        <v>30</v>
      </c>
      <c r="U865" s="62"/>
      <c r="V865" s="177" t="s">
        <v>2631</v>
      </c>
      <c r="W865" s="177" t="s">
        <v>2632</v>
      </c>
      <c r="X865" s="177">
        <v>28734.229000000007</v>
      </c>
      <c r="Y865" s="177">
        <v>6068.9099999999971</v>
      </c>
      <c r="Z865" s="178"/>
      <c r="AA865" s="297" t="s">
        <v>2630</v>
      </c>
      <c r="AB865" s="21" t="s">
        <v>2</v>
      </c>
      <c r="AC865" s="163"/>
      <c r="AD865" s="163"/>
      <c r="AE865" s="163"/>
      <c r="AF865" s="163"/>
      <c r="AG865" s="163"/>
      <c r="AH865" s="164">
        <v>1</v>
      </c>
      <c r="AI865" s="163"/>
      <c r="AJ865" s="163"/>
      <c r="AK865" s="163"/>
      <c r="AL865" s="163"/>
      <c r="AM865" s="163"/>
      <c r="AN865" s="163"/>
      <c r="AO865" s="10" t="s">
        <v>3</v>
      </c>
      <c r="AP865" s="297" t="s">
        <v>2633</v>
      </c>
      <c r="AQ865" s="178"/>
      <c r="AR865" s="177">
        <v>6066.11</v>
      </c>
      <c r="AS865" s="222">
        <f>AS863-AQ864</f>
        <v>29194.838999999989</v>
      </c>
      <c r="AT865" s="177" t="s">
        <v>2634</v>
      </c>
      <c r="AU865" s="177" t="s">
        <v>2635</v>
      </c>
      <c r="AV865" s="62"/>
      <c r="AW865" s="173" t="s">
        <v>30</v>
      </c>
      <c r="AX865" s="175"/>
      <c r="AY865" s="182" t="s">
        <v>29</v>
      </c>
      <c r="AZ865" s="182" t="s">
        <v>100</v>
      </c>
      <c r="BA865" s="175"/>
      <c r="BB865" s="180"/>
      <c r="BC865" s="172"/>
      <c r="BD865" s="172"/>
      <c r="BE865" s="142">
        <v>3.8</v>
      </c>
      <c r="BF865" s="171"/>
      <c r="BG865" s="183" t="s">
        <v>113</v>
      </c>
      <c r="BH865" s="57"/>
      <c r="BI865" s="170"/>
      <c r="BJ865" s="169"/>
      <c r="BK865" s="181"/>
      <c r="BL865" s="36">
        <f>VLOOKUP($AP865,'[1]V1 V2'!$B$5:$BW$1894,74,0)</f>
        <v>0</v>
      </c>
      <c r="BM865" s="36" t="str">
        <f>IF('[1]V1 V2'!X864="","",'[1]V1 V2'!X864)</f>
        <v/>
      </c>
    </row>
    <row r="866" spans="1:65" ht="16" thickBot="1" x14ac:dyDescent="0.4">
      <c r="A866">
        <v>1</v>
      </c>
      <c r="B866" s="304"/>
      <c r="C866" s="305"/>
      <c r="D866" s="306"/>
      <c r="E866" s="36"/>
      <c r="F866" s="168"/>
      <c r="G866" s="169"/>
      <c r="H866" s="170"/>
      <c r="I866" s="57"/>
      <c r="J866" s="56"/>
      <c r="K866" s="171"/>
      <c r="L866" s="142"/>
      <c r="M866" s="172"/>
      <c r="N866" s="173"/>
      <c r="O866" s="174"/>
      <c r="P866" s="175"/>
      <c r="Q866" s="182"/>
      <c r="R866" s="182"/>
      <c r="S866" s="175"/>
      <c r="T866" s="173"/>
      <c r="U866" s="62"/>
      <c r="V866" s="177" t="s">
        <v>89</v>
      </c>
      <c r="W866" s="177" t="s">
        <v>89</v>
      </c>
      <c r="X866" s="230"/>
      <c r="Y866" s="177"/>
      <c r="Z866" s="178">
        <v>12</v>
      </c>
      <c r="AA866" s="297"/>
      <c r="AB866" s="21" t="s">
        <v>2</v>
      </c>
      <c r="AC866" s="113"/>
      <c r="AD866" s="113"/>
      <c r="AE866" s="113"/>
      <c r="AF866" s="113"/>
      <c r="AG866" s="113"/>
      <c r="AH866" s="166">
        <f>Y865</f>
        <v>6068.9099999999971</v>
      </c>
      <c r="AI866" s="113"/>
      <c r="AJ866" s="113"/>
      <c r="AK866" s="113"/>
      <c r="AL866" s="113"/>
      <c r="AM866" s="113"/>
      <c r="AN866" s="113"/>
      <c r="AO866" s="10" t="s">
        <v>3</v>
      </c>
      <c r="AP866" s="297"/>
      <c r="AQ866" s="178">
        <v>12</v>
      </c>
      <c r="AR866" s="177"/>
      <c r="AS866" s="222"/>
      <c r="AT866" s="177" t="s">
        <v>89</v>
      </c>
      <c r="AU866" s="177" t="s">
        <v>89</v>
      </c>
      <c r="AV866" s="62"/>
      <c r="AW866" s="173"/>
      <c r="AX866" s="175"/>
      <c r="AY866" s="182"/>
      <c r="AZ866" s="182"/>
      <c r="BA866" s="175"/>
      <c r="BB866" s="180"/>
      <c r="BC866" s="172"/>
      <c r="BD866" s="172"/>
      <c r="BE866" s="142"/>
      <c r="BF866" s="171"/>
      <c r="BG866" s="56"/>
      <c r="BH866" s="57"/>
      <c r="BI866" s="170"/>
      <c r="BJ866" s="169"/>
      <c r="BK866" s="181"/>
      <c r="BL866" s="36"/>
      <c r="BM866" s="36" t="str">
        <f>IF('[1]V1 V2'!X865="","",'[1]V1 V2'!X865)</f>
        <v/>
      </c>
    </row>
    <row r="867" spans="1:65" ht="16" thickBot="1" x14ac:dyDescent="0.4">
      <c r="A867">
        <v>1</v>
      </c>
      <c r="B867" s="304" t="s">
        <v>2636</v>
      </c>
      <c r="C867" s="305"/>
      <c r="D867" s="306"/>
      <c r="E867" s="36">
        <f>VLOOKUP($B867,'[1]V1 V2'!$B$5:$BW$1894,74,0)</f>
        <v>0</v>
      </c>
      <c r="F867" s="168"/>
      <c r="G867" s="169"/>
      <c r="H867" s="170"/>
      <c r="I867" s="57"/>
      <c r="J867" s="56" t="s">
        <v>120</v>
      </c>
      <c r="K867" s="171"/>
      <c r="L867" s="142">
        <v>3.8</v>
      </c>
      <c r="M867" s="172"/>
      <c r="N867" s="173"/>
      <c r="O867" s="174"/>
      <c r="P867" s="175"/>
      <c r="Q867" s="182" t="s">
        <v>100</v>
      </c>
      <c r="R867" s="182" t="s">
        <v>29</v>
      </c>
      <c r="S867" s="175"/>
      <c r="T867" s="173" t="s">
        <v>30</v>
      </c>
      <c r="U867" s="62"/>
      <c r="V867" s="177" t="s">
        <v>2637</v>
      </c>
      <c r="W867" s="177" t="s">
        <v>2638</v>
      </c>
      <c r="X867" s="177">
        <v>28722.229000000007</v>
      </c>
      <c r="Y867" s="177">
        <v>6080.9099999999971</v>
      </c>
      <c r="Z867" s="178"/>
      <c r="AA867" s="297" t="s">
        <v>2636</v>
      </c>
      <c r="AB867" s="21" t="s">
        <v>2</v>
      </c>
      <c r="AH867" s="63">
        <v>1</v>
      </c>
      <c r="AO867" s="10" t="s">
        <v>3</v>
      </c>
      <c r="AP867" s="297" t="s">
        <v>2639</v>
      </c>
      <c r="AQ867" s="178"/>
      <c r="AR867" s="177">
        <v>6078.11</v>
      </c>
      <c r="AS867" s="222">
        <f>AS865-AQ866</f>
        <v>29182.838999999989</v>
      </c>
      <c r="AT867" s="177" t="s">
        <v>2640</v>
      </c>
      <c r="AU867" s="177" t="s">
        <v>2641</v>
      </c>
      <c r="AV867" s="62"/>
      <c r="AW867" s="173" t="s">
        <v>30</v>
      </c>
      <c r="AX867" s="175"/>
      <c r="AY867" s="182" t="s">
        <v>29</v>
      </c>
      <c r="AZ867" s="182" t="s">
        <v>100</v>
      </c>
      <c r="BA867" s="175"/>
      <c r="BB867" s="180"/>
      <c r="BC867" s="172"/>
      <c r="BD867" s="172"/>
      <c r="BE867" s="142">
        <v>3.8</v>
      </c>
      <c r="BF867" s="171"/>
      <c r="BG867" s="183" t="s">
        <v>120</v>
      </c>
      <c r="BH867" s="57"/>
      <c r="BI867" s="170"/>
      <c r="BJ867" s="169"/>
      <c r="BK867" s="181"/>
      <c r="BL867" s="36">
        <f>VLOOKUP($AP867,'[1]V1 V2'!$B$5:$BW$1894,74,0)</f>
        <v>0</v>
      </c>
      <c r="BM867" s="36" t="str">
        <f>IF('[1]V1 V2'!X866="","",'[1]V1 V2'!X866)</f>
        <v/>
      </c>
    </row>
    <row r="868" spans="1:65" ht="16" thickBot="1" x14ac:dyDescent="0.4">
      <c r="A868">
        <v>1</v>
      </c>
      <c r="B868" s="304"/>
      <c r="C868" s="305"/>
      <c r="D868" s="306"/>
      <c r="E868" s="36"/>
      <c r="F868" s="168"/>
      <c r="G868" s="169"/>
      <c r="H868" s="170"/>
      <c r="I868" s="57"/>
      <c r="J868" s="56"/>
      <c r="K868" s="171"/>
      <c r="L868" s="142"/>
      <c r="M868" s="172"/>
      <c r="N868" s="173"/>
      <c r="O868" s="174"/>
      <c r="P868" s="175"/>
      <c r="Q868" s="182"/>
      <c r="R868" s="182"/>
      <c r="S868" s="175"/>
      <c r="T868" s="173"/>
      <c r="U868" s="62"/>
      <c r="V868" s="177" t="s">
        <v>89</v>
      </c>
      <c r="W868" s="177" t="s">
        <v>89</v>
      </c>
      <c r="X868" s="230"/>
      <c r="Y868" s="177"/>
      <c r="Z868" s="178">
        <v>12</v>
      </c>
      <c r="AA868" s="297"/>
      <c r="AB868" s="21" t="s">
        <v>2</v>
      </c>
      <c r="AH868" s="63">
        <v>1</v>
      </c>
      <c r="AO868" s="10" t="s">
        <v>3</v>
      </c>
      <c r="AP868" s="297"/>
      <c r="AQ868" s="178">
        <v>12</v>
      </c>
      <c r="AR868" s="177"/>
      <c r="AS868" s="222"/>
      <c r="AT868" s="177" t="s">
        <v>89</v>
      </c>
      <c r="AU868" s="177" t="s">
        <v>89</v>
      </c>
      <c r="AV868" s="62"/>
      <c r="AW868" s="173"/>
      <c r="AX868" s="175"/>
      <c r="AY868" s="182"/>
      <c r="AZ868" s="182"/>
      <c r="BA868" s="175"/>
      <c r="BB868" s="180"/>
      <c r="BC868" s="172"/>
      <c r="BD868" s="172"/>
      <c r="BE868" s="142"/>
      <c r="BF868" s="171"/>
      <c r="BG868" s="56"/>
      <c r="BH868" s="57"/>
      <c r="BI868" s="170"/>
      <c r="BJ868" s="169"/>
      <c r="BK868" s="181"/>
      <c r="BL868" s="36"/>
      <c r="BM868" s="36" t="str">
        <f>IF('[1]V1 V2'!X867="","",'[1]V1 V2'!X867)</f>
        <v/>
      </c>
    </row>
    <row r="869" spans="1:65" ht="16" thickBot="1" x14ac:dyDescent="0.4">
      <c r="A869">
        <v>1</v>
      </c>
      <c r="B869" s="310" t="s">
        <v>2642</v>
      </c>
      <c r="C869" s="311"/>
      <c r="D869" s="312"/>
      <c r="E869" s="36">
        <f>VLOOKUP($B869,'[1]V1 V2'!$B$5:$BW$1894,74,0)</f>
        <v>0</v>
      </c>
      <c r="F869" s="144"/>
      <c r="G869" s="145"/>
      <c r="H869" s="69" t="s">
        <v>2462</v>
      </c>
      <c r="I869" s="87" t="s">
        <v>127</v>
      </c>
      <c r="J869" s="86">
        <v>-12</v>
      </c>
      <c r="K869" s="147"/>
      <c r="L869" s="148">
        <v>3.8</v>
      </c>
      <c r="M869" s="149"/>
      <c r="N869" s="150"/>
      <c r="O869" s="151"/>
      <c r="P869" s="152"/>
      <c r="Q869" s="153" t="s">
        <v>83</v>
      </c>
      <c r="R869" s="153" t="s">
        <v>29</v>
      </c>
      <c r="S869" s="152"/>
      <c r="T869" s="150" t="s">
        <v>33</v>
      </c>
      <c r="U869" s="80"/>
      <c r="V869" s="154" t="s">
        <v>2643</v>
      </c>
      <c r="W869" s="154" t="s">
        <v>2644</v>
      </c>
      <c r="X869" s="404">
        <v>28710.229000000007</v>
      </c>
      <c r="Y869" s="154">
        <v>6092.9099999999971</v>
      </c>
      <c r="Z869" s="155"/>
      <c r="AA869" s="315" t="s">
        <v>2642</v>
      </c>
      <c r="AB869" s="21" t="s">
        <v>2</v>
      </c>
      <c r="AH869" s="63">
        <v>1</v>
      </c>
      <c r="AO869" s="10" t="s">
        <v>3</v>
      </c>
      <c r="AP869" s="315" t="s">
        <v>2645</v>
      </c>
      <c r="AQ869" s="155"/>
      <c r="AR869" s="154">
        <v>6090.11</v>
      </c>
      <c r="AS869" s="154">
        <f>AS867-AQ868</f>
        <v>29170.838999999989</v>
      </c>
      <c r="AT869" s="154" t="s">
        <v>2646</v>
      </c>
      <c r="AU869" s="154" t="s">
        <v>2647</v>
      </c>
      <c r="AV869" s="80"/>
      <c r="AW869" s="150" t="s">
        <v>33</v>
      </c>
      <c r="AX869" s="152"/>
      <c r="AY869" s="153" t="s">
        <v>29</v>
      </c>
      <c r="AZ869" s="153" t="s">
        <v>83</v>
      </c>
      <c r="BA869" s="152"/>
      <c r="BB869" s="157"/>
      <c r="BC869" s="149"/>
      <c r="BD869" s="149"/>
      <c r="BE869" s="148">
        <v>3.8</v>
      </c>
      <c r="BF869" s="147"/>
      <c r="BG869" s="158">
        <v>-12</v>
      </c>
      <c r="BH869" s="201" t="s">
        <v>127</v>
      </c>
      <c r="BI869" s="69" t="s">
        <v>2462</v>
      </c>
      <c r="BJ869" s="145"/>
      <c r="BK869" s="160"/>
      <c r="BL869" s="36">
        <f>VLOOKUP($AP869,'[1]V1 V2'!$B$5:$BW$1894,74,0)</f>
        <v>0</v>
      </c>
      <c r="BM869" s="36" t="str">
        <f>IF('[1]V1 V2'!X868="","",'[1]V1 V2'!X868)</f>
        <v/>
      </c>
    </row>
    <row r="870" spans="1:65" ht="16" thickBot="1" x14ac:dyDescent="0.4">
      <c r="A870">
        <v>1</v>
      </c>
      <c r="B870" s="310"/>
      <c r="C870" s="311"/>
      <c r="D870" s="312"/>
      <c r="E870" s="36"/>
      <c r="F870" s="144"/>
      <c r="G870" s="145"/>
      <c r="H870" s="92" t="s">
        <v>8</v>
      </c>
      <c r="I870" s="87"/>
      <c r="J870" s="86"/>
      <c r="K870" s="147"/>
      <c r="L870" s="148"/>
      <c r="M870" s="149"/>
      <c r="N870" s="150"/>
      <c r="O870" s="151"/>
      <c r="P870" s="152"/>
      <c r="Q870" s="153"/>
      <c r="R870" s="153"/>
      <c r="S870" s="152"/>
      <c r="T870" s="150"/>
      <c r="U870" s="80"/>
      <c r="V870" s="154" t="s">
        <v>89</v>
      </c>
      <c r="W870" s="154" t="s">
        <v>89</v>
      </c>
      <c r="X870" s="405"/>
      <c r="Y870" s="154"/>
      <c r="Z870" s="155">
        <v>6.2</v>
      </c>
      <c r="AA870" s="315"/>
      <c r="AB870" s="21" t="s">
        <v>2</v>
      </c>
      <c r="AH870" s="63">
        <v>1</v>
      </c>
      <c r="AO870" s="10" t="s">
        <v>3</v>
      </c>
      <c r="AP870" s="315"/>
      <c r="AQ870" s="155">
        <v>6.2</v>
      </c>
      <c r="AR870" s="154"/>
      <c r="AS870" s="154"/>
      <c r="AT870" s="154" t="s">
        <v>89</v>
      </c>
      <c r="AU870" s="154" t="s">
        <v>89</v>
      </c>
      <c r="AV870" s="80"/>
      <c r="AW870" s="150"/>
      <c r="AX870" s="152"/>
      <c r="AY870" s="153"/>
      <c r="AZ870" s="153"/>
      <c r="BA870" s="152"/>
      <c r="BB870" s="157"/>
      <c r="BC870" s="149"/>
      <c r="BD870" s="149"/>
      <c r="BE870" s="148"/>
      <c r="BF870" s="147"/>
      <c r="BG870" s="158"/>
      <c r="BH870" s="87"/>
      <c r="BI870" s="92" t="s">
        <v>8</v>
      </c>
      <c r="BJ870" s="145"/>
      <c r="BK870" s="160"/>
      <c r="BL870" s="36"/>
      <c r="BM870" s="36" t="str">
        <f>IF('[1]V1 V2'!X869="","",'[1]V1 V2'!X869)</f>
        <v/>
      </c>
    </row>
    <row r="871" spans="1:65" ht="16" thickBot="1" x14ac:dyDescent="0.4">
      <c r="A871">
        <v>1</v>
      </c>
      <c r="B871" s="310" t="s">
        <v>2648</v>
      </c>
      <c r="C871" s="311"/>
      <c r="D871" s="312"/>
      <c r="E871" s="36">
        <f>VLOOKUP($B871,'[1]V1 V2'!$B$5:$BW$1894,74,0)</f>
        <v>0</v>
      </c>
      <c r="F871" s="144"/>
      <c r="G871" s="145"/>
      <c r="H871" s="98" t="s">
        <v>2649</v>
      </c>
      <c r="I871" s="257" t="s">
        <v>120</v>
      </c>
      <c r="J871" s="158">
        <v>-20</v>
      </c>
      <c r="K871" s="147"/>
      <c r="L871" s="148">
        <v>3.8</v>
      </c>
      <c r="M871" s="149"/>
      <c r="N871" s="150"/>
      <c r="O871" s="151"/>
      <c r="P871" s="152"/>
      <c r="Q871" s="153" t="s">
        <v>83</v>
      </c>
      <c r="R871" s="153" t="s">
        <v>29</v>
      </c>
      <c r="S871" s="152"/>
      <c r="T871" s="150" t="s">
        <v>33</v>
      </c>
      <c r="U871" s="80"/>
      <c r="V871" s="154" t="s">
        <v>2650</v>
      </c>
      <c r="W871" s="154" t="s">
        <v>2651</v>
      </c>
      <c r="X871" s="404">
        <v>28704.029000000006</v>
      </c>
      <c r="Y871" s="154">
        <v>6099.1099999999969</v>
      </c>
      <c r="Z871" s="155"/>
      <c r="AA871" s="315" t="s">
        <v>2648</v>
      </c>
      <c r="AB871" s="21" t="s">
        <v>2</v>
      </c>
      <c r="AH871" s="63">
        <v>1</v>
      </c>
      <c r="AO871" s="10" t="s">
        <v>3</v>
      </c>
      <c r="AP871" s="315" t="s">
        <v>2652</v>
      </c>
      <c r="AQ871" s="155"/>
      <c r="AR871" s="154">
        <v>6096.3099999999995</v>
      </c>
      <c r="AS871" s="154">
        <f>AS869-AQ870</f>
        <v>29164.638999999988</v>
      </c>
      <c r="AT871" s="154" t="s">
        <v>2653</v>
      </c>
      <c r="AU871" s="154" t="s">
        <v>2654</v>
      </c>
      <c r="AV871" s="80"/>
      <c r="AW871" s="150" t="s">
        <v>33</v>
      </c>
      <c r="AX871" s="152"/>
      <c r="AY871" s="153" t="s">
        <v>29</v>
      </c>
      <c r="AZ871" s="153" t="s">
        <v>83</v>
      </c>
      <c r="BA871" s="152"/>
      <c r="BB871" s="157"/>
      <c r="BC871" s="149"/>
      <c r="BD871" s="149"/>
      <c r="BE871" s="148">
        <v>3.8</v>
      </c>
      <c r="BF871" s="147"/>
      <c r="BG871" s="158">
        <v>-20</v>
      </c>
      <c r="BH871" s="402" t="s">
        <v>120</v>
      </c>
      <c r="BI871" s="98" t="s">
        <v>2655</v>
      </c>
      <c r="BJ871" s="145"/>
      <c r="BK871" s="160"/>
      <c r="BL871" s="36">
        <f>VLOOKUP($AP871,'[1]V1 V2'!$B$5:$BW$1894,74,0)</f>
        <v>0</v>
      </c>
      <c r="BM871" s="36" t="str">
        <f>IF('[1]V1 V2'!X870="","",'[1]V1 V2'!X870)</f>
        <v/>
      </c>
    </row>
    <row r="872" spans="1:65" ht="16" thickBot="1" x14ac:dyDescent="0.4">
      <c r="A872">
        <v>1</v>
      </c>
      <c r="B872" s="304"/>
      <c r="C872" s="305"/>
      <c r="D872" s="306"/>
      <c r="E872" s="36"/>
      <c r="F872" s="168"/>
      <c r="G872" s="169"/>
      <c r="H872" s="170"/>
      <c r="I872" s="57"/>
      <c r="J872" s="56"/>
      <c r="K872" s="171"/>
      <c r="L872" s="142"/>
      <c r="M872" s="172"/>
      <c r="N872" s="173"/>
      <c r="O872" s="174"/>
      <c r="P872" s="175"/>
      <c r="Q872" s="182"/>
      <c r="R872" s="182"/>
      <c r="S872" s="175"/>
      <c r="T872" s="173"/>
      <c r="U872" s="62" t="s">
        <v>48</v>
      </c>
      <c r="V872" s="177" t="s">
        <v>89</v>
      </c>
      <c r="W872" s="177" t="s">
        <v>89</v>
      </c>
      <c r="X872" s="230"/>
      <c r="Y872" s="177"/>
      <c r="Z872" s="178">
        <v>12</v>
      </c>
      <c r="AA872" s="297"/>
      <c r="AB872" s="21" t="s">
        <v>2</v>
      </c>
      <c r="AH872" s="63">
        <v>1</v>
      </c>
      <c r="AO872" s="10" t="s">
        <v>3</v>
      </c>
      <c r="AP872" s="297"/>
      <c r="AQ872" s="178">
        <v>12</v>
      </c>
      <c r="AR872" s="177"/>
      <c r="AS872" s="222"/>
      <c r="AT872" s="177" t="s">
        <v>89</v>
      </c>
      <c r="AU872" s="177" t="s">
        <v>89</v>
      </c>
      <c r="AV872" s="62" t="s">
        <v>48</v>
      </c>
      <c r="AW872" s="173"/>
      <c r="AX872" s="175"/>
      <c r="AY872" s="182"/>
      <c r="AZ872" s="182"/>
      <c r="BA872" s="175"/>
      <c r="BB872" s="180"/>
      <c r="BC872" s="172"/>
      <c r="BD872" s="172"/>
      <c r="BE872" s="142"/>
      <c r="BF872" s="171"/>
      <c r="BG872" s="56"/>
      <c r="BH872" s="57"/>
      <c r="BI872" s="170"/>
      <c r="BJ872" s="169"/>
      <c r="BK872" s="181"/>
      <c r="BL872" s="36"/>
      <c r="BM872" s="36" t="str">
        <f>IF('[1]V1 V2'!X871="","",'[1]V1 V2'!X871)</f>
        <v/>
      </c>
    </row>
    <row r="873" spans="1:65" ht="16" thickBot="1" x14ac:dyDescent="0.4">
      <c r="A873">
        <v>1</v>
      </c>
      <c r="B873" s="304" t="s">
        <v>2656</v>
      </c>
      <c r="C873" s="305"/>
      <c r="D873" s="306"/>
      <c r="E873" s="36">
        <f>VLOOKUP($B873,'[1]V1 V2'!$B$5:$BW$1894,74,0)</f>
        <v>0</v>
      </c>
      <c r="F873" s="168"/>
      <c r="G873" s="169"/>
      <c r="H873" s="170"/>
      <c r="I873" s="57"/>
      <c r="J873" s="56">
        <v>-12</v>
      </c>
      <c r="K873" s="171"/>
      <c r="L873" s="142">
        <v>3.8</v>
      </c>
      <c r="M873" s="172"/>
      <c r="N873" s="173"/>
      <c r="O873" s="174"/>
      <c r="P873" s="175"/>
      <c r="Q873" s="182" t="s">
        <v>100</v>
      </c>
      <c r="R873" s="182" t="s">
        <v>29</v>
      </c>
      <c r="S873" s="175"/>
      <c r="T873" s="173" t="s">
        <v>30</v>
      </c>
      <c r="U873" s="62"/>
      <c r="V873" s="177" t="s">
        <v>2657</v>
      </c>
      <c r="W873" s="177" t="s">
        <v>2658</v>
      </c>
      <c r="X873" s="177">
        <v>28692.029000000006</v>
      </c>
      <c r="Y873" s="177">
        <v>6111.1099999999969</v>
      </c>
      <c r="Z873" s="178"/>
      <c r="AA873" s="297" t="s">
        <v>2656</v>
      </c>
      <c r="AB873" s="21" t="s">
        <v>2</v>
      </c>
      <c r="AH873" s="63">
        <v>1</v>
      </c>
      <c r="AO873" s="10" t="s">
        <v>3</v>
      </c>
      <c r="AP873" s="297" t="s">
        <v>2659</v>
      </c>
      <c r="AQ873" s="178"/>
      <c r="AR873" s="177">
        <v>6108.3099999999995</v>
      </c>
      <c r="AS873" s="222">
        <f>AS871-AQ872</f>
        <v>29152.638999999988</v>
      </c>
      <c r="AT873" s="177" t="s">
        <v>2660</v>
      </c>
      <c r="AU873" s="177" t="s">
        <v>2661</v>
      </c>
      <c r="AV873" s="62"/>
      <c r="AW873" s="173" t="s">
        <v>30</v>
      </c>
      <c r="AX873" s="175"/>
      <c r="AY873" s="182" t="s">
        <v>29</v>
      </c>
      <c r="AZ873" s="182" t="s">
        <v>100</v>
      </c>
      <c r="BA873" s="175"/>
      <c r="BB873" s="180"/>
      <c r="BC873" s="172"/>
      <c r="BD873" s="172"/>
      <c r="BE873" s="142">
        <v>3.8</v>
      </c>
      <c r="BF873" s="171"/>
      <c r="BG873" s="56">
        <v>-12</v>
      </c>
      <c r="BH873" s="57"/>
      <c r="BI873" s="170"/>
      <c r="BJ873" s="169"/>
      <c r="BK873" s="181"/>
      <c r="BL873" s="36">
        <f>VLOOKUP($AP873,'[1]V1 V2'!$B$5:$BW$1894,74,0)</f>
        <v>0</v>
      </c>
      <c r="BM873" s="36" t="str">
        <f>IF('[1]V1 V2'!X872="","",'[1]V1 V2'!X872)</f>
        <v/>
      </c>
    </row>
    <row r="874" spans="1:65" ht="16" thickBot="1" x14ac:dyDescent="0.4">
      <c r="A874">
        <v>1</v>
      </c>
      <c r="B874" s="304"/>
      <c r="C874" s="305"/>
      <c r="D874" s="306"/>
      <c r="E874" s="36"/>
      <c r="F874" s="168"/>
      <c r="G874" s="169"/>
      <c r="H874" s="170"/>
      <c r="I874" s="57"/>
      <c r="J874" s="56"/>
      <c r="K874" s="171"/>
      <c r="L874" s="142"/>
      <c r="M874" s="172"/>
      <c r="N874" s="173"/>
      <c r="O874" s="174"/>
      <c r="P874" s="175"/>
      <c r="Q874" s="182"/>
      <c r="R874" s="182"/>
      <c r="S874" s="175"/>
      <c r="T874" s="173"/>
      <c r="U874" s="62" t="s">
        <v>48</v>
      </c>
      <c r="V874" s="177" t="s">
        <v>89</v>
      </c>
      <c r="W874" s="177" t="s">
        <v>89</v>
      </c>
      <c r="X874" s="230"/>
      <c r="Y874" s="177"/>
      <c r="Z874" s="178">
        <v>12</v>
      </c>
      <c r="AA874" s="297"/>
      <c r="AB874" s="21" t="s">
        <v>2</v>
      </c>
      <c r="AH874" s="63">
        <v>1</v>
      </c>
      <c r="AO874" s="10" t="s">
        <v>3</v>
      </c>
      <c r="AP874" s="297"/>
      <c r="AQ874" s="178">
        <v>12</v>
      </c>
      <c r="AR874" s="177"/>
      <c r="AS874" s="222"/>
      <c r="AT874" s="177" t="s">
        <v>89</v>
      </c>
      <c r="AU874" s="177" t="s">
        <v>89</v>
      </c>
      <c r="AV874" s="62" t="s">
        <v>48</v>
      </c>
      <c r="AW874" s="173"/>
      <c r="AX874" s="175"/>
      <c r="AY874" s="182"/>
      <c r="AZ874" s="182"/>
      <c r="BA874" s="175"/>
      <c r="BB874" s="180"/>
      <c r="BC874" s="172"/>
      <c r="BD874" s="172"/>
      <c r="BE874" s="142"/>
      <c r="BF874" s="171"/>
      <c r="BG874" s="56"/>
      <c r="BH874" s="57"/>
      <c r="BI874" s="170"/>
      <c r="BJ874" s="169"/>
      <c r="BK874" s="181"/>
      <c r="BL874" s="36"/>
      <c r="BM874" s="36" t="str">
        <f>IF('[1]V1 V2'!X873="","",'[1]V1 V2'!X873)</f>
        <v/>
      </c>
    </row>
    <row r="875" spans="1:65" ht="16" thickBot="1" x14ac:dyDescent="0.4">
      <c r="A875">
        <v>1</v>
      </c>
      <c r="B875" s="304" t="s">
        <v>2662</v>
      </c>
      <c r="C875" s="305"/>
      <c r="D875" s="306"/>
      <c r="E875" s="36">
        <f>VLOOKUP($B875,'[1]V1 V2'!$B$5:$BW$1894,74,0)</f>
        <v>0</v>
      </c>
      <c r="F875" s="168"/>
      <c r="G875" s="169"/>
      <c r="H875" s="170"/>
      <c r="I875" s="57"/>
      <c r="J875" s="56">
        <v>-4</v>
      </c>
      <c r="K875" s="171"/>
      <c r="L875" s="142">
        <v>3.8</v>
      </c>
      <c r="M875" s="172"/>
      <c r="N875" s="173"/>
      <c r="O875" s="174"/>
      <c r="P875" s="175"/>
      <c r="Q875" s="182" t="s">
        <v>100</v>
      </c>
      <c r="R875" s="182" t="s">
        <v>29</v>
      </c>
      <c r="S875" s="175"/>
      <c r="T875" s="173" t="s">
        <v>30</v>
      </c>
      <c r="U875" s="62"/>
      <c r="V875" s="177" t="s">
        <v>2663</v>
      </c>
      <c r="W875" s="177" t="s">
        <v>2664</v>
      </c>
      <c r="X875" s="177">
        <v>28680.029000000006</v>
      </c>
      <c r="Y875" s="177">
        <v>6123.1099999999969</v>
      </c>
      <c r="Z875" s="178"/>
      <c r="AA875" s="297" t="s">
        <v>2662</v>
      </c>
      <c r="AB875" s="21" t="s">
        <v>2</v>
      </c>
      <c r="AH875" s="63">
        <v>1</v>
      </c>
      <c r="AO875" s="10" t="s">
        <v>3</v>
      </c>
      <c r="AP875" s="297" t="s">
        <v>2665</v>
      </c>
      <c r="AQ875" s="178"/>
      <c r="AR875" s="177">
        <v>6120.3099999999995</v>
      </c>
      <c r="AS875" s="222">
        <f>AS873-AQ874</f>
        <v>29140.638999999988</v>
      </c>
      <c r="AT875" s="177" t="s">
        <v>2666</v>
      </c>
      <c r="AU875" s="177" t="s">
        <v>2667</v>
      </c>
      <c r="AV875" s="62"/>
      <c r="AW875" s="173" t="s">
        <v>30</v>
      </c>
      <c r="AX875" s="175"/>
      <c r="AY875" s="182" t="s">
        <v>29</v>
      </c>
      <c r="AZ875" s="182" t="s">
        <v>100</v>
      </c>
      <c r="BA875" s="175"/>
      <c r="BB875" s="180"/>
      <c r="BC875" s="172"/>
      <c r="BD875" s="172"/>
      <c r="BE875" s="142">
        <v>3.8</v>
      </c>
      <c r="BF875" s="171"/>
      <c r="BG875" s="56">
        <v>-4</v>
      </c>
      <c r="BH875" s="57"/>
      <c r="BI875" s="170"/>
      <c r="BJ875" s="169"/>
      <c r="BK875" s="181"/>
      <c r="BL875" s="36">
        <f>VLOOKUP($AP875,'[1]V1 V2'!$B$5:$BW$1894,74,0)</f>
        <v>0</v>
      </c>
      <c r="BM875" s="36" t="str">
        <f>IF('[1]V1 V2'!X874="","",'[1]V1 V2'!X874)</f>
        <v/>
      </c>
    </row>
    <row r="876" spans="1:65" ht="16" thickBot="1" x14ac:dyDescent="0.4">
      <c r="A876">
        <v>1</v>
      </c>
      <c r="B876" s="304"/>
      <c r="C876" s="305"/>
      <c r="D876" s="306"/>
      <c r="E876" s="36"/>
      <c r="F876" s="168"/>
      <c r="G876" s="169"/>
      <c r="H876" s="170"/>
      <c r="I876" s="57"/>
      <c r="J876" s="56"/>
      <c r="K876" s="171"/>
      <c r="L876" s="142"/>
      <c r="M876" s="172"/>
      <c r="N876" s="173"/>
      <c r="O876" s="174"/>
      <c r="P876" s="175"/>
      <c r="Q876" s="182"/>
      <c r="R876" s="182"/>
      <c r="S876" s="175"/>
      <c r="T876" s="173"/>
      <c r="U876" s="62">
        <v>120</v>
      </c>
      <c r="V876" s="177" t="s">
        <v>89</v>
      </c>
      <c r="W876" s="177" t="s">
        <v>89</v>
      </c>
      <c r="X876" s="230"/>
      <c r="Y876" s="177"/>
      <c r="Z876" s="178">
        <v>12</v>
      </c>
      <c r="AA876" s="297"/>
      <c r="AB876" s="21" t="s">
        <v>2</v>
      </c>
      <c r="AH876" s="63">
        <v>1</v>
      </c>
      <c r="AO876" s="10" t="s">
        <v>3</v>
      </c>
      <c r="AP876" s="297"/>
      <c r="AQ876" s="178">
        <v>12</v>
      </c>
      <c r="AR876" s="177"/>
      <c r="AS876" s="222"/>
      <c r="AT876" s="177" t="s">
        <v>89</v>
      </c>
      <c r="AU876" s="177" t="s">
        <v>89</v>
      </c>
      <c r="AV876" s="62">
        <v>120</v>
      </c>
      <c r="AW876" s="173"/>
      <c r="AX876" s="175"/>
      <c r="AY876" s="182"/>
      <c r="AZ876" s="182"/>
      <c r="BA876" s="175"/>
      <c r="BB876" s="180"/>
      <c r="BC876" s="172"/>
      <c r="BD876" s="172"/>
      <c r="BE876" s="142"/>
      <c r="BF876" s="171"/>
      <c r="BG876" s="56"/>
      <c r="BH876" s="57"/>
      <c r="BI876" s="170"/>
      <c r="BJ876" s="169"/>
      <c r="BK876" s="181"/>
      <c r="BL876" s="36"/>
      <c r="BM876" s="36" t="str">
        <f>IF('[1]V1 V2'!X875="","",'[1]V1 V2'!X875)</f>
        <v/>
      </c>
    </row>
    <row r="877" spans="1:65" ht="16" thickBot="1" x14ac:dyDescent="0.4">
      <c r="A877">
        <v>1</v>
      </c>
      <c r="B877" s="304" t="s">
        <v>2668</v>
      </c>
      <c r="C877" s="305"/>
      <c r="D877" s="306"/>
      <c r="E877" s="36">
        <f>VLOOKUP($B877,'[1]V1 V2'!$B$5:$BW$1894,74,0)</f>
        <v>0</v>
      </c>
      <c r="F877" s="168"/>
      <c r="G877" s="169"/>
      <c r="H877" s="170"/>
      <c r="I877" s="57"/>
      <c r="J877" s="56" t="s">
        <v>113</v>
      </c>
      <c r="K877" s="171"/>
      <c r="L877" s="142">
        <v>3.8</v>
      </c>
      <c r="M877" s="172"/>
      <c r="N877" s="189"/>
      <c r="O877" s="190"/>
      <c r="P877" s="191"/>
      <c r="Q877" s="223" t="s">
        <v>100</v>
      </c>
      <c r="R877" s="223" t="s">
        <v>29</v>
      </c>
      <c r="S877" s="191"/>
      <c r="T877" s="189" t="s">
        <v>30</v>
      </c>
      <c r="U877" s="132"/>
      <c r="V877" s="222" t="s">
        <v>2669</v>
      </c>
      <c r="W877" s="222" t="s">
        <v>2670</v>
      </c>
      <c r="X877" s="222">
        <v>28668.029000000006</v>
      </c>
      <c r="Y877" s="222">
        <v>6135.1099999999969</v>
      </c>
      <c r="Z877" s="178"/>
      <c r="AA877" s="297" t="s">
        <v>2668</v>
      </c>
      <c r="AB877" s="21" t="s">
        <v>2</v>
      </c>
      <c r="AH877" s="63">
        <v>1</v>
      </c>
      <c r="AO877" s="10" t="s">
        <v>3</v>
      </c>
      <c r="AP877" s="297" t="s">
        <v>2671</v>
      </c>
      <c r="AQ877" s="198"/>
      <c r="AR877" s="222">
        <v>6132.3099999999995</v>
      </c>
      <c r="AS877" s="222">
        <f>AS875-AQ876</f>
        <v>29128.638999999988</v>
      </c>
      <c r="AT877" s="222" t="s">
        <v>2672</v>
      </c>
      <c r="AU877" s="222" t="s">
        <v>2673</v>
      </c>
      <c r="AV877" s="132"/>
      <c r="AW877" s="189" t="s">
        <v>30</v>
      </c>
      <c r="AX877" s="191"/>
      <c r="AY877" s="223" t="s">
        <v>29</v>
      </c>
      <c r="AZ877" s="223" t="s">
        <v>100</v>
      </c>
      <c r="BA877" s="191"/>
      <c r="BB877" s="192"/>
      <c r="BC877" s="188"/>
      <c r="BD877" s="188"/>
      <c r="BE877" s="142">
        <v>3.8</v>
      </c>
      <c r="BF877" s="171"/>
      <c r="BG877" s="183" t="s">
        <v>113</v>
      </c>
      <c r="BH877" s="57"/>
      <c r="BI877" s="170"/>
      <c r="BJ877" s="169"/>
      <c r="BK877" s="181"/>
      <c r="BL877" s="36">
        <f>VLOOKUP($AP877,'[1]V1 V2'!$B$5:$BW$1894,74,0)</f>
        <v>0</v>
      </c>
      <c r="BM877" s="36" t="str">
        <f>IF('[1]V1 V2'!X876="","",'[1]V1 V2'!X876)</f>
        <v/>
      </c>
    </row>
    <row r="878" spans="1:65" ht="16" thickBot="1" x14ac:dyDescent="0.4">
      <c r="A878">
        <v>1</v>
      </c>
      <c r="B878" s="304"/>
      <c r="C878" s="305"/>
      <c r="D878" s="306"/>
      <c r="E878" s="36"/>
      <c r="F878" s="168"/>
      <c r="G878" s="169"/>
      <c r="H878" s="170"/>
      <c r="I878" s="57"/>
      <c r="J878" s="56"/>
      <c r="K878" s="171"/>
      <c r="L878" s="142"/>
      <c r="M878" s="172"/>
      <c r="N878" s="189"/>
      <c r="O878" s="190"/>
      <c r="P878" s="191"/>
      <c r="Q878" s="223"/>
      <c r="R878" s="223"/>
      <c r="S878" s="191"/>
      <c r="T878" s="189"/>
      <c r="U878" s="132">
        <v>120</v>
      </c>
      <c r="V878" s="222" t="s">
        <v>89</v>
      </c>
      <c r="W878" s="222" t="s">
        <v>89</v>
      </c>
      <c r="X878" s="226"/>
      <c r="Y878" s="222"/>
      <c r="Z878" s="178">
        <v>12</v>
      </c>
      <c r="AA878" s="297"/>
      <c r="AB878" s="21" t="s">
        <v>2</v>
      </c>
      <c r="AH878" s="63">
        <v>1</v>
      </c>
      <c r="AO878" s="10" t="s">
        <v>3</v>
      </c>
      <c r="AP878" s="297"/>
      <c r="AQ878" s="198">
        <v>12</v>
      </c>
      <c r="AR878" s="222"/>
      <c r="AS878" s="222"/>
      <c r="AT878" s="222" t="s">
        <v>89</v>
      </c>
      <c r="AU878" s="222" t="s">
        <v>89</v>
      </c>
      <c r="AV878" s="132">
        <v>120</v>
      </c>
      <c r="AW878" s="189"/>
      <c r="AX878" s="191"/>
      <c r="AY878" s="223"/>
      <c r="AZ878" s="223"/>
      <c r="BA878" s="191"/>
      <c r="BB878" s="192"/>
      <c r="BC878" s="188"/>
      <c r="BD878" s="188"/>
      <c r="BE878" s="142"/>
      <c r="BF878" s="171"/>
      <c r="BG878" s="56"/>
      <c r="BH878" s="57"/>
      <c r="BI878" s="170"/>
      <c r="BJ878" s="169"/>
      <c r="BK878" s="181"/>
      <c r="BL878" s="36"/>
      <c r="BM878" s="36" t="str">
        <f>IF('[1]V1 V2'!X877="","",'[1]V1 V2'!X877)</f>
        <v/>
      </c>
    </row>
    <row r="879" spans="1:65" ht="16" thickBot="1" x14ac:dyDescent="0.4">
      <c r="A879">
        <v>1</v>
      </c>
      <c r="B879" s="304" t="s">
        <v>2674</v>
      </c>
      <c r="C879" s="305"/>
      <c r="D879" s="306"/>
      <c r="E879" s="36">
        <f>VLOOKUP($B879,'[1]V1 V2'!$B$5:$BW$1894,74,0)</f>
        <v>0</v>
      </c>
      <c r="F879" s="168"/>
      <c r="G879" s="169"/>
      <c r="H879" s="170"/>
      <c r="I879" s="57"/>
      <c r="J879" s="56" t="s">
        <v>120</v>
      </c>
      <c r="K879" s="171"/>
      <c r="L879" s="142">
        <v>3.8</v>
      </c>
      <c r="M879" s="172"/>
      <c r="N879" s="189"/>
      <c r="O879" s="190"/>
      <c r="P879" s="191"/>
      <c r="Q879" s="223" t="s">
        <v>100</v>
      </c>
      <c r="R879" s="223" t="s">
        <v>29</v>
      </c>
      <c r="S879" s="191"/>
      <c r="T879" s="189" t="s">
        <v>30</v>
      </c>
      <c r="U879" s="132"/>
      <c r="V879" s="222" t="s">
        <v>2675</v>
      </c>
      <c r="W879" s="222" t="s">
        <v>2676</v>
      </c>
      <c r="X879" s="222">
        <v>28656.029000000006</v>
      </c>
      <c r="Y879" s="222">
        <v>6147.1099999999969</v>
      </c>
      <c r="Z879" s="178"/>
      <c r="AA879" s="297" t="s">
        <v>2674</v>
      </c>
      <c r="AB879" s="21" t="s">
        <v>2</v>
      </c>
      <c r="AH879" s="63">
        <v>1</v>
      </c>
      <c r="AO879" s="10" t="s">
        <v>3</v>
      </c>
      <c r="AP879" s="297" t="s">
        <v>2677</v>
      </c>
      <c r="AQ879" s="198"/>
      <c r="AR879" s="222">
        <v>6144.3099999999995</v>
      </c>
      <c r="AS879" s="222">
        <f>AS877-AQ878</f>
        <v>29116.638999999988</v>
      </c>
      <c r="AT879" s="222" t="s">
        <v>2678</v>
      </c>
      <c r="AU879" s="222" t="s">
        <v>2679</v>
      </c>
      <c r="AV879" s="132"/>
      <c r="AW879" s="189" t="s">
        <v>30</v>
      </c>
      <c r="AX879" s="191"/>
      <c r="AY879" s="223" t="s">
        <v>29</v>
      </c>
      <c r="AZ879" s="223" t="s">
        <v>100</v>
      </c>
      <c r="BA879" s="191"/>
      <c r="BB879" s="192"/>
      <c r="BC879" s="188"/>
      <c r="BD879" s="188"/>
      <c r="BE879" s="142">
        <v>3.8</v>
      </c>
      <c r="BF879" s="171"/>
      <c r="BG879" s="183" t="s">
        <v>120</v>
      </c>
      <c r="BH879" s="57"/>
      <c r="BI879" s="170"/>
      <c r="BJ879" s="169"/>
      <c r="BK879" s="181"/>
      <c r="BL879" s="36">
        <f>VLOOKUP($AP879,'[1]V1 V2'!$B$5:$BW$1894,74,0)</f>
        <v>0</v>
      </c>
      <c r="BM879" s="36" t="str">
        <f>IF('[1]V1 V2'!X878="","",'[1]V1 V2'!X878)</f>
        <v/>
      </c>
    </row>
    <row r="880" spans="1:65" ht="16" thickBot="1" x14ac:dyDescent="0.4">
      <c r="A880">
        <v>1</v>
      </c>
      <c r="B880" s="304"/>
      <c r="C880" s="305"/>
      <c r="D880" s="306"/>
      <c r="E880" s="36"/>
      <c r="F880" s="168"/>
      <c r="G880" s="169"/>
      <c r="H880" s="170"/>
      <c r="I880" s="57"/>
      <c r="J880" s="56"/>
      <c r="K880" s="171"/>
      <c r="L880" s="142"/>
      <c r="M880" s="172"/>
      <c r="N880" s="189"/>
      <c r="O880" s="190"/>
      <c r="P880" s="191"/>
      <c r="Q880" s="223"/>
      <c r="R880" s="223"/>
      <c r="S880" s="191"/>
      <c r="T880" s="189"/>
      <c r="U880" s="132">
        <v>120</v>
      </c>
      <c r="V880" s="222" t="s">
        <v>89</v>
      </c>
      <c r="W880" s="222" t="s">
        <v>89</v>
      </c>
      <c r="X880" s="226"/>
      <c r="Y880" s="222"/>
      <c r="Z880" s="178">
        <v>12</v>
      </c>
      <c r="AA880" s="297"/>
      <c r="AB880" s="21" t="s">
        <v>2</v>
      </c>
      <c r="AH880" s="63">
        <v>1</v>
      </c>
      <c r="AO880" s="10" t="s">
        <v>3</v>
      </c>
      <c r="AP880" s="297"/>
      <c r="AQ880" s="198">
        <v>11.5</v>
      </c>
      <c r="AR880" s="222"/>
      <c r="AS880" s="222"/>
      <c r="AT880" s="222" t="s">
        <v>89</v>
      </c>
      <c r="AU880" s="222" t="s">
        <v>89</v>
      </c>
      <c r="AV880" s="132">
        <v>120</v>
      </c>
      <c r="AW880" s="189"/>
      <c r="AX880" s="191"/>
      <c r="AY880" s="223"/>
      <c r="AZ880" s="223"/>
      <c r="BA880" s="191"/>
      <c r="BB880" s="192"/>
      <c r="BC880" s="188"/>
      <c r="BD880" s="188"/>
      <c r="BE880" s="142"/>
      <c r="BF880" s="171"/>
      <c r="BG880" s="56"/>
      <c r="BH880" s="57"/>
      <c r="BI880" s="170"/>
      <c r="BJ880" s="169"/>
      <c r="BK880" s="181"/>
      <c r="BL880" s="36"/>
      <c r="BM880" s="36" t="str">
        <f>IF('[1]V1 V2'!X879="","",'[1]V1 V2'!X879)</f>
        <v/>
      </c>
    </row>
    <row r="881" spans="1:65" ht="16" thickBot="1" x14ac:dyDescent="0.4">
      <c r="A881">
        <v>1</v>
      </c>
      <c r="B881" s="304" t="s">
        <v>2680</v>
      </c>
      <c r="C881" s="305"/>
      <c r="D881" s="306"/>
      <c r="E881" s="36">
        <f>VLOOKUP($B881,'[1]V1 V2'!$B$5:$BW$1894,74,0)</f>
        <v>0</v>
      </c>
      <c r="F881" s="168"/>
      <c r="G881" s="169"/>
      <c r="H881" s="170"/>
      <c r="I881" s="57"/>
      <c r="J881" s="56" t="s">
        <v>127</v>
      </c>
      <c r="K881" s="171"/>
      <c r="L881" s="142">
        <v>3.8</v>
      </c>
      <c r="M881" s="172"/>
      <c r="N881" s="189"/>
      <c r="O881" s="190"/>
      <c r="P881" s="191"/>
      <c r="Q881" s="223" t="s">
        <v>100</v>
      </c>
      <c r="R881" s="223" t="s">
        <v>29</v>
      </c>
      <c r="S881" s="191"/>
      <c r="T881" s="189" t="s">
        <v>30</v>
      </c>
      <c r="U881" s="132"/>
      <c r="V881" s="222" t="s">
        <v>2681</v>
      </c>
      <c r="W881" s="222" t="s">
        <v>2682</v>
      </c>
      <c r="X881" s="222">
        <v>28644.029000000006</v>
      </c>
      <c r="Y881" s="222">
        <v>6159.1099999999969</v>
      </c>
      <c r="Z881" s="178"/>
      <c r="AA881" s="297" t="s">
        <v>2680</v>
      </c>
      <c r="AB881" s="21" t="s">
        <v>2</v>
      </c>
      <c r="AH881" s="63">
        <v>1</v>
      </c>
      <c r="AO881" s="10" t="s">
        <v>3</v>
      </c>
      <c r="AP881" s="297" t="s">
        <v>2683</v>
      </c>
      <c r="AQ881" s="198"/>
      <c r="AR881" s="222">
        <v>6155.8</v>
      </c>
      <c r="AS881" s="222">
        <f>AS879-AQ880</f>
        <v>29105.138999999988</v>
      </c>
      <c r="AT881" s="222" t="s">
        <v>2684</v>
      </c>
      <c r="AU881" s="222" t="s">
        <v>2685</v>
      </c>
      <c r="AV881" s="132"/>
      <c r="AW881" s="189" t="s">
        <v>30</v>
      </c>
      <c r="AX881" s="191"/>
      <c r="AY881" s="223" t="s">
        <v>29</v>
      </c>
      <c r="AZ881" s="223" t="s">
        <v>100</v>
      </c>
      <c r="BA881" s="191"/>
      <c r="BB881" s="192"/>
      <c r="BC881" s="188"/>
      <c r="BD881" s="188"/>
      <c r="BE881" s="142">
        <v>3.8</v>
      </c>
      <c r="BF881" s="171"/>
      <c r="BG881" s="183" t="s">
        <v>127</v>
      </c>
      <c r="BH881" s="57"/>
      <c r="BI881" s="170"/>
      <c r="BJ881" s="169"/>
      <c r="BK881" s="181"/>
      <c r="BL881" s="36">
        <f>VLOOKUP($AP881,'[1]V1 V2'!$B$5:$BW$1894,74,0)</f>
        <v>0</v>
      </c>
      <c r="BM881" s="36" t="str">
        <f>IF('[1]V1 V2'!X880="","",'[1]V1 V2'!X880)</f>
        <v/>
      </c>
    </row>
    <row r="882" spans="1:65" ht="16" thickBot="1" x14ac:dyDescent="0.4">
      <c r="A882">
        <v>1</v>
      </c>
      <c r="B882" s="304"/>
      <c r="C882" s="305"/>
      <c r="D882" s="306"/>
      <c r="E882" s="36"/>
      <c r="F882" s="168"/>
      <c r="G882" s="169"/>
      <c r="H882" s="170"/>
      <c r="I882" s="57"/>
      <c r="J882" s="56"/>
      <c r="K882" s="171"/>
      <c r="L882" s="142"/>
      <c r="M882" s="172"/>
      <c r="N882" s="189"/>
      <c r="O882" s="190"/>
      <c r="P882" s="191"/>
      <c r="Q882" s="223"/>
      <c r="R882" s="223"/>
      <c r="S882" s="191"/>
      <c r="T882" s="189"/>
      <c r="U882" s="132">
        <v>120</v>
      </c>
      <c r="V882" s="222" t="s">
        <v>89</v>
      </c>
      <c r="W882" s="222" t="s">
        <v>89</v>
      </c>
      <c r="X882" s="226"/>
      <c r="Y882" s="222"/>
      <c r="Z882" s="178">
        <v>12</v>
      </c>
      <c r="AA882" s="297"/>
      <c r="AB882" s="21" t="s">
        <v>2</v>
      </c>
      <c r="AH882" s="63">
        <v>1</v>
      </c>
      <c r="AO882" s="10" t="s">
        <v>3</v>
      </c>
      <c r="AP882" s="297"/>
      <c r="AQ882" s="198">
        <v>11.8</v>
      </c>
      <c r="AR882" s="222"/>
      <c r="AS882" s="222"/>
      <c r="AT882" s="222" t="s">
        <v>89</v>
      </c>
      <c r="AU882" s="222" t="s">
        <v>89</v>
      </c>
      <c r="AV882" s="132">
        <v>120</v>
      </c>
      <c r="AW882" s="189"/>
      <c r="AX882" s="191"/>
      <c r="AY882" s="223"/>
      <c r="AZ882" s="223"/>
      <c r="BA882" s="191"/>
      <c r="BB882" s="192"/>
      <c r="BC882" s="188"/>
      <c r="BD882" s="188"/>
      <c r="BE882" s="142"/>
      <c r="BF882" s="171"/>
      <c r="BG882" s="56"/>
      <c r="BH882" s="57"/>
      <c r="BI882" s="170"/>
      <c r="BJ882" s="169"/>
      <c r="BK882" s="181"/>
      <c r="BL882" s="36"/>
      <c r="BM882" s="36" t="str">
        <f>IF('[1]V1 V2'!X881="","",'[1]V1 V2'!X881)</f>
        <v/>
      </c>
    </row>
    <row r="883" spans="1:65" ht="16" thickBot="1" x14ac:dyDescent="0.4">
      <c r="A883">
        <v>1</v>
      </c>
      <c r="B883" s="304" t="s">
        <v>2686</v>
      </c>
      <c r="C883" s="305"/>
      <c r="D883" s="306"/>
      <c r="E883" s="36">
        <f>VLOOKUP($B883,'[1]V1 V2'!$B$5:$BW$1894,74,0)</f>
        <v>0</v>
      </c>
      <c r="F883" s="168"/>
      <c r="G883" s="169"/>
      <c r="H883" s="170"/>
      <c r="I883" s="57"/>
      <c r="J883" s="56" t="s">
        <v>120</v>
      </c>
      <c r="K883" s="171"/>
      <c r="L883" s="142">
        <v>3.8</v>
      </c>
      <c r="M883" s="172"/>
      <c r="N883" s="189"/>
      <c r="O883" s="190"/>
      <c r="P883" s="191"/>
      <c r="Q883" s="223" t="s">
        <v>511</v>
      </c>
      <c r="R883" s="223" t="s">
        <v>29</v>
      </c>
      <c r="S883" s="191"/>
      <c r="T883" s="189" t="s">
        <v>30</v>
      </c>
      <c r="U883" s="132"/>
      <c r="V883" s="222" t="s">
        <v>2687</v>
      </c>
      <c r="W883" s="222" t="s">
        <v>2688</v>
      </c>
      <c r="X883" s="222">
        <v>28632.029000000006</v>
      </c>
      <c r="Y883" s="222">
        <v>6171.1099999999969</v>
      </c>
      <c r="Z883" s="178"/>
      <c r="AA883" s="297" t="s">
        <v>2686</v>
      </c>
      <c r="AB883" s="21" t="s">
        <v>2</v>
      </c>
      <c r="AH883" s="63">
        <v>1</v>
      </c>
      <c r="AO883" s="10" t="s">
        <v>3</v>
      </c>
      <c r="AP883" s="297" t="s">
        <v>2689</v>
      </c>
      <c r="AQ883" s="198"/>
      <c r="AR883" s="222">
        <v>6167.6</v>
      </c>
      <c r="AS883" s="222">
        <f>AS881-AQ882</f>
        <v>29093.338999999989</v>
      </c>
      <c r="AT883" s="222" t="s">
        <v>2690</v>
      </c>
      <c r="AU883" s="222" t="s">
        <v>2691</v>
      </c>
      <c r="AV883" s="132"/>
      <c r="AW883" s="189" t="s">
        <v>30</v>
      </c>
      <c r="AX883" s="191"/>
      <c r="AY883" s="223" t="s">
        <v>29</v>
      </c>
      <c r="AZ883" s="223" t="s">
        <v>511</v>
      </c>
      <c r="BA883" s="191"/>
      <c r="BB883" s="192"/>
      <c r="BC883" s="188"/>
      <c r="BD883" s="188"/>
      <c r="BE883" s="142">
        <v>3.8</v>
      </c>
      <c r="BF883" s="171"/>
      <c r="BG883" s="183" t="s">
        <v>120</v>
      </c>
      <c r="BH883" s="57"/>
      <c r="BI883" s="170"/>
      <c r="BJ883" s="169"/>
      <c r="BK883" s="181"/>
      <c r="BL883" s="36">
        <f>VLOOKUP($AP883,'[1]V1 V2'!$B$5:$BW$1894,74,0)</f>
        <v>0</v>
      </c>
      <c r="BM883" s="36" t="str">
        <f>IF('[1]V1 V2'!X882="","",'[1]V1 V2'!X882)</f>
        <v/>
      </c>
    </row>
    <row r="884" spans="1:65" ht="16" thickBot="1" x14ac:dyDescent="0.4">
      <c r="A884">
        <v>1</v>
      </c>
      <c r="B884" s="304"/>
      <c r="C884" s="305"/>
      <c r="D884" s="306"/>
      <c r="E884" s="36"/>
      <c r="F884" s="168"/>
      <c r="G884" s="169"/>
      <c r="H884" s="170"/>
      <c r="I884" s="57"/>
      <c r="J884" s="56"/>
      <c r="K884" s="171"/>
      <c r="L884" s="142"/>
      <c r="M884" s="172"/>
      <c r="N884" s="189"/>
      <c r="O884" s="190"/>
      <c r="P884" s="191"/>
      <c r="Q884" s="223"/>
      <c r="R884" s="223"/>
      <c r="S884" s="191"/>
      <c r="T884" s="189"/>
      <c r="U884" s="132" t="s">
        <v>48</v>
      </c>
      <c r="V884" s="222" t="s">
        <v>89</v>
      </c>
      <c r="W884" s="222" t="s">
        <v>89</v>
      </c>
      <c r="X884" s="226"/>
      <c r="Y884" s="222"/>
      <c r="Z884" s="178">
        <v>12</v>
      </c>
      <c r="AA884" s="297"/>
      <c r="AB884" s="21" t="s">
        <v>2</v>
      </c>
      <c r="AH884" s="63">
        <v>1</v>
      </c>
      <c r="AO884" s="10" t="s">
        <v>3</v>
      </c>
      <c r="AP884" s="297"/>
      <c r="AQ884" s="198">
        <v>11.6</v>
      </c>
      <c r="AR884" s="222"/>
      <c r="AS884" s="222"/>
      <c r="AT884" s="222" t="s">
        <v>89</v>
      </c>
      <c r="AU884" s="222" t="s">
        <v>89</v>
      </c>
      <c r="AV884" s="132" t="s">
        <v>48</v>
      </c>
      <c r="AW884" s="189"/>
      <c r="AX884" s="191"/>
      <c r="AY884" s="223"/>
      <c r="AZ884" s="223"/>
      <c r="BA884" s="191"/>
      <c r="BB884" s="192"/>
      <c r="BC884" s="188"/>
      <c r="BD884" s="188"/>
      <c r="BE884" s="142"/>
      <c r="BF884" s="171"/>
      <c r="BG884" s="56"/>
      <c r="BH884" s="57"/>
      <c r="BI884" s="170"/>
      <c r="BJ884" s="169"/>
      <c r="BK884" s="181"/>
      <c r="BL884" s="36"/>
      <c r="BM884" s="36" t="str">
        <f>IF('[1]V1 V2'!X883="","",'[1]V1 V2'!X883)</f>
        <v/>
      </c>
    </row>
    <row r="885" spans="1:65" ht="16" thickBot="1" x14ac:dyDescent="0.4">
      <c r="A885">
        <v>1</v>
      </c>
      <c r="B885" s="304" t="s">
        <v>2692</v>
      </c>
      <c r="C885" s="305"/>
      <c r="D885" s="306"/>
      <c r="E885" s="36">
        <f>VLOOKUP($B885,'[1]V1 V2'!$B$5:$BW$1894,74,0)</f>
        <v>0</v>
      </c>
      <c r="F885" s="168"/>
      <c r="G885" s="169"/>
      <c r="H885" s="170"/>
      <c r="I885" s="57"/>
      <c r="J885" s="56" t="s">
        <v>113</v>
      </c>
      <c r="K885" s="171"/>
      <c r="L885" s="142">
        <v>3.8</v>
      </c>
      <c r="M885" s="172"/>
      <c r="N885" s="189"/>
      <c r="O885" s="190"/>
      <c r="P885" s="191"/>
      <c r="Q885" s="223" t="s">
        <v>511</v>
      </c>
      <c r="R885" s="223" t="s">
        <v>29</v>
      </c>
      <c r="S885" s="191"/>
      <c r="T885" s="189" t="s">
        <v>30</v>
      </c>
      <c r="U885" s="132"/>
      <c r="V885" s="222" t="s">
        <v>2693</v>
      </c>
      <c r="W885" s="222" t="s">
        <v>2694</v>
      </c>
      <c r="X885" s="222">
        <v>28620.029000000006</v>
      </c>
      <c r="Y885" s="222">
        <v>6183.1099999999969</v>
      </c>
      <c r="Z885" s="178"/>
      <c r="AA885" s="297" t="s">
        <v>2692</v>
      </c>
      <c r="AB885" s="21" t="s">
        <v>2</v>
      </c>
      <c r="AH885" s="63">
        <v>1</v>
      </c>
      <c r="AO885" s="10" t="s">
        <v>3</v>
      </c>
      <c r="AP885" s="297" t="s">
        <v>2695</v>
      </c>
      <c r="AQ885" s="198"/>
      <c r="AR885" s="222">
        <v>6179.2</v>
      </c>
      <c r="AS885" s="222">
        <f>AS883-AQ884</f>
        <v>29081.73899999999</v>
      </c>
      <c r="AT885" s="222" t="s">
        <v>2696</v>
      </c>
      <c r="AU885" s="222" t="s">
        <v>2697</v>
      </c>
      <c r="AV885" s="132"/>
      <c r="AW885" s="189" t="s">
        <v>30</v>
      </c>
      <c r="AX885" s="191"/>
      <c r="AY885" s="223" t="s">
        <v>29</v>
      </c>
      <c r="AZ885" s="223" t="s">
        <v>511</v>
      </c>
      <c r="BA885" s="191"/>
      <c r="BB885" s="192"/>
      <c r="BC885" s="188"/>
      <c r="BD885" s="188"/>
      <c r="BE885" s="142">
        <v>3.8</v>
      </c>
      <c r="BF885" s="171"/>
      <c r="BG885" s="183" t="s">
        <v>113</v>
      </c>
      <c r="BH885" s="57"/>
      <c r="BI885" s="170"/>
      <c r="BJ885" s="169"/>
      <c r="BK885" s="181"/>
      <c r="BL885" s="36">
        <f>VLOOKUP($AP885,'[1]V1 V2'!$B$5:$BW$1894,74,0)</f>
        <v>0</v>
      </c>
      <c r="BM885" s="36" t="str">
        <f>IF('[1]V1 V2'!X884="","",'[1]V1 V2'!X884)</f>
        <v/>
      </c>
    </row>
    <row r="886" spans="1:65" ht="16" thickBot="1" x14ac:dyDescent="0.4">
      <c r="A886">
        <v>1</v>
      </c>
      <c r="B886" s="304"/>
      <c r="C886" s="305"/>
      <c r="D886" s="306"/>
      <c r="E886" s="36"/>
      <c r="F886" s="168"/>
      <c r="G886" s="169"/>
      <c r="H886" s="170"/>
      <c r="I886" s="57"/>
      <c r="J886" s="56"/>
      <c r="K886" s="171"/>
      <c r="L886" s="142"/>
      <c r="M886" s="172"/>
      <c r="N886" s="189"/>
      <c r="O886" s="190"/>
      <c r="P886" s="191"/>
      <c r="Q886" s="223"/>
      <c r="R886" s="223"/>
      <c r="S886" s="191"/>
      <c r="T886" s="189"/>
      <c r="U886" s="132" t="s">
        <v>48</v>
      </c>
      <c r="V886" s="222" t="s">
        <v>89</v>
      </c>
      <c r="W886" s="222" t="s">
        <v>89</v>
      </c>
      <c r="X886" s="226"/>
      <c r="Y886" s="222"/>
      <c r="Z886" s="178">
        <v>11.2</v>
      </c>
      <c r="AA886" s="297"/>
      <c r="AB886" s="21" t="s">
        <v>2</v>
      </c>
      <c r="AH886" s="63">
        <v>1</v>
      </c>
      <c r="AO886" s="10" t="s">
        <v>3</v>
      </c>
      <c r="AP886" s="297"/>
      <c r="AQ886" s="198">
        <v>11.1</v>
      </c>
      <c r="AR886" s="222"/>
      <c r="AS886" s="222"/>
      <c r="AT886" s="222" t="s">
        <v>89</v>
      </c>
      <c r="AU886" s="222" t="s">
        <v>89</v>
      </c>
      <c r="AV886" s="132" t="s">
        <v>48</v>
      </c>
      <c r="AW886" s="189"/>
      <c r="AX886" s="191"/>
      <c r="AY886" s="223"/>
      <c r="AZ886" s="223"/>
      <c r="BA886" s="191"/>
      <c r="BB886" s="192"/>
      <c r="BC886" s="188"/>
      <c r="BD886" s="188"/>
      <c r="BE886" s="142"/>
      <c r="BF886" s="171"/>
      <c r="BG886" s="56"/>
      <c r="BH886" s="57"/>
      <c r="BI886" s="170"/>
      <c r="BJ886" s="169"/>
      <c r="BK886" s="181"/>
      <c r="BL886" s="36"/>
      <c r="BM886" s="36" t="str">
        <f>IF('[1]V1 V2'!X885="","",'[1]V1 V2'!X885)</f>
        <v/>
      </c>
    </row>
    <row r="887" spans="1:65" ht="16" thickBot="1" x14ac:dyDescent="0.4">
      <c r="A887">
        <v>1</v>
      </c>
      <c r="B887" s="304" t="s">
        <v>2698</v>
      </c>
      <c r="C887" s="305"/>
      <c r="D887" s="306"/>
      <c r="E887" s="36">
        <f>VLOOKUP($B887,'[1]V1 V2'!$B$5:$BW$1894,74,0)</f>
        <v>0</v>
      </c>
      <c r="F887" s="168"/>
      <c r="G887" s="169"/>
      <c r="H887" s="170"/>
      <c r="I887" s="57"/>
      <c r="J887" s="56">
        <v>-4</v>
      </c>
      <c r="K887" s="171"/>
      <c r="L887" s="142">
        <v>3.8</v>
      </c>
      <c r="M887" s="172"/>
      <c r="N887" s="189"/>
      <c r="O887" s="190"/>
      <c r="P887" s="191"/>
      <c r="Q887" s="223" t="s">
        <v>100</v>
      </c>
      <c r="R887" s="223" t="s">
        <v>29</v>
      </c>
      <c r="S887" s="191"/>
      <c r="T887" s="189" t="s">
        <v>30</v>
      </c>
      <c r="U887" s="132"/>
      <c r="V887" s="222" t="s">
        <v>2699</v>
      </c>
      <c r="W887" s="222" t="s">
        <v>2700</v>
      </c>
      <c r="X887" s="222">
        <v>28608.829000000005</v>
      </c>
      <c r="Y887" s="415">
        <v>6194.41</v>
      </c>
      <c r="Z887" s="178"/>
      <c r="AA887" s="297" t="s">
        <v>2698</v>
      </c>
      <c r="AB887" s="21" t="s">
        <v>2</v>
      </c>
      <c r="AH887" s="63">
        <v>1</v>
      </c>
      <c r="AO887" s="10" t="s">
        <v>3</v>
      </c>
      <c r="AP887" s="297" t="s">
        <v>2701</v>
      </c>
      <c r="AQ887" s="198"/>
      <c r="AR887" s="222">
        <v>6190.3099999999995</v>
      </c>
      <c r="AS887" s="222">
        <f>AS885-AQ886</f>
        <v>29070.638999999992</v>
      </c>
      <c r="AT887" s="222" t="s">
        <v>2702</v>
      </c>
      <c r="AU887" s="222" t="s">
        <v>2703</v>
      </c>
      <c r="AV887" s="132"/>
      <c r="AW887" s="189" t="s">
        <v>30</v>
      </c>
      <c r="AX887" s="191"/>
      <c r="AY887" s="223" t="s">
        <v>29</v>
      </c>
      <c r="AZ887" s="223" t="s">
        <v>100</v>
      </c>
      <c r="BA887" s="191"/>
      <c r="BB887" s="192"/>
      <c r="BC887" s="188"/>
      <c r="BD887" s="188"/>
      <c r="BE887" s="142">
        <v>3.8</v>
      </c>
      <c r="BF887" s="171"/>
      <c r="BG887" s="56">
        <v>-4</v>
      </c>
      <c r="BH887" s="57"/>
      <c r="BI887" s="170"/>
      <c r="BJ887" s="169"/>
      <c r="BK887" s="181"/>
      <c r="BL887" s="36">
        <f>VLOOKUP($AP887,'[1]V1 V2'!$B$5:$BW$1894,74,0)</f>
        <v>0</v>
      </c>
      <c r="BM887" s="36" t="str">
        <f>IF('[1]V1 V2'!X886="","",'[1]V1 V2'!X886)</f>
        <v/>
      </c>
    </row>
    <row r="888" spans="1:65" ht="16" thickBot="1" x14ac:dyDescent="0.4">
      <c r="A888">
        <v>1</v>
      </c>
      <c r="B888" s="304"/>
      <c r="C888" s="305"/>
      <c r="D888" s="306"/>
      <c r="E888" s="36"/>
      <c r="F888" s="168"/>
      <c r="G888" s="169"/>
      <c r="H888" s="170"/>
      <c r="I888" s="57"/>
      <c r="J888" s="56"/>
      <c r="K888" s="171"/>
      <c r="L888" s="142"/>
      <c r="M888" s="172"/>
      <c r="N888" s="189"/>
      <c r="O888" s="190"/>
      <c r="P888" s="191"/>
      <c r="Q888" s="223"/>
      <c r="R888" s="223"/>
      <c r="S888" s="191"/>
      <c r="T888" s="189"/>
      <c r="U888" s="132"/>
      <c r="V888" s="222" t="s">
        <v>89</v>
      </c>
      <c r="W888" s="222" t="s">
        <v>89</v>
      </c>
      <c r="X888" s="226"/>
      <c r="Y888" s="222"/>
      <c r="Z888" s="178">
        <v>8</v>
      </c>
      <c r="AA888" s="297"/>
      <c r="AB888" s="21" t="s">
        <v>2</v>
      </c>
      <c r="AH888" s="63">
        <v>1</v>
      </c>
      <c r="AO888" s="10" t="s">
        <v>3</v>
      </c>
      <c r="AP888" s="297"/>
      <c r="AQ888" s="198">
        <v>8</v>
      </c>
      <c r="AR888" s="222"/>
      <c r="AS888" s="222"/>
      <c r="AT888" s="222" t="s">
        <v>89</v>
      </c>
      <c r="AU888" s="222" t="s">
        <v>89</v>
      </c>
      <c r="AV888" s="132"/>
      <c r="AW888" s="189"/>
      <c r="AX888" s="191"/>
      <c r="AY888" s="223"/>
      <c r="AZ888" s="223"/>
      <c r="BA888" s="191"/>
      <c r="BB888" s="192"/>
      <c r="BC888" s="188"/>
      <c r="BD888" s="188"/>
      <c r="BE888" s="142"/>
      <c r="BF888" s="171"/>
      <c r="BG888" s="56"/>
      <c r="BH888" s="57"/>
      <c r="BI888" s="170"/>
      <c r="BJ888" s="169"/>
      <c r="BK888" s="181"/>
      <c r="BL888" s="36"/>
      <c r="BM888" s="36" t="str">
        <f>IF('[1]V1 V2'!X887="","",'[1]V1 V2'!X887)</f>
        <v/>
      </c>
    </row>
    <row r="889" spans="1:65" ht="16" thickBot="1" x14ac:dyDescent="0.4">
      <c r="A889">
        <v>1</v>
      </c>
      <c r="B889" s="304" t="s">
        <v>2704</v>
      </c>
      <c r="C889" s="305"/>
      <c r="D889" s="306"/>
      <c r="E889" s="36">
        <f>VLOOKUP($B889,'[1]V1 V2'!$B$5:$BW$1894,74,0)</f>
        <v>0</v>
      </c>
      <c r="F889" s="168"/>
      <c r="G889" s="169"/>
      <c r="H889" s="170"/>
      <c r="I889" s="57"/>
      <c r="J889" s="56">
        <v>-12</v>
      </c>
      <c r="K889" s="171"/>
      <c r="L889" s="142">
        <v>3.8</v>
      </c>
      <c r="M889" s="172"/>
      <c r="N889" s="189"/>
      <c r="O889" s="190"/>
      <c r="P889" s="191"/>
      <c r="Q889" s="274" t="s">
        <v>2705</v>
      </c>
      <c r="R889" s="223" t="s">
        <v>29</v>
      </c>
      <c r="S889" s="191"/>
      <c r="T889" s="189" t="s">
        <v>141</v>
      </c>
      <c r="U889" s="132"/>
      <c r="V889" s="222" t="s">
        <v>2706</v>
      </c>
      <c r="W889" s="222" t="s">
        <v>2707</v>
      </c>
      <c r="X889" s="222">
        <v>28600.829000000005</v>
      </c>
      <c r="Y889" s="222">
        <v>6202.5099999999966</v>
      </c>
      <c r="Z889" s="178"/>
      <c r="AA889" s="297" t="s">
        <v>2704</v>
      </c>
      <c r="AB889" s="21" t="s">
        <v>2</v>
      </c>
      <c r="AH889" s="63">
        <v>1</v>
      </c>
      <c r="AO889" s="10" t="s">
        <v>3</v>
      </c>
      <c r="AP889" s="297" t="s">
        <v>2708</v>
      </c>
      <c r="AQ889" s="198"/>
      <c r="AR889" s="222">
        <v>6198.3099999999995</v>
      </c>
      <c r="AS889" s="222">
        <f>AS887-AQ888</f>
        <v>29062.638999999992</v>
      </c>
      <c r="AT889" s="222" t="s">
        <v>2709</v>
      </c>
      <c r="AU889" s="222" t="s">
        <v>2710</v>
      </c>
      <c r="AV889" s="132"/>
      <c r="AW889" s="189" t="s">
        <v>141</v>
      </c>
      <c r="AX889" s="191"/>
      <c r="AY889" s="223" t="s">
        <v>29</v>
      </c>
      <c r="AZ889" s="274" t="s">
        <v>2705</v>
      </c>
      <c r="BA889" s="191"/>
      <c r="BB889" s="192"/>
      <c r="BC889" s="188"/>
      <c r="BD889" s="188"/>
      <c r="BE889" s="142">
        <v>3.8</v>
      </c>
      <c r="BF889" s="171"/>
      <c r="BG889" s="56">
        <v>-12</v>
      </c>
      <c r="BH889" s="57"/>
      <c r="BI889" s="170"/>
      <c r="BJ889" s="169"/>
      <c r="BK889" s="181"/>
      <c r="BL889" s="36">
        <f>VLOOKUP($AP889,'[1]V1 V2'!$B$5:$BW$1894,74,0)</f>
        <v>0</v>
      </c>
      <c r="BM889" s="36" t="str">
        <f>IF('[1]V1 V2'!X888="","",'[1]V1 V2'!X888)</f>
        <v/>
      </c>
    </row>
    <row r="890" spans="1:65" ht="16" thickBot="1" x14ac:dyDescent="0.4">
      <c r="A890">
        <v>1</v>
      </c>
      <c r="B890" s="304"/>
      <c r="C890" s="305"/>
      <c r="D890" s="306"/>
      <c r="E890" s="36"/>
      <c r="F890" s="168"/>
      <c r="G890" s="169"/>
      <c r="H890" s="170"/>
      <c r="I890" s="57"/>
      <c r="J890" s="56"/>
      <c r="K890" s="171"/>
      <c r="L890" s="142"/>
      <c r="M890" s="172"/>
      <c r="N890" s="189"/>
      <c r="O890" s="190"/>
      <c r="P890" s="191"/>
      <c r="Q890" s="223"/>
      <c r="R890" s="223"/>
      <c r="S890" s="191"/>
      <c r="T890" s="189"/>
      <c r="U890" s="132"/>
      <c r="V890" s="222" t="s">
        <v>89</v>
      </c>
      <c r="W890" s="222" t="s">
        <v>89</v>
      </c>
      <c r="X890" s="226"/>
      <c r="Y890" s="222"/>
      <c r="Z890" s="178">
        <v>7.6</v>
      </c>
      <c r="AA890" s="297"/>
      <c r="AB890" s="21" t="s">
        <v>2</v>
      </c>
      <c r="AH890" s="63">
        <v>1</v>
      </c>
      <c r="AO890" s="10" t="s">
        <v>3</v>
      </c>
      <c r="AP890" s="297"/>
      <c r="AQ890" s="198">
        <v>7.6</v>
      </c>
      <c r="AR890" s="222"/>
      <c r="AS890" s="222"/>
      <c r="AT890" s="222" t="s">
        <v>89</v>
      </c>
      <c r="AU890" s="222" t="s">
        <v>89</v>
      </c>
      <c r="AV890" s="132"/>
      <c r="AW890" s="189"/>
      <c r="AX890" s="191"/>
      <c r="AY890" s="223"/>
      <c r="AZ890" s="223"/>
      <c r="BA890" s="191"/>
      <c r="BB890" s="192"/>
      <c r="BC890" s="188"/>
      <c r="BD890" s="188"/>
      <c r="BE890" s="142"/>
      <c r="BF890" s="171"/>
      <c r="BG890" s="56"/>
      <c r="BH890" s="57"/>
      <c r="BI890" s="170"/>
      <c r="BJ890" s="169"/>
      <c r="BK890" s="181"/>
      <c r="BL890" s="36"/>
      <c r="BM890" s="36" t="str">
        <f>IF('[1]V1 V2'!X889="","",'[1]V1 V2'!X889)</f>
        <v/>
      </c>
    </row>
    <row r="891" spans="1:65" ht="16" thickBot="1" x14ac:dyDescent="0.4">
      <c r="A891">
        <v>1</v>
      </c>
      <c r="B891" s="304" t="s">
        <v>2711</v>
      </c>
      <c r="C891" s="305"/>
      <c r="D891" s="306"/>
      <c r="E891" s="36">
        <f>VLOOKUP($B891,'[1]V1 V2'!$B$5:$BW$1894,74,0)</f>
        <v>0</v>
      </c>
      <c r="F891" s="168"/>
      <c r="G891" s="169"/>
      <c r="H891" s="170"/>
      <c r="I891" s="57"/>
      <c r="J891" s="56">
        <v>-20</v>
      </c>
      <c r="K891" s="171"/>
      <c r="L891" s="142">
        <v>3.8</v>
      </c>
      <c r="M891" s="172"/>
      <c r="N891" s="189"/>
      <c r="O891" s="190"/>
      <c r="P891" s="191"/>
      <c r="Q891" s="274" t="s">
        <v>2712</v>
      </c>
      <c r="R891" s="223" t="s">
        <v>29</v>
      </c>
      <c r="S891" s="191"/>
      <c r="T891" s="189" t="s">
        <v>30</v>
      </c>
      <c r="U891" s="132"/>
      <c r="V891" s="222" t="s">
        <v>2713</v>
      </c>
      <c r="W891" s="222" t="s">
        <v>2714</v>
      </c>
      <c r="X891" s="222">
        <v>28593.229000000007</v>
      </c>
      <c r="Y891" s="222">
        <v>6210.1099999999969</v>
      </c>
      <c r="Z891" s="178"/>
      <c r="AA891" s="297" t="s">
        <v>2711</v>
      </c>
      <c r="AB891" s="21" t="s">
        <v>2</v>
      </c>
      <c r="AH891" s="63">
        <v>1</v>
      </c>
      <c r="AO891" s="10" t="s">
        <v>3</v>
      </c>
      <c r="AP891" s="297" t="s">
        <v>2715</v>
      </c>
      <c r="AQ891" s="198"/>
      <c r="AR891" s="222">
        <v>6205.91</v>
      </c>
      <c r="AS891" s="222">
        <f>AS889-AQ890</f>
        <v>29055.038999999993</v>
      </c>
      <c r="AT891" s="222" t="s">
        <v>2716</v>
      </c>
      <c r="AU891" s="222" t="s">
        <v>2717</v>
      </c>
      <c r="AV891" s="132"/>
      <c r="AW891" s="416" t="s">
        <v>30</v>
      </c>
      <c r="AX891" s="191"/>
      <c r="AY891" s="223" t="s">
        <v>29</v>
      </c>
      <c r="AZ891" s="274" t="s">
        <v>2712</v>
      </c>
      <c r="BA891" s="191"/>
      <c r="BB891" s="192"/>
      <c r="BC891" s="188"/>
      <c r="BD891" s="188"/>
      <c r="BE891" s="142">
        <v>3.8</v>
      </c>
      <c r="BF891" s="171"/>
      <c r="BG891" s="56">
        <v>-20</v>
      </c>
      <c r="BH891" s="57"/>
      <c r="BI891" s="170"/>
      <c r="BJ891" s="169"/>
      <c r="BK891" s="181"/>
      <c r="BL891" s="36">
        <f>VLOOKUP($AP891,'[1]V1 V2'!$B$5:$BW$1894,74,0)</f>
        <v>0</v>
      </c>
      <c r="BM891" s="36" t="str">
        <f>IF('[1]V1 V2'!X890="","",'[1]V1 V2'!X890)</f>
        <v/>
      </c>
    </row>
    <row r="892" spans="1:65" ht="16" thickBot="1" x14ac:dyDescent="0.4">
      <c r="A892">
        <v>1</v>
      </c>
      <c r="B892" s="304"/>
      <c r="C892" s="305"/>
      <c r="D892" s="306"/>
      <c r="E892" s="36"/>
      <c r="F892" s="168"/>
      <c r="G892" s="169"/>
      <c r="H892" s="170"/>
      <c r="I892" s="57"/>
      <c r="J892" s="56"/>
      <c r="K892" s="171"/>
      <c r="L892" s="142"/>
      <c r="M892" s="172"/>
      <c r="N892" s="189"/>
      <c r="O892" s="190"/>
      <c r="P892" s="191"/>
      <c r="Q892" s="223" t="s">
        <v>89</v>
      </c>
      <c r="R892" s="223"/>
      <c r="S892" s="191"/>
      <c r="T892" s="189"/>
      <c r="U892" s="132"/>
      <c r="V892" s="222" t="s">
        <v>89</v>
      </c>
      <c r="W892" s="222" t="s">
        <v>89</v>
      </c>
      <c r="X892" s="226"/>
      <c r="Y892" s="222"/>
      <c r="Z892" s="178">
        <v>7.1</v>
      </c>
      <c r="AA892" s="297"/>
      <c r="AB892" s="21" t="s">
        <v>2</v>
      </c>
      <c r="AH892" s="63">
        <v>1</v>
      </c>
      <c r="AO892" s="10" t="s">
        <v>3</v>
      </c>
      <c r="AP892" s="297"/>
      <c r="AQ892" s="198">
        <v>7.1</v>
      </c>
      <c r="AR892" s="222"/>
      <c r="AS892" s="222"/>
      <c r="AT892" s="222" t="s">
        <v>89</v>
      </c>
      <c r="AU892" s="222" t="s">
        <v>89</v>
      </c>
      <c r="AV892" s="132"/>
      <c r="AW892" s="189"/>
      <c r="AX892" s="191"/>
      <c r="AY892" s="223"/>
      <c r="AZ892" s="223" t="s">
        <v>89</v>
      </c>
      <c r="BA892" s="191"/>
      <c r="BB892" s="192"/>
      <c r="BC892" s="188"/>
      <c r="BD892" s="188"/>
      <c r="BE892" s="142"/>
      <c r="BF892" s="171"/>
      <c r="BG892" s="56"/>
      <c r="BH892" s="57"/>
      <c r="BI892" s="170"/>
      <c r="BJ892" s="169"/>
      <c r="BK892" s="181"/>
      <c r="BL892" s="36"/>
      <c r="BM892" s="36" t="str">
        <f>IF('[1]V1 V2'!X891="","",'[1]V1 V2'!X891)</f>
        <v/>
      </c>
    </row>
    <row r="893" spans="1:65" ht="16" thickBot="1" x14ac:dyDescent="0.4">
      <c r="A893">
        <v>1</v>
      </c>
      <c r="B893" s="304" t="s">
        <v>2718</v>
      </c>
      <c r="C893" s="305"/>
      <c r="D893" s="306"/>
      <c r="E893" s="36">
        <f>VLOOKUP($B893,'[1]V1 V2'!$B$5:$BW$1894,74,0)</f>
        <v>0</v>
      </c>
      <c r="F893" s="168"/>
      <c r="G893" s="169"/>
      <c r="H893" s="170"/>
      <c r="I893" s="57"/>
      <c r="J893" s="56">
        <v>-12</v>
      </c>
      <c r="K893" s="171"/>
      <c r="L893" s="142">
        <v>3.8</v>
      </c>
      <c r="M893" s="172"/>
      <c r="N893" s="189"/>
      <c r="O893" s="190"/>
      <c r="P893" s="191"/>
      <c r="Q893" s="274" t="s">
        <v>2719</v>
      </c>
      <c r="R893" s="223" t="s">
        <v>29</v>
      </c>
      <c r="S893" s="191"/>
      <c r="T893" s="189" t="s">
        <v>30</v>
      </c>
      <c r="U893" s="132"/>
      <c r="V893" s="222" t="s">
        <v>2720</v>
      </c>
      <c r="W893" s="222" t="s">
        <v>2721</v>
      </c>
      <c r="X893" s="222">
        <v>28586.129000000008</v>
      </c>
      <c r="Y893" s="222">
        <v>6217.2099999999973</v>
      </c>
      <c r="Z893" s="178"/>
      <c r="AA893" s="297" t="s">
        <v>2718</v>
      </c>
      <c r="AB893" s="21" t="s">
        <v>2</v>
      </c>
      <c r="AH893" s="63">
        <v>1</v>
      </c>
      <c r="AO893" s="10" t="s">
        <v>3</v>
      </c>
      <c r="AP893" s="297" t="s">
        <v>2722</v>
      </c>
      <c r="AQ893" s="198"/>
      <c r="AR893" s="222">
        <v>6213.01</v>
      </c>
      <c r="AS893" s="222">
        <f>AS891-AQ892</f>
        <v>29047.938999999995</v>
      </c>
      <c r="AT893" s="222" t="s">
        <v>2723</v>
      </c>
      <c r="AU893" s="222" t="s">
        <v>2724</v>
      </c>
      <c r="AV893" s="132"/>
      <c r="AW893" s="189" t="s">
        <v>30</v>
      </c>
      <c r="AX893" s="191"/>
      <c r="AY893" s="223" t="s">
        <v>29</v>
      </c>
      <c r="AZ893" s="274" t="s">
        <v>2719</v>
      </c>
      <c r="BA893" s="191"/>
      <c r="BB893" s="192"/>
      <c r="BC893" s="188"/>
      <c r="BD893" s="188"/>
      <c r="BE893" s="142">
        <v>3.8</v>
      </c>
      <c r="BF893" s="171"/>
      <c r="BG893" s="56">
        <v>-12</v>
      </c>
      <c r="BH893" s="57"/>
      <c r="BI893" s="170"/>
      <c r="BJ893" s="169"/>
      <c r="BK893" s="181"/>
      <c r="BL893" s="36">
        <f>VLOOKUP($AP893,'[1]V1 V2'!$B$5:$BW$1894,74,0)</f>
        <v>0</v>
      </c>
      <c r="BM893" s="36" t="str">
        <f>IF('[1]V1 V2'!X892="","",'[1]V1 V2'!X892)</f>
        <v/>
      </c>
    </row>
    <row r="894" spans="1:65" ht="16" thickBot="1" x14ac:dyDescent="0.4">
      <c r="A894">
        <v>1</v>
      </c>
      <c r="B894" s="304"/>
      <c r="C894" s="305"/>
      <c r="D894" s="306"/>
      <c r="E894" s="36"/>
      <c r="F894" s="168"/>
      <c r="G894" s="169"/>
      <c r="H894" s="170"/>
      <c r="I894" s="57"/>
      <c r="J894" s="56"/>
      <c r="K894" s="171"/>
      <c r="L894" s="142"/>
      <c r="M894" s="172"/>
      <c r="N894" s="189"/>
      <c r="O894" s="190"/>
      <c r="P894" s="191"/>
      <c r="Q894" s="223" t="s">
        <v>89</v>
      </c>
      <c r="R894" s="223"/>
      <c r="S894" s="191"/>
      <c r="T894" s="189" t="s">
        <v>75</v>
      </c>
      <c r="U894" s="132"/>
      <c r="V894" s="222" t="s">
        <v>89</v>
      </c>
      <c r="W894" s="222" t="s">
        <v>89</v>
      </c>
      <c r="X894" s="226"/>
      <c r="Y894" s="222"/>
      <c r="Z894" s="178">
        <v>1.6</v>
      </c>
      <c r="AA894" s="297"/>
      <c r="AB894" s="21" t="s">
        <v>2</v>
      </c>
      <c r="AH894" s="63">
        <v>1</v>
      </c>
      <c r="AO894" s="10" t="s">
        <v>3</v>
      </c>
      <c r="AP894" s="297"/>
      <c r="AQ894" s="198">
        <v>1.6</v>
      </c>
      <c r="AR894" s="222"/>
      <c r="AS894" s="222"/>
      <c r="AT894" s="222" t="s">
        <v>89</v>
      </c>
      <c r="AU894" s="222" t="s">
        <v>89</v>
      </c>
      <c r="AV894" s="132"/>
      <c r="AW894" s="189" t="s">
        <v>75</v>
      </c>
      <c r="AX894" s="191"/>
      <c r="AY894" s="223"/>
      <c r="AZ894" s="223" t="s">
        <v>89</v>
      </c>
      <c r="BA894" s="191"/>
      <c r="BB894" s="192"/>
      <c r="BC894" s="188"/>
      <c r="BD894" s="188"/>
      <c r="BE894" s="142"/>
      <c r="BF894" s="171"/>
      <c r="BG894" s="56"/>
      <c r="BH894" s="57"/>
      <c r="BI894" s="170"/>
      <c r="BJ894" s="169"/>
      <c r="BK894" s="181"/>
      <c r="BL894" s="36"/>
      <c r="BM894" s="36" t="str">
        <f>IF('[1]V1 V2'!X893="","",'[1]V1 V2'!X893)</f>
        <v/>
      </c>
    </row>
    <row r="895" spans="1:65" ht="16" thickBot="1" x14ac:dyDescent="0.4">
      <c r="A895">
        <v>1</v>
      </c>
      <c r="B895" s="304" t="s">
        <v>2725</v>
      </c>
      <c r="C895" s="305"/>
      <c r="D895" s="306"/>
      <c r="E895" s="36">
        <f>VLOOKUP($B895,'[1]V1 V2'!$B$5:$BW$1894,74,0)</f>
        <v>0</v>
      </c>
      <c r="F895" s="168"/>
      <c r="G895" s="169"/>
      <c r="H895" s="170"/>
      <c r="I895" s="57"/>
      <c r="J895" s="56">
        <v>-4</v>
      </c>
      <c r="K895" s="171"/>
      <c r="L895" s="142">
        <v>3.8</v>
      </c>
      <c r="M895" s="172"/>
      <c r="N895" s="189"/>
      <c r="O895" s="190"/>
      <c r="P895" s="191"/>
      <c r="Q895" s="274" t="s">
        <v>2719</v>
      </c>
      <c r="R895" s="223" t="s">
        <v>29</v>
      </c>
      <c r="S895" s="191"/>
      <c r="T895" s="189" t="s">
        <v>30</v>
      </c>
      <c r="U895" s="132"/>
      <c r="V895" s="222" t="s">
        <v>2726</v>
      </c>
      <c r="W895" s="222" t="s">
        <v>2727</v>
      </c>
      <c r="X895" s="222">
        <v>28584.52900000001</v>
      </c>
      <c r="Y895" s="222">
        <v>6218.8099999999977</v>
      </c>
      <c r="Z895" s="178"/>
      <c r="AA895" s="297" t="s">
        <v>2725</v>
      </c>
      <c r="AB895" s="21" t="s">
        <v>2</v>
      </c>
      <c r="AH895" s="63">
        <v>1</v>
      </c>
      <c r="AO895" s="10" t="s">
        <v>3</v>
      </c>
      <c r="AP895" s="297" t="s">
        <v>2728</v>
      </c>
      <c r="AQ895" s="198"/>
      <c r="AR895" s="222">
        <v>6214.6100000000006</v>
      </c>
      <c r="AS895" s="222">
        <f>AS893-AQ894</f>
        <v>29046.338999999996</v>
      </c>
      <c r="AT895" s="222" t="s">
        <v>2729</v>
      </c>
      <c r="AU895" s="222" t="s">
        <v>2730</v>
      </c>
      <c r="AV895" s="132"/>
      <c r="AW895" s="189" t="s">
        <v>30</v>
      </c>
      <c r="AX895" s="191"/>
      <c r="AY895" s="223" t="s">
        <v>29</v>
      </c>
      <c r="AZ895" s="274" t="s">
        <v>2719</v>
      </c>
      <c r="BA895" s="191"/>
      <c r="BB895" s="192"/>
      <c r="BC895" s="188"/>
      <c r="BD895" s="188"/>
      <c r="BE895" s="142">
        <v>3.8</v>
      </c>
      <c r="BF895" s="171"/>
      <c r="BG895" s="56">
        <v>-4</v>
      </c>
      <c r="BH895" s="57"/>
      <c r="BI895" s="170"/>
      <c r="BJ895" s="169"/>
      <c r="BK895" s="181"/>
      <c r="BL895" s="36">
        <f>VLOOKUP($AP895,'[1]V1 V2'!$B$5:$BW$1894,74,0)</f>
        <v>0</v>
      </c>
      <c r="BM895" s="36" t="str">
        <f>IF('[1]V1 V2'!X894="","",'[1]V1 V2'!X894)</f>
        <v/>
      </c>
    </row>
    <row r="896" spans="1:65" ht="16" thickBot="1" x14ac:dyDescent="0.4">
      <c r="A896">
        <v>1</v>
      </c>
      <c r="B896" s="304"/>
      <c r="C896" s="305"/>
      <c r="D896" s="306"/>
      <c r="E896" s="36"/>
      <c r="F896" s="168"/>
      <c r="G896" s="169"/>
      <c r="H896" s="170"/>
      <c r="I896" s="57"/>
      <c r="J896" s="56"/>
      <c r="K896" s="171"/>
      <c r="L896" s="142"/>
      <c r="M896" s="172"/>
      <c r="N896" s="189"/>
      <c r="O896" s="190"/>
      <c r="P896" s="191"/>
      <c r="Q896" s="223" t="s">
        <v>89</v>
      </c>
      <c r="R896" s="223"/>
      <c r="S896" s="191"/>
      <c r="T896" s="189" t="s">
        <v>72</v>
      </c>
      <c r="U896" s="132"/>
      <c r="V896" s="222" t="s">
        <v>89</v>
      </c>
      <c r="W896" s="222" t="s">
        <v>89</v>
      </c>
      <c r="X896" s="226"/>
      <c r="Y896" s="222"/>
      <c r="Z896" s="178">
        <v>7.1</v>
      </c>
      <c r="AA896" s="297"/>
      <c r="AB896" s="21" t="s">
        <v>2</v>
      </c>
      <c r="AH896" s="63">
        <v>1</v>
      </c>
      <c r="AO896" s="10" t="s">
        <v>3</v>
      </c>
      <c r="AP896" s="297"/>
      <c r="AQ896" s="198">
        <v>7.1</v>
      </c>
      <c r="AR896" s="222"/>
      <c r="AS896" s="222"/>
      <c r="AT896" s="222"/>
      <c r="AU896" s="222"/>
      <c r="AV896" s="132"/>
      <c r="AW896" s="189" t="s">
        <v>72</v>
      </c>
      <c r="AX896" s="191"/>
      <c r="AY896" s="223"/>
      <c r="AZ896" s="223" t="s">
        <v>89</v>
      </c>
      <c r="BA896" s="191"/>
      <c r="BB896" s="192"/>
      <c r="BC896" s="188"/>
      <c r="BD896" s="188"/>
      <c r="BE896" s="142"/>
      <c r="BF896" s="171"/>
      <c r="BG896" s="56"/>
      <c r="BH896" s="57"/>
      <c r="BI896" s="170"/>
      <c r="BJ896" s="169"/>
      <c r="BK896" s="181"/>
      <c r="BL896" s="36"/>
      <c r="BM896" s="36" t="str">
        <f>IF('[1]V1 V2'!X895="","",'[1]V1 V2'!X895)</f>
        <v/>
      </c>
    </row>
    <row r="897" spans="1:65" ht="16" thickBot="1" x14ac:dyDescent="0.4">
      <c r="A897">
        <v>1</v>
      </c>
      <c r="B897" s="304" t="s">
        <v>2731</v>
      </c>
      <c r="C897" s="305"/>
      <c r="D897" s="306"/>
      <c r="E897" s="36">
        <f>VLOOKUP($B897,'[1]V1 V2'!$B$5:$BW$1894,74,0)</f>
        <v>0</v>
      </c>
      <c r="F897" s="168"/>
      <c r="G897" s="169"/>
      <c r="H897" s="170"/>
      <c r="I897" s="57"/>
      <c r="J897" s="56" t="s">
        <v>113</v>
      </c>
      <c r="K897" s="171"/>
      <c r="L897" s="142">
        <v>3.8</v>
      </c>
      <c r="M897" s="172"/>
      <c r="N897" s="189"/>
      <c r="O897" s="190"/>
      <c r="P897" s="191"/>
      <c r="Q897" s="274" t="s">
        <v>2712</v>
      </c>
      <c r="R897" s="223" t="s">
        <v>29</v>
      </c>
      <c r="S897" s="191"/>
      <c r="T897" s="189" t="s">
        <v>30</v>
      </c>
      <c r="U897" s="132"/>
      <c r="V897" s="222" t="s">
        <v>2732</v>
      </c>
      <c r="W897" s="222" t="s">
        <v>2733</v>
      </c>
      <c r="X897" s="222">
        <v>28577.429000000011</v>
      </c>
      <c r="Y897" s="222">
        <v>6225.909999999998</v>
      </c>
      <c r="Z897" s="178"/>
      <c r="AA897" s="297" t="s">
        <v>2731</v>
      </c>
      <c r="AB897" s="21" t="s">
        <v>2</v>
      </c>
      <c r="AH897" s="63">
        <v>1</v>
      </c>
      <c r="AO897" s="10" t="s">
        <v>3</v>
      </c>
      <c r="AP897" s="297" t="s">
        <v>2734</v>
      </c>
      <c r="AQ897" s="198"/>
      <c r="AR897" s="222">
        <v>6221.7100000000009</v>
      </c>
      <c r="AS897" s="222">
        <f>AS895-AQ896</f>
        <v>29039.238999999998</v>
      </c>
      <c r="AT897" s="222" t="s">
        <v>2735</v>
      </c>
      <c r="AU897" s="222" t="s">
        <v>2736</v>
      </c>
      <c r="AV897" s="132"/>
      <c r="AW897" s="189" t="s">
        <v>30</v>
      </c>
      <c r="AX897" s="191"/>
      <c r="AY897" s="223" t="s">
        <v>29</v>
      </c>
      <c r="AZ897" s="274" t="s">
        <v>2712</v>
      </c>
      <c r="BA897" s="191"/>
      <c r="BB897" s="192"/>
      <c r="BC897" s="188"/>
      <c r="BD897" s="188"/>
      <c r="BE897" s="142">
        <v>3.8</v>
      </c>
      <c r="BF897" s="171"/>
      <c r="BG897" s="183" t="s">
        <v>113</v>
      </c>
      <c r="BH897" s="57"/>
      <c r="BI897" s="170"/>
      <c r="BJ897" s="169"/>
      <c r="BK897" s="181"/>
      <c r="BL897" s="36">
        <f>VLOOKUP($AP897,'[1]V1 V2'!$B$5:$BW$1894,74,0)</f>
        <v>0</v>
      </c>
      <c r="BM897" s="36" t="str">
        <f>IF('[1]V1 V2'!X896="","",'[1]V1 V2'!X896)</f>
        <v/>
      </c>
    </row>
    <row r="898" spans="1:65" ht="16" thickBot="1" x14ac:dyDescent="0.4">
      <c r="A898">
        <v>1</v>
      </c>
      <c r="B898" s="304"/>
      <c r="C898" s="305"/>
      <c r="D898" s="306"/>
      <c r="E898" s="36"/>
      <c r="F898" s="168"/>
      <c r="G898" s="169"/>
      <c r="H898" s="170"/>
      <c r="I898" s="57"/>
      <c r="J898" s="56"/>
      <c r="K898" s="171"/>
      <c r="L898" s="142"/>
      <c r="M898" s="172"/>
      <c r="N898" s="189"/>
      <c r="O898" s="190"/>
      <c r="P898" s="191"/>
      <c r="Q898" s="223" t="s">
        <v>89</v>
      </c>
      <c r="R898" s="223"/>
      <c r="S898" s="191"/>
      <c r="T898" s="189" t="s">
        <v>69</v>
      </c>
      <c r="U898" s="132"/>
      <c r="V898" s="222"/>
      <c r="W898" s="222"/>
      <c r="X898" s="226"/>
      <c r="Y898" s="222"/>
      <c r="Z898" s="178">
        <v>7.1</v>
      </c>
      <c r="AA898" s="297"/>
      <c r="AB898" s="21" t="s">
        <v>2</v>
      </c>
      <c r="AH898" s="63">
        <v>1</v>
      </c>
      <c r="AO898" s="10" t="s">
        <v>3</v>
      </c>
      <c r="AP898" s="297"/>
      <c r="AQ898" s="198">
        <v>7.1</v>
      </c>
      <c r="AR898" s="222"/>
      <c r="AS898" s="222"/>
      <c r="AT898" s="222"/>
      <c r="AU898" s="222"/>
      <c r="AV898" s="132"/>
      <c r="AW898" s="189" t="s">
        <v>69</v>
      </c>
      <c r="AX898" s="191"/>
      <c r="AY898" s="223"/>
      <c r="AZ898" s="223" t="s">
        <v>89</v>
      </c>
      <c r="BA898" s="191"/>
      <c r="BB898" s="192"/>
      <c r="BC898" s="188"/>
      <c r="BD898" s="188"/>
      <c r="BE898" s="142"/>
      <c r="BF898" s="171"/>
      <c r="BG898" s="56"/>
      <c r="BH898" s="57"/>
      <c r="BI898" s="170"/>
      <c r="BJ898" s="169"/>
      <c r="BK898" s="181"/>
      <c r="BL898" s="36"/>
      <c r="BM898" s="36" t="str">
        <f>IF('[1]V1 V2'!X897="","",'[1]V1 V2'!X897)</f>
        <v/>
      </c>
    </row>
    <row r="899" spans="1:65" ht="16" thickBot="1" x14ac:dyDescent="0.4">
      <c r="A899">
        <v>1</v>
      </c>
      <c r="B899" s="304" t="s">
        <v>2737</v>
      </c>
      <c r="C899" s="305"/>
      <c r="D899" s="306"/>
      <c r="E899" s="36">
        <f>VLOOKUP($B899,'[1]V1 V2'!$B$5:$BW$1894,74,0)</f>
        <v>0</v>
      </c>
      <c r="F899" s="168"/>
      <c r="G899" s="169"/>
      <c r="H899" s="170"/>
      <c r="I899" s="57"/>
      <c r="J899" s="56" t="s">
        <v>120</v>
      </c>
      <c r="K899" s="171"/>
      <c r="L899" s="142">
        <v>3.8</v>
      </c>
      <c r="M899" s="172"/>
      <c r="N899" s="189"/>
      <c r="O899" s="190"/>
      <c r="P899" s="191"/>
      <c r="Q899" s="274" t="s">
        <v>2719</v>
      </c>
      <c r="R899" s="223" t="s">
        <v>29</v>
      </c>
      <c r="S899" s="191"/>
      <c r="T899" s="189" t="s">
        <v>30</v>
      </c>
      <c r="U899" s="132"/>
      <c r="V899" s="222" t="s">
        <v>2738</v>
      </c>
      <c r="W899" s="222" t="s">
        <v>2739</v>
      </c>
      <c r="X899" s="222">
        <v>28570.329000000012</v>
      </c>
      <c r="Y899" s="222">
        <v>6233.0099999999984</v>
      </c>
      <c r="Z899" s="178"/>
      <c r="AA899" s="297" t="s">
        <v>2737</v>
      </c>
      <c r="AB899" s="21" t="s">
        <v>2</v>
      </c>
      <c r="AH899" s="63">
        <v>1</v>
      </c>
      <c r="AO899" s="10" t="s">
        <v>3</v>
      </c>
      <c r="AP899" s="297" t="s">
        <v>2740</v>
      </c>
      <c r="AQ899" s="198"/>
      <c r="AR899" s="222">
        <v>6228.8100000000013</v>
      </c>
      <c r="AS899" s="222">
        <f>AS897-AQ898</f>
        <v>29032.138999999999</v>
      </c>
      <c r="AT899" s="222" t="s">
        <v>2741</v>
      </c>
      <c r="AU899" s="222" t="s">
        <v>2742</v>
      </c>
      <c r="AV899" s="132"/>
      <c r="AW899" s="189" t="s">
        <v>30</v>
      </c>
      <c r="AX899" s="191"/>
      <c r="AY899" s="223" t="s">
        <v>29</v>
      </c>
      <c r="AZ899" s="274" t="s">
        <v>2719</v>
      </c>
      <c r="BA899" s="191"/>
      <c r="BB899" s="192"/>
      <c r="BC899" s="188"/>
      <c r="BD899" s="188"/>
      <c r="BE899" s="142">
        <v>3.8</v>
      </c>
      <c r="BF899" s="171"/>
      <c r="BG899" s="183" t="s">
        <v>120</v>
      </c>
      <c r="BH899" s="57"/>
      <c r="BI899" s="170"/>
      <c r="BJ899" s="169"/>
      <c r="BK899" s="181"/>
      <c r="BL899" s="36">
        <f>VLOOKUP($AP899,'[1]V1 V2'!$B$5:$BW$1894,74,0)</f>
        <v>0</v>
      </c>
      <c r="BM899" s="36" t="str">
        <f>IF('[1]V1 V2'!X898="","",'[1]V1 V2'!X898)</f>
        <v/>
      </c>
    </row>
    <row r="900" spans="1:65" ht="16" thickBot="1" x14ac:dyDescent="0.4">
      <c r="A900">
        <v>1</v>
      </c>
      <c r="B900" s="304"/>
      <c r="C900" s="305"/>
      <c r="D900" s="306"/>
      <c r="E900" s="36"/>
      <c r="F900" s="168"/>
      <c r="G900" s="169"/>
      <c r="H900" s="170"/>
      <c r="I900" s="57"/>
      <c r="J900" s="56"/>
      <c r="K900" s="171"/>
      <c r="L900" s="142"/>
      <c r="M900" s="172"/>
      <c r="N900" s="189"/>
      <c r="O900" s="190"/>
      <c r="P900" s="191"/>
      <c r="Q900" s="223" t="s">
        <v>89</v>
      </c>
      <c r="R900" s="223"/>
      <c r="S900" s="191"/>
      <c r="T900" s="189" t="s">
        <v>69</v>
      </c>
      <c r="U900" s="132"/>
      <c r="V900" s="222" t="s">
        <v>89</v>
      </c>
      <c r="W900" s="222" t="s">
        <v>89</v>
      </c>
      <c r="X900" s="226"/>
      <c r="Y900" s="222"/>
      <c r="Z900" s="178">
        <v>1.6</v>
      </c>
      <c r="AA900" s="297"/>
      <c r="AB900" s="21" t="s">
        <v>2</v>
      </c>
      <c r="AH900" s="63">
        <v>1</v>
      </c>
      <c r="AO900" s="10" t="s">
        <v>3</v>
      </c>
      <c r="AP900" s="297"/>
      <c r="AQ900" s="198">
        <v>1.6</v>
      </c>
      <c r="AR900" s="222"/>
      <c r="AS900" s="222"/>
      <c r="AT900" s="222" t="s">
        <v>89</v>
      </c>
      <c r="AU900" s="222" t="s">
        <v>89</v>
      </c>
      <c r="AV900" s="132"/>
      <c r="AW900" s="189" t="s">
        <v>69</v>
      </c>
      <c r="AX900" s="191"/>
      <c r="AY900" s="223"/>
      <c r="AZ900" s="223" t="s">
        <v>89</v>
      </c>
      <c r="BA900" s="191"/>
      <c r="BB900" s="192"/>
      <c r="BC900" s="188"/>
      <c r="BD900" s="188"/>
      <c r="BE900" s="142"/>
      <c r="BF900" s="171"/>
      <c r="BG900" s="56"/>
      <c r="BH900" s="57"/>
      <c r="BI900" s="170"/>
      <c r="BJ900" s="169"/>
      <c r="BK900" s="181"/>
      <c r="BL900" s="36"/>
      <c r="BM900" s="36" t="str">
        <f>IF('[1]V1 V2'!X899="","",'[1]V1 V2'!X899)</f>
        <v/>
      </c>
    </row>
    <row r="901" spans="1:65" ht="16" thickBot="1" x14ac:dyDescent="0.4">
      <c r="A901">
        <v>1</v>
      </c>
      <c r="B901" s="232" t="s">
        <v>2743</v>
      </c>
      <c r="C901" s="233"/>
      <c r="D901" s="234"/>
      <c r="E901" s="36">
        <f>VLOOKUP($B901,'[1]V1 V2'!$B$5:$BW$1894,74,0)</f>
        <v>0</v>
      </c>
      <c r="F901" s="168"/>
      <c r="G901" s="169"/>
      <c r="H901" s="170"/>
      <c r="I901" s="57"/>
      <c r="J901" s="56" t="s">
        <v>127</v>
      </c>
      <c r="K901" s="171"/>
      <c r="L901" s="142">
        <v>3.8</v>
      </c>
      <c r="M901" s="188"/>
      <c r="N901" s="189"/>
      <c r="O901" s="190"/>
      <c r="P901" s="191"/>
      <c r="Q901" s="274" t="s">
        <v>2719</v>
      </c>
      <c r="R901" s="223" t="s">
        <v>29</v>
      </c>
      <c r="S901" s="191"/>
      <c r="T901" s="189" t="s">
        <v>30</v>
      </c>
      <c r="U901" s="132"/>
      <c r="V901" s="222" t="s">
        <v>2744</v>
      </c>
      <c r="W901" s="222" t="s">
        <v>2745</v>
      </c>
      <c r="X901" s="222">
        <v>28568.729000000014</v>
      </c>
      <c r="Y901" s="222">
        <v>6234.6099999999988</v>
      </c>
      <c r="Z901" s="198"/>
      <c r="AA901" s="238" t="s">
        <v>2743</v>
      </c>
      <c r="AB901" s="21" t="s">
        <v>2</v>
      </c>
      <c r="AH901" s="63">
        <v>1</v>
      </c>
      <c r="AO901" s="10" t="s">
        <v>3</v>
      </c>
      <c r="AP901" s="297" t="s">
        <v>2746</v>
      </c>
      <c r="AQ901" s="198"/>
      <c r="AR901" s="222">
        <v>6230.4100000000017</v>
      </c>
      <c r="AS901" s="222">
        <f>AS899-AQ900</f>
        <v>29030.539000000001</v>
      </c>
      <c r="AT901" s="222" t="s">
        <v>2747</v>
      </c>
      <c r="AU901" s="222" t="s">
        <v>2748</v>
      </c>
      <c r="AV901" s="132"/>
      <c r="AW901" s="189" t="s">
        <v>30</v>
      </c>
      <c r="AX901" s="191"/>
      <c r="AY901" s="223" t="s">
        <v>29</v>
      </c>
      <c r="AZ901" s="274" t="s">
        <v>2719</v>
      </c>
      <c r="BA901" s="191"/>
      <c r="BB901" s="192"/>
      <c r="BC901" s="188"/>
      <c r="BD901" s="188"/>
      <c r="BE901" s="142">
        <v>3.8</v>
      </c>
      <c r="BF901" s="171"/>
      <c r="BG901" s="183" t="s">
        <v>127</v>
      </c>
      <c r="BH901" s="57"/>
      <c r="BI901" s="170"/>
      <c r="BJ901" s="169"/>
      <c r="BK901" s="181"/>
      <c r="BL901" s="36">
        <f>VLOOKUP($AP901,'[1]V1 V2'!$B$5:$BW$1894,74,0)</f>
        <v>0</v>
      </c>
      <c r="BM901" s="36" t="str">
        <f>IF('[1]V1 V2'!X900="","",'[1]V1 V2'!X900)</f>
        <v/>
      </c>
    </row>
    <row r="902" spans="1:65" ht="16" thickBot="1" x14ac:dyDescent="0.4">
      <c r="A902">
        <v>1</v>
      </c>
      <c r="B902" s="232"/>
      <c r="C902" s="233"/>
      <c r="D902" s="234"/>
      <c r="E902" s="36"/>
      <c r="F902" s="168"/>
      <c r="G902" s="169"/>
      <c r="H902" s="170"/>
      <c r="I902" s="57"/>
      <c r="J902" s="56"/>
      <c r="K902" s="171"/>
      <c r="L902" s="142"/>
      <c r="M902" s="188"/>
      <c r="N902" s="189"/>
      <c r="O902" s="190"/>
      <c r="P902" s="191"/>
      <c r="Q902" s="223" t="s">
        <v>89</v>
      </c>
      <c r="R902" s="223"/>
      <c r="S902" s="191"/>
      <c r="T902" s="189" t="s">
        <v>72</v>
      </c>
      <c r="U902" s="132"/>
      <c r="V902" s="222" t="s">
        <v>89</v>
      </c>
      <c r="W902" s="222" t="s">
        <v>89</v>
      </c>
      <c r="X902" s="226"/>
      <c r="Y902" s="222"/>
      <c r="Z902" s="198">
        <v>8.8000000000000007</v>
      </c>
      <c r="AA902" s="238"/>
      <c r="AB902" s="21" t="s">
        <v>2</v>
      </c>
      <c r="AH902" s="63">
        <v>1</v>
      </c>
      <c r="AO902" s="10" t="s">
        <v>3</v>
      </c>
      <c r="AP902" s="297"/>
      <c r="AQ902" s="198">
        <v>8.8000000000000007</v>
      </c>
      <c r="AR902" s="222"/>
      <c r="AS902" s="222"/>
      <c r="AT902" s="222" t="s">
        <v>89</v>
      </c>
      <c r="AU902" s="222" t="s">
        <v>89</v>
      </c>
      <c r="AV902" s="132"/>
      <c r="AW902" s="189" t="s">
        <v>72</v>
      </c>
      <c r="AX902" s="191"/>
      <c r="AY902" s="223"/>
      <c r="AZ902" s="223" t="s">
        <v>89</v>
      </c>
      <c r="BA902" s="191"/>
      <c r="BB902" s="192"/>
      <c r="BC902" s="188"/>
      <c r="BD902" s="188"/>
      <c r="BE902" s="142"/>
      <c r="BF902" s="171"/>
      <c r="BG902" s="56"/>
      <c r="BH902" s="57"/>
      <c r="BI902" s="170"/>
      <c r="BJ902" s="169"/>
      <c r="BK902" s="181"/>
      <c r="BL902" s="36"/>
      <c r="BM902" s="36" t="str">
        <f>IF('[1]V1 V2'!X901="","",'[1]V1 V2'!X901)</f>
        <v/>
      </c>
    </row>
    <row r="903" spans="1:65" ht="16" thickBot="1" x14ac:dyDescent="0.4">
      <c r="A903">
        <v>1</v>
      </c>
      <c r="B903" s="232" t="s">
        <v>2749</v>
      </c>
      <c r="C903" s="233"/>
      <c r="D903" s="234"/>
      <c r="E903" s="36">
        <f>VLOOKUP($B903,'[1]V1 V2'!$B$5:$BW$1894,74,0)</f>
        <v>0</v>
      </c>
      <c r="F903" s="168"/>
      <c r="G903" s="169"/>
      <c r="H903" s="170"/>
      <c r="I903" s="57"/>
      <c r="J903" s="56" t="s">
        <v>120</v>
      </c>
      <c r="K903" s="171"/>
      <c r="L903" s="142">
        <v>3.8</v>
      </c>
      <c r="M903" s="188"/>
      <c r="N903" s="189"/>
      <c r="O903" s="190"/>
      <c r="P903" s="191"/>
      <c r="Q903" s="223" t="s">
        <v>100</v>
      </c>
      <c r="R903" s="223" t="s">
        <v>29</v>
      </c>
      <c r="S903" s="191"/>
      <c r="T903" s="189" t="s">
        <v>30</v>
      </c>
      <c r="U903" s="132"/>
      <c r="V903" s="222" t="s">
        <v>2750</v>
      </c>
      <c r="W903" s="222" t="s">
        <v>2751</v>
      </c>
      <c r="X903" s="222">
        <v>28559.929000000015</v>
      </c>
      <c r="Y903" s="222">
        <v>6243.4</v>
      </c>
      <c r="Z903" s="198"/>
      <c r="AA903" s="238" t="s">
        <v>2749</v>
      </c>
      <c r="AB903" s="21" t="s">
        <v>2</v>
      </c>
      <c r="AH903" s="63">
        <v>1</v>
      </c>
      <c r="AO903" s="10" t="s">
        <v>3</v>
      </c>
      <c r="AP903" s="297" t="s">
        <v>2752</v>
      </c>
      <c r="AQ903" s="198"/>
      <c r="AR903" s="222">
        <v>6239.2</v>
      </c>
      <c r="AS903" s="222">
        <f>AS901-AQ902</f>
        <v>29021.739000000001</v>
      </c>
      <c r="AT903" s="222" t="s">
        <v>2753</v>
      </c>
      <c r="AU903" s="222" t="s">
        <v>2754</v>
      </c>
      <c r="AV903" s="132"/>
      <c r="AW903" s="189" t="s">
        <v>30</v>
      </c>
      <c r="AX903" s="191"/>
      <c r="AY903" s="223" t="s">
        <v>29</v>
      </c>
      <c r="AZ903" s="223" t="s">
        <v>100</v>
      </c>
      <c r="BA903" s="191"/>
      <c r="BB903" s="192"/>
      <c r="BC903" s="188"/>
      <c r="BD903" s="188"/>
      <c r="BE903" s="142">
        <v>3.8</v>
      </c>
      <c r="BF903" s="171"/>
      <c r="BG903" s="183" t="s">
        <v>120</v>
      </c>
      <c r="BH903" s="57"/>
      <c r="BI903" s="170"/>
      <c r="BJ903" s="169"/>
      <c r="BK903" s="181"/>
      <c r="BL903" s="36">
        <f>VLOOKUP($AP903,'[1]V1 V2'!$B$5:$BW$1894,74,0)</f>
        <v>0</v>
      </c>
      <c r="BM903" s="36" t="str">
        <f>IF('[1]V1 V2'!X902="","",'[1]V1 V2'!X902)</f>
        <v/>
      </c>
    </row>
    <row r="904" spans="1:65" ht="29.5" thickBot="1" x14ac:dyDescent="0.4">
      <c r="A904">
        <v>1</v>
      </c>
      <c r="B904" s="227" t="s">
        <v>2755</v>
      </c>
      <c r="C904" s="228"/>
      <c r="D904" s="229"/>
      <c r="E904" s="36">
        <f>VLOOKUP($B904,'[1]V1 V2'!$B$5:$BW$1894,74,0)</f>
        <v>0</v>
      </c>
      <c r="F904" s="168"/>
      <c r="G904" s="169"/>
      <c r="H904" s="170"/>
      <c r="I904" s="57"/>
      <c r="J904" s="56"/>
      <c r="K904" s="171"/>
      <c r="L904" s="142"/>
      <c r="M904" s="188"/>
      <c r="N904" s="189"/>
      <c r="O904" s="190"/>
      <c r="P904" s="191"/>
      <c r="Q904" s="223"/>
      <c r="R904" s="223"/>
      <c r="S904" s="191"/>
      <c r="T904" s="189" t="s">
        <v>75</v>
      </c>
      <c r="U904" s="132"/>
      <c r="V904" s="222"/>
      <c r="W904" s="222"/>
      <c r="X904" s="226"/>
      <c r="Y904" s="222"/>
      <c r="Z904" s="198">
        <v>11.410000000000764</v>
      </c>
      <c r="AA904" s="231" t="s">
        <v>2755</v>
      </c>
      <c r="AB904" s="21" t="s">
        <v>2</v>
      </c>
      <c r="AH904" s="63">
        <v>1</v>
      </c>
      <c r="AO904" s="10" t="s">
        <v>3</v>
      </c>
      <c r="AP904" s="326" t="s">
        <v>2755</v>
      </c>
      <c r="AQ904" s="198">
        <v>11.4</v>
      </c>
      <c r="AR904" s="222"/>
      <c r="AS904" s="222"/>
      <c r="AT904" s="222"/>
      <c r="AU904" s="132"/>
      <c r="AV904" s="132"/>
      <c r="AW904" s="189" t="s">
        <v>75</v>
      </c>
      <c r="AX904" s="191"/>
      <c r="AY904" s="223"/>
      <c r="AZ904" s="223"/>
      <c r="BA904" s="191"/>
      <c r="BB904" s="192"/>
      <c r="BC904" s="188"/>
      <c r="BD904" s="188"/>
      <c r="BE904" s="142"/>
      <c r="BF904" s="171"/>
      <c r="BG904" s="56"/>
      <c r="BH904" s="57"/>
      <c r="BI904" s="170"/>
      <c r="BJ904" s="169"/>
      <c r="BK904" s="181"/>
      <c r="BL904" s="36">
        <f>VLOOKUP($AP904,'[1]V1 V2'!$B$5:$BW$1894,74,0)</f>
        <v>0</v>
      </c>
      <c r="BM904" s="36" t="str">
        <f>IF('[1]V1 V2'!X903="","",'[1]V1 V2'!X903)</f>
        <v/>
      </c>
    </row>
    <row r="905" spans="1:65" ht="16" thickBot="1" x14ac:dyDescent="0.4">
      <c r="A905">
        <v>1</v>
      </c>
      <c r="B905" s="232" t="s">
        <v>2756</v>
      </c>
      <c r="C905" s="233"/>
      <c r="D905" s="234"/>
      <c r="E905" s="36">
        <f>VLOOKUP($B905,'[1]V1 V2'!$B$5:$BW$1894,74,0)</f>
        <v>0</v>
      </c>
      <c r="F905" s="168"/>
      <c r="G905" s="169"/>
      <c r="H905" s="170"/>
      <c r="I905" s="57"/>
      <c r="J905" s="56" t="s">
        <v>113</v>
      </c>
      <c r="K905" s="171"/>
      <c r="L905" s="142">
        <v>3.8</v>
      </c>
      <c r="M905" s="188"/>
      <c r="N905" s="189"/>
      <c r="O905" s="190"/>
      <c r="P905" s="191"/>
      <c r="Q905" s="223" t="s">
        <v>100</v>
      </c>
      <c r="R905" s="223" t="s">
        <v>29</v>
      </c>
      <c r="S905" s="191"/>
      <c r="T905" s="189" t="s">
        <v>30</v>
      </c>
      <c r="U905" s="132"/>
      <c r="V905" s="222" t="s">
        <v>2757</v>
      </c>
      <c r="W905" s="222" t="s">
        <v>2758</v>
      </c>
      <c r="X905" s="222">
        <v>28548.519000000015</v>
      </c>
      <c r="Y905" s="222">
        <v>6254.81</v>
      </c>
      <c r="Z905" s="198"/>
      <c r="AA905" s="238" t="s">
        <v>2756</v>
      </c>
      <c r="AB905" s="21" t="s">
        <v>2</v>
      </c>
      <c r="AH905" s="63">
        <v>1</v>
      </c>
      <c r="AO905" s="10" t="s">
        <v>3</v>
      </c>
      <c r="AP905" s="297" t="s">
        <v>2759</v>
      </c>
      <c r="AQ905" s="198"/>
      <c r="AR905" s="222">
        <v>6250.6</v>
      </c>
      <c r="AS905" s="222">
        <f>AS903-AQ904</f>
        <v>29010.339</v>
      </c>
      <c r="AT905" s="222" t="s">
        <v>2760</v>
      </c>
      <c r="AU905" s="222" t="s">
        <v>2761</v>
      </c>
      <c r="AV905" s="132"/>
      <c r="AW905" s="189" t="s">
        <v>30</v>
      </c>
      <c r="AX905" s="191"/>
      <c r="AY905" s="223" t="s">
        <v>29</v>
      </c>
      <c r="AZ905" s="223" t="s">
        <v>100</v>
      </c>
      <c r="BA905" s="191"/>
      <c r="BB905" s="192"/>
      <c r="BC905" s="188"/>
      <c r="BD905" s="188"/>
      <c r="BE905" s="142">
        <v>3.8</v>
      </c>
      <c r="BF905" s="171"/>
      <c r="BG905" s="183" t="s">
        <v>113</v>
      </c>
      <c r="BH905" s="57"/>
      <c r="BI905" s="170"/>
      <c r="BJ905" s="169"/>
      <c r="BK905" s="181"/>
      <c r="BL905" s="36">
        <f>VLOOKUP($AP905,'[1]V1 V2'!$B$5:$BW$1894,74,0)</f>
        <v>0</v>
      </c>
      <c r="BM905" s="36" t="str">
        <f>IF('[1]V1 V2'!X904="","",'[1]V1 V2'!X904)</f>
        <v/>
      </c>
    </row>
    <row r="906" spans="1:65" ht="16" thickBot="1" x14ac:dyDescent="0.4">
      <c r="A906">
        <v>1</v>
      </c>
      <c r="B906" s="396"/>
      <c r="C906" s="397"/>
      <c r="D906" s="342"/>
      <c r="E906" s="36"/>
      <c r="F906" s="168"/>
      <c r="G906" s="169"/>
      <c r="H906" s="170"/>
      <c r="I906" s="57"/>
      <c r="J906" s="56"/>
      <c r="K906" s="171"/>
      <c r="L906" s="142"/>
      <c r="M906" s="188"/>
      <c r="N906" s="189"/>
      <c r="O906" s="190"/>
      <c r="P906" s="191"/>
      <c r="Q906" s="223"/>
      <c r="R906" s="223"/>
      <c r="S906" s="191"/>
      <c r="T906" s="189"/>
      <c r="U906" s="132"/>
      <c r="V906" s="222" t="s">
        <v>89</v>
      </c>
      <c r="W906" s="222" t="s">
        <v>89</v>
      </c>
      <c r="X906" s="226"/>
      <c r="Y906" s="222"/>
      <c r="Z906" s="198">
        <v>11.4</v>
      </c>
      <c r="AA906" s="398"/>
      <c r="AB906" s="21" t="s">
        <v>2</v>
      </c>
      <c r="AH906" s="63">
        <v>1</v>
      </c>
      <c r="AO906" s="10" t="s">
        <v>3</v>
      </c>
      <c r="AP906" s="401"/>
      <c r="AQ906" s="198">
        <v>11.4</v>
      </c>
      <c r="AR906" s="222"/>
      <c r="AS906" s="222"/>
      <c r="AT906" s="222" t="s">
        <v>89</v>
      </c>
      <c r="AU906" s="222" t="s">
        <v>89</v>
      </c>
      <c r="AV906" s="132"/>
      <c r="AW906" s="189"/>
      <c r="AX906" s="191"/>
      <c r="AY906" s="223"/>
      <c r="AZ906" s="223"/>
      <c r="BA906" s="191"/>
      <c r="BB906" s="192"/>
      <c r="BC906" s="188"/>
      <c r="BD906" s="188"/>
      <c r="BE906" s="142"/>
      <c r="BF906" s="171"/>
      <c r="BG906" s="56"/>
      <c r="BH906" s="57"/>
      <c r="BI906" s="170"/>
      <c r="BJ906" s="169"/>
      <c r="BK906" s="181"/>
      <c r="BL906" s="36"/>
      <c r="BM906" s="36" t="str">
        <f>IF('[1]V1 V2'!X905="","",'[1]V1 V2'!X905)</f>
        <v/>
      </c>
    </row>
    <row r="907" spans="1:65" ht="16" thickBot="1" x14ac:dyDescent="0.4">
      <c r="A907">
        <v>1</v>
      </c>
      <c r="B907" s="232" t="s">
        <v>2762</v>
      </c>
      <c r="C907" s="233"/>
      <c r="D907" s="234"/>
      <c r="E907" s="36">
        <f>VLOOKUP($B907,'[1]V1 V2'!$B$5:$BW$1894,74,0)</f>
        <v>0</v>
      </c>
      <c r="F907" s="168"/>
      <c r="G907" s="169"/>
      <c r="H907" s="170"/>
      <c r="I907" s="57"/>
      <c r="J907" s="56">
        <v>-4</v>
      </c>
      <c r="K907" s="171"/>
      <c r="L907" s="142">
        <v>3.8</v>
      </c>
      <c r="M907" s="188"/>
      <c r="N907" s="189"/>
      <c r="O907" s="190"/>
      <c r="P907" s="191"/>
      <c r="Q907" s="223" t="s">
        <v>100</v>
      </c>
      <c r="R907" s="223" t="s">
        <v>29</v>
      </c>
      <c r="S907" s="191"/>
      <c r="T907" s="189" t="s">
        <v>30</v>
      </c>
      <c r="U907" s="132"/>
      <c r="V907" s="222" t="s">
        <v>2763</v>
      </c>
      <c r="W907" s="222" t="s">
        <v>2764</v>
      </c>
      <c r="X907" s="222">
        <v>28537.119000000013</v>
      </c>
      <c r="Y907" s="222">
        <v>6266.2</v>
      </c>
      <c r="Z907" s="198"/>
      <c r="AA907" s="238" t="s">
        <v>2762</v>
      </c>
      <c r="AB907" s="21" t="s">
        <v>2</v>
      </c>
      <c r="AH907" s="63">
        <v>1</v>
      </c>
      <c r="AO907" s="10" t="s">
        <v>3</v>
      </c>
      <c r="AP907" s="297" t="s">
        <v>2765</v>
      </c>
      <c r="AQ907" s="198"/>
      <c r="AR907" s="222">
        <v>6262</v>
      </c>
      <c r="AS907" s="222">
        <f>AS905-AQ906</f>
        <v>28998.938999999998</v>
      </c>
      <c r="AT907" s="222" t="s">
        <v>2766</v>
      </c>
      <c r="AU907" s="222" t="s">
        <v>2767</v>
      </c>
      <c r="AV907" s="132"/>
      <c r="AW907" s="189" t="s">
        <v>30</v>
      </c>
      <c r="AX907" s="191"/>
      <c r="AY907" s="223" t="s">
        <v>29</v>
      </c>
      <c r="AZ907" s="223" t="s">
        <v>100</v>
      </c>
      <c r="BA907" s="191"/>
      <c r="BB907" s="192"/>
      <c r="BC907" s="188"/>
      <c r="BD907" s="188"/>
      <c r="BE907" s="142">
        <v>3.8</v>
      </c>
      <c r="BF907" s="171"/>
      <c r="BG907" s="56">
        <v>-4</v>
      </c>
      <c r="BH907" s="57"/>
      <c r="BI907" s="170"/>
      <c r="BJ907" s="169"/>
      <c r="BK907" s="181"/>
      <c r="BL907" s="36">
        <f>VLOOKUP($AP907,'[1]V1 V2'!$B$5:$BW$1894,74,0)</f>
        <v>0</v>
      </c>
      <c r="BM907" s="36" t="str">
        <f>IF('[1]V1 V2'!X906="","",'[1]V1 V2'!X906)</f>
        <v/>
      </c>
    </row>
    <row r="908" spans="1:65" ht="16" thickBot="1" x14ac:dyDescent="0.4">
      <c r="A908">
        <v>1</v>
      </c>
      <c r="B908" s="396"/>
      <c r="C908" s="397"/>
      <c r="D908" s="342"/>
      <c r="E908" s="36"/>
      <c r="F908" s="168"/>
      <c r="G908" s="169"/>
      <c r="H908" s="170"/>
      <c r="I908" s="57"/>
      <c r="J908" s="56"/>
      <c r="K908" s="171"/>
      <c r="L908" s="142"/>
      <c r="M908" s="188"/>
      <c r="N908" s="189"/>
      <c r="O908" s="190"/>
      <c r="P908" s="191"/>
      <c r="Q908" s="223"/>
      <c r="R908" s="223"/>
      <c r="S908" s="191"/>
      <c r="T908" s="189"/>
      <c r="U908" s="132"/>
      <c r="V908" s="222" t="s">
        <v>89</v>
      </c>
      <c r="W908" s="222" t="s">
        <v>89</v>
      </c>
      <c r="X908" s="226"/>
      <c r="Y908" s="222"/>
      <c r="Z908" s="198">
        <v>12</v>
      </c>
      <c r="AA908" s="398"/>
      <c r="AB908" s="21" t="s">
        <v>2</v>
      </c>
      <c r="AC908" s="163"/>
      <c r="AD908" s="163"/>
      <c r="AE908" s="163"/>
      <c r="AF908" s="163"/>
      <c r="AG908" s="163"/>
      <c r="AH908" s="164">
        <v>1</v>
      </c>
      <c r="AI908" s="163"/>
      <c r="AJ908" s="163"/>
      <c r="AK908" s="163"/>
      <c r="AL908" s="163"/>
      <c r="AM908" s="163"/>
      <c r="AN908" s="163"/>
      <c r="AO908" s="10" t="s">
        <v>3</v>
      </c>
      <c r="AP908" s="401"/>
      <c r="AQ908" s="198">
        <v>11.6</v>
      </c>
      <c r="AR908" s="222"/>
      <c r="AS908" s="222"/>
      <c r="AT908" s="222" t="s">
        <v>89</v>
      </c>
      <c r="AU908" s="222" t="s">
        <v>89</v>
      </c>
      <c r="AV908" s="132"/>
      <c r="AW908" s="189"/>
      <c r="AX908" s="191"/>
      <c r="AY908" s="223"/>
      <c r="AZ908" s="223"/>
      <c r="BA908" s="191"/>
      <c r="BB908" s="192"/>
      <c r="BC908" s="188"/>
      <c r="BD908" s="188"/>
      <c r="BE908" s="142"/>
      <c r="BF908" s="171"/>
      <c r="BG908" s="56"/>
      <c r="BH908" s="57"/>
      <c r="BI908" s="170"/>
      <c r="BJ908" s="169"/>
      <c r="BK908" s="181"/>
      <c r="BL908" s="36"/>
      <c r="BM908" s="36" t="str">
        <f>IF('[1]V1 V2'!X907="","",'[1]V1 V2'!X907)</f>
        <v/>
      </c>
    </row>
    <row r="909" spans="1:65" ht="16" thickBot="1" x14ac:dyDescent="0.4">
      <c r="A909">
        <v>1</v>
      </c>
      <c r="B909" s="232" t="s">
        <v>2768</v>
      </c>
      <c r="C909" s="233"/>
      <c r="D909" s="234"/>
      <c r="E909" s="36">
        <f>VLOOKUP($B909,'[1]V1 V2'!$B$5:$BW$1894,74,0)</f>
        <v>0</v>
      </c>
      <c r="F909" s="168"/>
      <c r="G909" s="169"/>
      <c r="H909" s="170"/>
      <c r="I909" s="57"/>
      <c r="J909" s="56">
        <v>-12</v>
      </c>
      <c r="K909" s="171"/>
      <c r="L909" s="142">
        <v>3.8</v>
      </c>
      <c r="M909" s="188"/>
      <c r="N909" s="189"/>
      <c r="O909" s="190"/>
      <c r="P909" s="191"/>
      <c r="Q909" s="223" t="s">
        <v>511</v>
      </c>
      <c r="R909" s="223" t="s">
        <v>29</v>
      </c>
      <c r="S909" s="191"/>
      <c r="T909" s="189" t="s">
        <v>30</v>
      </c>
      <c r="U909" s="132"/>
      <c r="V909" s="222" t="s">
        <v>2769</v>
      </c>
      <c r="W909" s="222" t="s">
        <v>2770</v>
      </c>
      <c r="X909" s="222">
        <v>28525.119000000013</v>
      </c>
      <c r="Y909" s="222">
        <v>6277.7099999999991</v>
      </c>
      <c r="Z909" s="198"/>
      <c r="AA909" s="238" t="s">
        <v>2768</v>
      </c>
      <c r="AB909" s="21" t="s">
        <v>2</v>
      </c>
      <c r="AH909" s="166">
        <f>Y908</f>
        <v>0</v>
      </c>
      <c r="AO909" s="10" t="s">
        <v>3</v>
      </c>
      <c r="AP909" s="297" t="s">
        <v>2771</v>
      </c>
      <c r="AQ909" s="198"/>
      <c r="AR909" s="222">
        <v>6273.510000000002</v>
      </c>
      <c r="AS909" s="222">
        <f>AS907-AQ908</f>
        <v>28987.339</v>
      </c>
      <c r="AT909" s="222" t="s">
        <v>2772</v>
      </c>
      <c r="AU909" s="222" t="s">
        <v>2773</v>
      </c>
      <c r="AV909" s="132"/>
      <c r="AW909" s="189" t="s">
        <v>30</v>
      </c>
      <c r="AX909" s="191"/>
      <c r="AY909" s="223" t="s">
        <v>29</v>
      </c>
      <c r="AZ909" s="223" t="s">
        <v>511</v>
      </c>
      <c r="BA909" s="191"/>
      <c r="BB909" s="192"/>
      <c r="BC909" s="188"/>
      <c r="BD909" s="188"/>
      <c r="BE909" s="142">
        <v>3.8</v>
      </c>
      <c r="BF909" s="171"/>
      <c r="BG909" s="56">
        <v>-12</v>
      </c>
      <c r="BH909" s="57"/>
      <c r="BI909" s="170"/>
      <c r="BJ909" s="169"/>
      <c r="BK909" s="181"/>
      <c r="BL909" s="36">
        <f>VLOOKUP($AP909,'[1]V1 V2'!$B$5:$BW$1894,74,0)</f>
        <v>0</v>
      </c>
      <c r="BM909" s="36" t="str">
        <f>IF('[1]V1 V2'!X908="","",'[1]V1 V2'!X908)</f>
        <v/>
      </c>
    </row>
    <row r="910" spans="1:65" ht="16" thickBot="1" x14ac:dyDescent="0.4">
      <c r="A910">
        <v>1</v>
      </c>
      <c r="B910" s="396"/>
      <c r="C910" s="397"/>
      <c r="D910" s="342"/>
      <c r="E910" s="36"/>
      <c r="F910" s="168"/>
      <c r="G910" s="169"/>
      <c r="H910" s="170"/>
      <c r="I910" s="57"/>
      <c r="J910" s="56"/>
      <c r="K910" s="171"/>
      <c r="L910" s="142"/>
      <c r="M910" s="188"/>
      <c r="N910" s="189"/>
      <c r="O910" s="190"/>
      <c r="P910" s="191"/>
      <c r="Q910" s="223"/>
      <c r="R910" s="223"/>
      <c r="S910" s="191"/>
      <c r="T910" s="189"/>
      <c r="U910" s="132"/>
      <c r="V910" s="222" t="s">
        <v>89</v>
      </c>
      <c r="W910" s="222" t="s">
        <v>89</v>
      </c>
      <c r="X910" s="226"/>
      <c r="Y910" s="222"/>
      <c r="Z910" s="198">
        <v>12</v>
      </c>
      <c r="AA910" s="398"/>
      <c r="AB910" s="21" t="s">
        <v>2</v>
      </c>
      <c r="AH910" s="63">
        <v>1</v>
      </c>
      <c r="AO910" s="10" t="s">
        <v>3</v>
      </c>
      <c r="AP910" s="401"/>
      <c r="AQ910" s="198">
        <v>12</v>
      </c>
      <c r="AR910" s="222"/>
      <c r="AS910" s="222"/>
      <c r="AT910" s="222" t="s">
        <v>89</v>
      </c>
      <c r="AU910" s="222" t="s">
        <v>89</v>
      </c>
      <c r="AV910" s="132"/>
      <c r="AW910" s="189"/>
      <c r="AX910" s="191"/>
      <c r="AY910" s="223"/>
      <c r="AZ910" s="223"/>
      <c r="BA910" s="191"/>
      <c r="BB910" s="192"/>
      <c r="BC910" s="188"/>
      <c r="BD910" s="188"/>
      <c r="BE910" s="142"/>
      <c r="BF910" s="171"/>
      <c r="BG910" s="56"/>
      <c r="BH910" s="57"/>
      <c r="BI910" s="170"/>
      <c r="BJ910" s="169"/>
      <c r="BK910" s="181"/>
      <c r="BL910" s="36"/>
      <c r="BM910" s="36" t="str">
        <f>IF('[1]V1 V2'!X909="","",'[1]V1 V2'!X909)</f>
        <v/>
      </c>
    </row>
    <row r="911" spans="1:65" ht="16" thickBot="1" x14ac:dyDescent="0.4">
      <c r="A911">
        <v>1</v>
      </c>
      <c r="B911" s="232" t="s">
        <v>2774</v>
      </c>
      <c r="C911" s="233"/>
      <c r="D911" s="234"/>
      <c r="E911" s="36">
        <f>VLOOKUP($B911,'[1]V1 V2'!$B$5:$BW$1894,74,0)</f>
        <v>0</v>
      </c>
      <c r="F911" s="168"/>
      <c r="G911" s="169"/>
      <c r="H911" s="170"/>
      <c r="I911" s="57"/>
      <c r="J911" s="56">
        <v>-20</v>
      </c>
      <c r="K911" s="171"/>
      <c r="L911" s="142">
        <v>3.8</v>
      </c>
      <c r="M911" s="188"/>
      <c r="N911" s="189"/>
      <c r="O911" s="190"/>
      <c r="P911" s="191"/>
      <c r="Q911" s="223" t="s">
        <v>511</v>
      </c>
      <c r="R911" s="223" t="s">
        <v>29</v>
      </c>
      <c r="S911" s="191"/>
      <c r="T911" s="189" t="s">
        <v>30</v>
      </c>
      <c r="U911" s="132"/>
      <c r="V911" s="222" t="s">
        <v>2775</v>
      </c>
      <c r="W911" s="222" t="s">
        <v>2776</v>
      </c>
      <c r="X911" s="222">
        <v>28513.119000000013</v>
      </c>
      <c r="Y911" s="222">
        <v>6289.7099999999991</v>
      </c>
      <c r="Z911" s="198"/>
      <c r="AA911" s="238" t="s">
        <v>2774</v>
      </c>
      <c r="AB911" s="21" t="s">
        <v>2</v>
      </c>
      <c r="AH911" s="63">
        <v>1</v>
      </c>
      <c r="AO911" s="10" t="s">
        <v>3</v>
      </c>
      <c r="AP911" s="297" t="s">
        <v>2777</v>
      </c>
      <c r="AQ911" s="198"/>
      <c r="AR911" s="222">
        <v>6285.510000000002</v>
      </c>
      <c r="AS911" s="222">
        <f>AS909-AQ910</f>
        <v>28975.339</v>
      </c>
      <c r="AT911" s="222" t="s">
        <v>2778</v>
      </c>
      <c r="AU911" s="222" t="s">
        <v>2779</v>
      </c>
      <c r="AV911" s="132"/>
      <c r="AW911" s="189" t="s">
        <v>30</v>
      </c>
      <c r="AX911" s="191"/>
      <c r="AY911" s="223" t="s">
        <v>29</v>
      </c>
      <c r="AZ911" s="223" t="s">
        <v>511</v>
      </c>
      <c r="BA911" s="191"/>
      <c r="BB911" s="192"/>
      <c r="BC911" s="188"/>
      <c r="BD911" s="188"/>
      <c r="BE911" s="142">
        <v>3.8</v>
      </c>
      <c r="BF911" s="171"/>
      <c r="BG911" s="56">
        <v>-20</v>
      </c>
      <c r="BH911" s="57"/>
      <c r="BI911" s="170"/>
      <c r="BJ911" s="169"/>
      <c r="BK911" s="181"/>
      <c r="BL911" s="36">
        <f>VLOOKUP($AP911,'[1]V1 V2'!$B$5:$BW$1894,74,0)</f>
        <v>0</v>
      </c>
      <c r="BM911" s="36" t="str">
        <f>IF('[1]V1 V2'!X910="","",'[1]V1 V2'!X910)</f>
        <v/>
      </c>
    </row>
    <row r="912" spans="1:65" ht="16" thickBot="1" x14ac:dyDescent="0.4">
      <c r="A912">
        <v>1</v>
      </c>
      <c r="B912" s="396"/>
      <c r="C912" s="397"/>
      <c r="D912" s="342"/>
      <c r="E912" s="36"/>
      <c r="F912" s="168"/>
      <c r="G912" s="169"/>
      <c r="H912" s="170"/>
      <c r="I912" s="57"/>
      <c r="J912" s="56"/>
      <c r="K912" s="171"/>
      <c r="L912" s="142"/>
      <c r="M912" s="188"/>
      <c r="N912" s="189"/>
      <c r="O912" s="190"/>
      <c r="P912" s="191"/>
      <c r="Q912" s="223"/>
      <c r="R912" s="223"/>
      <c r="S912" s="191"/>
      <c r="T912" s="189"/>
      <c r="U912" s="132"/>
      <c r="V912" s="222" t="s">
        <v>89</v>
      </c>
      <c r="W912" s="222" t="s">
        <v>89</v>
      </c>
      <c r="X912" s="226"/>
      <c r="Y912" s="222"/>
      <c r="Z912" s="198">
        <v>12</v>
      </c>
      <c r="AA912" s="398"/>
      <c r="AB912" s="21" t="s">
        <v>2</v>
      </c>
      <c r="AH912" s="63">
        <v>1</v>
      </c>
      <c r="AO912" s="10" t="s">
        <v>3</v>
      </c>
      <c r="AP912" s="401"/>
      <c r="AQ912" s="198">
        <v>12</v>
      </c>
      <c r="AR912" s="222"/>
      <c r="AS912" s="222"/>
      <c r="AT912" s="222" t="s">
        <v>89</v>
      </c>
      <c r="AU912" s="222" t="s">
        <v>89</v>
      </c>
      <c r="AV912" s="132"/>
      <c r="AW912" s="189"/>
      <c r="AX912" s="191"/>
      <c r="AY912" s="223"/>
      <c r="AZ912" s="223"/>
      <c r="BA912" s="191"/>
      <c r="BB912" s="192"/>
      <c r="BC912" s="188"/>
      <c r="BD912" s="188"/>
      <c r="BE912" s="142"/>
      <c r="BF912" s="171"/>
      <c r="BG912" s="56"/>
      <c r="BH912" s="57"/>
      <c r="BI912" s="170"/>
      <c r="BJ912" s="169"/>
      <c r="BK912" s="181"/>
      <c r="BL912" s="36"/>
      <c r="BM912" s="36" t="str">
        <f>IF('[1]V1 V2'!X911="","",'[1]V1 V2'!X911)</f>
        <v/>
      </c>
    </row>
    <row r="913" spans="1:65" ht="16" thickBot="1" x14ac:dyDescent="0.4">
      <c r="A913">
        <v>1</v>
      </c>
      <c r="B913" s="232" t="s">
        <v>2780</v>
      </c>
      <c r="C913" s="233"/>
      <c r="D913" s="234"/>
      <c r="E913" s="36">
        <f>VLOOKUP($B913,'[1]V1 V2'!$B$5:$BW$1894,74,0)</f>
        <v>0</v>
      </c>
      <c r="F913" s="168"/>
      <c r="G913" s="169"/>
      <c r="H913" s="170"/>
      <c r="I913" s="57"/>
      <c r="J913" s="56">
        <v>-12</v>
      </c>
      <c r="K913" s="171"/>
      <c r="L913" s="142">
        <v>3.8</v>
      </c>
      <c r="M913" s="188"/>
      <c r="N913" s="189"/>
      <c r="O913" s="190"/>
      <c r="P913" s="191"/>
      <c r="Q913" s="223" t="s">
        <v>511</v>
      </c>
      <c r="R913" s="223" t="s">
        <v>29</v>
      </c>
      <c r="S913" s="191"/>
      <c r="T913" s="189" t="s">
        <v>30</v>
      </c>
      <c r="U913" s="132"/>
      <c r="V913" s="222" t="s">
        <v>2781</v>
      </c>
      <c r="W913" s="222" t="s">
        <v>2782</v>
      </c>
      <c r="X913" s="222">
        <v>28501.119000000013</v>
      </c>
      <c r="Y913" s="222">
        <v>6301.7099999999991</v>
      </c>
      <c r="Z913" s="198"/>
      <c r="AA913" s="238" t="s">
        <v>2780</v>
      </c>
      <c r="AB913" s="21" t="s">
        <v>2</v>
      </c>
      <c r="AH913" s="63">
        <v>1</v>
      </c>
      <c r="AO913" s="10" t="s">
        <v>3</v>
      </c>
      <c r="AP913" s="297" t="s">
        <v>2783</v>
      </c>
      <c r="AQ913" s="198"/>
      <c r="AR913" s="222">
        <v>6297.510000000002</v>
      </c>
      <c r="AS913" s="222">
        <f>AS911-AQ912</f>
        <v>28963.339</v>
      </c>
      <c r="AT913" s="222" t="s">
        <v>2784</v>
      </c>
      <c r="AU913" s="222" t="s">
        <v>2785</v>
      </c>
      <c r="AV913" s="132"/>
      <c r="AW913" s="189" t="s">
        <v>30</v>
      </c>
      <c r="AX913" s="191"/>
      <c r="AY913" s="223" t="s">
        <v>29</v>
      </c>
      <c r="AZ913" s="223" t="s">
        <v>511</v>
      </c>
      <c r="BA913" s="191"/>
      <c r="BB913" s="192"/>
      <c r="BC913" s="188"/>
      <c r="BD913" s="188"/>
      <c r="BE913" s="142">
        <v>3.8</v>
      </c>
      <c r="BF913" s="171"/>
      <c r="BG913" s="56">
        <v>-12</v>
      </c>
      <c r="BH913" s="57"/>
      <c r="BI913" s="170"/>
      <c r="BJ913" s="169"/>
      <c r="BK913" s="181"/>
      <c r="BL913" s="36">
        <f>VLOOKUP($AP913,'[1]V1 V2'!$B$5:$BW$1894,74,0)</f>
        <v>0</v>
      </c>
      <c r="BM913" s="36" t="str">
        <f>IF('[1]V1 V2'!X912="","",'[1]V1 V2'!X912)</f>
        <v/>
      </c>
    </row>
    <row r="914" spans="1:65" ht="16" thickBot="1" x14ac:dyDescent="0.4">
      <c r="A914">
        <v>1</v>
      </c>
      <c r="B914" s="396"/>
      <c r="C914" s="397"/>
      <c r="D914" s="342"/>
      <c r="E914" s="36"/>
      <c r="F914" s="168"/>
      <c r="G914" s="169"/>
      <c r="H914" s="170"/>
      <c r="I914" s="57"/>
      <c r="J914" s="56"/>
      <c r="K914" s="171"/>
      <c r="L914" s="142"/>
      <c r="M914" s="188"/>
      <c r="N914" s="189"/>
      <c r="O914" s="190"/>
      <c r="P914" s="191"/>
      <c r="Q914" s="223"/>
      <c r="R914" s="223"/>
      <c r="S914" s="191"/>
      <c r="T914" s="189"/>
      <c r="U914" s="132"/>
      <c r="V914" s="222" t="s">
        <v>89</v>
      </c>
      <c r="W914" s="222" t="s">
        <v>89</v>
      </c>
      <c r="X914" s="226"/>
      <c r="Y914" s="222"/>
      <c r="Z914" s="198">
        <v>12</v>
      </c>
      <c r="AA914" s="398"/>
      <c r="AB914" s="21" t="s">
        <v>2</v>
      </c>
      <c r="AH914" s="63">
        <v>1</v>
      </c>
      <c r="AO914" s="10" t="s">
        <v>3</v>
      </c>
      <c r="AP914" s="401"/>
      <c r="AQ914" s="198">
        <v>12</v>
      </c>
      <c r="AR914" s="222"/>
      <c r="AS914" s="222"/>
      <c r="AT914" s="222" t="s">
        <v>89</v>
      </c>
      <c r="AU914" s="222" t="s">
        <v>89</v>
      </c>
      <c r="AV914" s="132"/>
      <c r="AW914" s="189"/>
      <c r="AX914" s="191"/>
      <c r="AY914" s="223"/>
      <c r="AZ914" s="223"/>
      <c r="BA914" s="191"/>
      <c r="BB914" s="192"/>
      <c r="BC914" s="188"/>
      <c r="BD914" s="188"/>
      <c r="BE914" s="142"/>
      <c r="BF914" s="171"/>
      <c r="BG914" s="56"/>
      <c r="BH914" s="57"/>
      <c r="BI914" s="170"/>
      <c r="BJ914" s="169"/>
      <c r="BK914" s="181"/>
      <c r="BL914" s="36"/>
      <c r="BM914" s="36" t="str">
        <f>IF('[1]V1 V2'!X913="","",'[1]V1 V2'!X913)</f>
        <v/>
      </c>
    </row>
    <row r="915" spans="1:65" ht="16" thickBot="1" x14ac:dyDescent="0.4">
      <c r="A915">
        <v>1</v>
      </c>
      <c r="B915" s="232" t="s">
        <v>2786</v>
      </c>
      <c r="C915" s="233"/>
      <c r="D915" s="234"/>
      <c r="E915" s="36">
        <f>VLOOKUP($B915,'[1]V1 V2'!$B$5:$BW$1894,74,0)</f>
        <v>0</v>
      </c>
      <c r="F915" s="168"/>
      <c r="G915" s="169"/>
      <c r="H915" s="170"/>
      <c r="I915" s="57"/>
      <c r="J915" s="56">
        <v>-4</v>
      </c>
      <c r="K915" s="171"/>
      <c r="L915" s="142">
        <v>3.8</v>
      </c>
      <c r="M915" s="188"/>
      <c r="N915" s="189"/>
      <c r="O915" s="190"/>
      <c r="P915" s="191"/>
      <c r="Q915" s="223" t="s">
        <v>511</v>
      </c>
      <c r="R915" s="223" t="s">
        <v>29</v>
      </c>
      <c r="S915" s="191"/>
      <c r="T915" s="189" t="s">
        <v>30</v>
      </c>
      <c r="U915" s="132"/>
      <c r="V915" s="222" t="s">
        <v>2787</v>
      </c>
      <c r="W915" s="222" t="s">
        <v>2788</v>
      </c>
      <c r="X915" s="222">
        <v>28489.119000000013</v>
      </c>
      <c r="Y915" s="222">
        <v>6313.7099999999991</v>
      </c>
      <c r="Z915" s="198"/>
      <c r="AA915" s="238" t="s">
        <v>2786</v>
      </c>
      <c r="AB915" s="21" t="s">
        <v>2</v>
      </c>
      <c r="AH915" s="63">
        <v>1</v>
      </c>
      <c r="AO915" s="10" t="s">
        <v>3</v>
      </c>
      <c r="AP915" s="297" t="s">
        <v>2789</v>
      </c>
      <c r="AQ915" s="198"/>
      <c r="AR915" s="222">
        <v>6309.510000000002</v>
      </c>
      <c r="AS915" s="222">
        <f>AS913-AQ914</f>
        <v>28951.339</v>
      </c>
      <c r="AT915" s="222" t="s">
        <v>2790</v>
      </c>
      <c r="AU915" s="222" t="s">
        <v>2791</v>
      </c>
      <c r="AV915" s="132"/>
      <c r="AW915" s="189" t="s">
        <v>30</v>
      </c>
      <c r="AX915" s="191"/>
      <c r="AY915" s="223" t="s">
        <v>29</v>
      </c>
      <c r="AZ915" s="223" t="s">
        <v>511</v>
      </c>
      <c r="BA915" s="191"/>
      <c r="BB915" s="192"/>
      <c r="BC915" s="188"/>
      <c r="BD915" s="188"/>
      <c r="BE915" s="142">
        <v>3.8</v>
      </c>
      <c r="BF915" s="171"/>
      <c r="BG915" s="56">
        <v>-4</v>
      </c>
      <c r="BH915" s="57"/>
      <c r="BI915" s="170"/>
      <c r="BJ915" s="169"/>
      <c r="BK915" s="181"/>
      <c r="BL915" s="36">
        <f>VLOOKUP($AP915,'[1]V1 V2'!$B$5:$BW$1894,74,0)</f>
        <v>0</v>
      </c>
      <c r="BM915" s="36" t="str">
        <f>IF('[1]V1 V2'!X914="","",'[1]V1 V2'!X914)</f>
        <v/>
      </c>
    </row>
    <row r="916" spans="1:65" ht="16" thickBot="1" x14ac:dyDescent="0.4">
      <c r="A916">
        <v>1</v>
      </c>
      <c r="B916" s="396"/>
      <c r="C916" s="397"/>
      <c r="D916" s="342"/>
      <c r="E916" s="36"/>
      <c r="F916" s="168"/>
      <c r="G916" s="169"/>
      <c r="H916" s="170"/>
      <c r="I916" s="57"/>
      <c r="J916" s="56"/>
      <c r="K916" s="171"/>
      <c r="L916" s="142"/>
      <c r="M916" s="188"/>
      <c r="N916" s="189"/>
      <c r="O916" s="190"/>
      <c r="P916" s="191"/>
      <c r="Q916" s="223"/>
      <c r="R916" s="223"/>
      <c r="S916" s="191"/>
      <c r="T916" s="189"/>
      <c r="U916" s="132"/>
      <c r="V916" s="222" t="s">
        <v>89</v>
      </c>
      <c r="W916" s="222" t="s">
        <v>89</v>
      </c>
      <c r="X916" s="226"/>
      <c r="Y916" s="222"/>
      <c r="Z916" s="198">
        <v>12</v>
      </c>
      <c r="AA916" s="398"/>
      <c r="AB916" s="21" t="s">
        <v>2</v>
      </c>
      <c r="AH916" s="63">
        <v>1</v>
      </c>
      <c r="AO916" s="10" t="s">
        <v>3</v>
      </c>
      <c r="AP916" s="401"/>
      <c r="AQ916" s="198">
        <v>12</v>
      </c>
      <c r="AR916" s="222"/>
      <c r="AS916" s="222"/>
      <c r="AT916" s="222" t="s">
        <v>89</v>
      </c>
      <c r="AU916" s="222" t="s">
        <v>89</v>
      </c>
      <c r="AV916" s="132"/>
      <c r="AW916" s="189"/>
      <c r="AX916" s="191"/>
      <c r="AY916" s="223"/>
      <c r="AZ916" s="223"/>
      <c r="BA916" s="191"/>
      <c r="BB916" s="192"/>
      <c r="BC916" s="188"/>
      <c r="BD916" s="188"/>
      <c r="BE916" s="142"/>
      <c r="BF916" s="171"/>
      <c r="BG916" s="56"/>
      <c r="BH916" s="57"/>
      <c r="BI916" s="170"/>
      <c r="BJ916" s="169"/>
      <c r="BK916" s="181"/>
      <c r="BL916" s="36"/>
      <c r="BM916" s="36" t="str">
        <f>IF('[1]V1 V2'!X915="","",'[1]V1 V2'!X915)</f>
        <v/>
      </c>
    </row>
    <row r="917" spans="1:65" ht="16" thickBot="1" x14ac:dyDescent="0.4">
      <c r="A917">
        <v>1</v>
      </c>
      <c r="B917" s="232" t="s">
        <v>2792</v>
      </c>
      <c r="C917" s="233"/>
      <c r="D917" s="234"/>
      <c r="E917" s="36">
        <f>VLOOKUP($B917,'[1]V1 V2'!$B$5:$BW$1894,74,0)</f>
        <v>0</v>
      </c>
      <c r="F917" s="168"/>
      <c r="G917" s="169"/>
      <c r="H917" s="170"/>
      <c r="I917" s="57"/>
      <c r="J917" s="56" t="s">
        <v>113</v>
      </c>
      <c r="K917" s="171"/>
      <c r="L917" s="142">
        <v>3.8</v>
      </c>
      <c r="M917" s="188"/>
      <c r="N917" s="189"/>
      <c r="O917" s="190"/>
      <c r="P917" s="191"/>
      <c r="Q917" s="223" t="s">
        <v>100</v>
      </c>
      <c r="R917" s="223" t="s">
        <v>29</v>
      </c>
      <c r="S917" s="191"/>
      <c r="T917" s="189" t="s">
        <v>30</v>
      </c>
      <c r="U917" s="132"/>
      <c r="V917" s="222" t="s">
        <v>2793</v>
      </c>
      <c r="W917" s="222" t="s">
        <v>2794</v>
      </c>
      <c r="X917" s="222">
        <v>28477.119000000013</v>
      </c>
      <c r="Y917" s="222">
        <v>6325.7099999999991</v>
      </c>
      <c r="Z917" s="198"/>
      <c r="AA917" s="238" t="s">
        <v>2792</v>
      </c>
      <c r="AB917" s="21" t="s">
        <v>2</v>
      </c>
      <c r="AH917" s="63">
        <v>1</v>
      </c>
      <c r="AO917" s="10" t="s">
        <v>3</v>
      </c>
      <c r="AP917" s="297" t="s">
        <v>2795</v>
      </c>
      <c r="AQ917" s="198"/>
      <c r="AR917" s="222">
        <v>6321.510000000002</v>
      </c>
      <c r="AS917" s="222">
        <f>AS915-AQ916</f>
        <v>28939.339</v>
      </c>
      <c r="AT917" s="222" t="s">
        <v>2796</v>
      </c>
      <c r="AU917" s="222" t="s">
        <v>2797</v>
      </c>
      <c r="AV917" s="132"/>
      <c r="AW917" s="189" t="s">
        <v>30</v>
      </c>
      <c r="AX917" s="191"/>
      <c r="AY917" s="223" t="s">
        <v>29</v>
      </c>
      <c r="AZ917" s="223" t="s">
        <v>100</v>
      </c>
      <c r="BA917" s="191"/>
      <c r="BB917" s="192"/>
      <c r="BC917" s="188"/>
      <c r="BD917" s="188"/>
      <c r="BE917" s="142">
        <v>3.8</v>
      </c>
      <c r="BF917" s="171"/>
      <c r="BG917" s="183" t="s">
        <v>113</v>
      </c>
      <c r="BH917" s="57"/>
      <c r="BI917" s="170"/>
      <c r="BJ917" s="169"/>
      <c r="BK917" s="181"/>
      <c r="BL917" s="36">
        <f>VLOOKUP($AP917,'[1]V1 V2'!$B$5:$BW$1894,74,0)</f>
        <v>0</v>
      </c>
      <c r="BM917" s="36" t="str">
        <f>IF('[1]V1 V2'!X916="","",'[1]V1 V2'!X916)</f>
        <v/>
      </c>
    </row>
    <row r="918" spans="1:65" ht="16" thickBot="1" x14ac:dyDescent="0.4">
      <c r="A918">
        <v>1</v>
      </c>
      <c r="B918" s="241"/>
      <c r="C918" s="242"/>
      <c r="D918" s="234"/>
      <c r="E918" s="36"/>
      <c r="F918" s="168"/>
      <c r="G918" s="169"/>
      <c r="H918" s="170"/>
      <c r="I918" s="57"/>
      <c r="J918" s="56"/>
      <c r="K918" s="171"/>
      <c r="L918" s="142"/>
      <c r="M918" s="188"/>
      <c r="N918" s="189"/>
      <c r="O918" s="190"/>
      <c r="P918" s="191"/>
      <c r="Q918" s="223"/>
      <c r="R918" s="223"/>
      <c r="S918" s="191"/>
      <c r="T918" s="189"/>
      <c r="U918" s="132"/>
      <c r="V918" s="222"/>
      <c r="W918" s="222"/>
      <c r="X918" s="226"/>
      <c r="Y918" s="222"/>
      <c r="Z918" s="198">
        <v>12</v>
      </c>
      <c r="AA918" s="239"/>
      <c r="AB918" s="21" t="s">
        <v>2</v>
      </c>
      <c r="AH918" s="63">
        <v>1</v>
      </c>
      <c r="AO918" s="10" t="s">
        <v>3</v>
      </c>
      <c r="AP918" s="380"/>
      <c r="AQ918" s="198">
        <v>12</v>
      </c>
      <c r="AR918" s="222"/>
      <c r="AS918" s="222"/>
      <c r="AT918" s="222"/>
      <c r="AU918" s="222"/>
      <c r="AV918" s="132"/>
      <c r="AW918" s="189"/>
      <c r="AX918" s="191"/>
      <c r="AY918" s="223"/>
      <c r="AZ918" s="223"/>
      <c r="BA918" s="191"/>
      <c r="BB918" s="192"/>
      <c r="BC918" s="188"/>
      <c r="BD918" s="188"/>
      <c r="BE918" s="142"/>
      <c r="BF918" s="171"/>
      <c r="BG918" s="56"/>
      <c r="BH918" s="57"/>
      <c r="BI918" s="170"/>
      <c r="BJ918" s="169"/>
      <c r="BK918" s="181"/>
      <c r="BL918" s="36"/>
      <c r="BM918" s="36" t="str">
        <f>IF('[1]V1 V2'!X917="","",'[1]V1 V2'!X917)</f>
        <v/>
      </c>
    </row>
    <row r="919" spans="1:65" ht="16" thickBot="1" x14ac:dyDescent="0.4">
      <c r="A919">
        <v>1</v>
      </c>
      <c r="B919" s="232" t="s">
        <v>2798</v>
      </c>
      <c r="C919" s="233"/>
      <c r="D919" s="234"/>
      <c r="E919" s="36">
        <f>VLOOKUP($B919,'[1]V1 V2'!$B$5:$BW$1894,74,0)</f>
        <v>0</v>
      </c>
      <c r="F919" s="168"/>
      <c r="G919" s="169"/>
      <c r="H919" s="170"/>
      <c r="I919" s="57"/>
      <c r="J919" s="183" t="s">
        <v>120</v>
      </c>
      <c r="K919" s="171"/>
      <c r="L919" s="142">
        <v>3.8</v>
      </c>
      <c r="M919" s="188"/>
      <c r="N919" s="189"/>
      <c r="O919" s="190"/>
      <c r="P919" s="191"/>
      <c r="Q919" s="223" t="s">
        <v>100</v>
      </c>
      <c r="R919" s="223" t="s">
        <v>29</v>
      </c>
      <c r="S919" s="191"/>
      <c r="T919" s="189" t="s">
        <v>30</v>
      </c>
      <c r="U919" s="132"/>
      <c r="V919" s="226" t="s">
        <v>2799</v>
      </c>
      <c r="W919" s="226" t="s">
        <v>2800</v>
      </c>
      <c r="X919" s="222">
        <v>28465.119000000013</v>
      </c>
      <c r="Y919" s="222">
        <v>6337.7099999999991</v>
      </c>
      <c r="Z919" s="198"/>
      <c r="AA919" s="238" t="s">
        <v>2798</v>
      </c>
      <c r="AB919" s="21" t="s">
        <v>2</v>
      </c>
      <c r="AH919" s="63">
        <v>1</v>
      </c>
      <c r="AO919" s="10" t="s">
        <v>3</v>
      </c>
      <c r="AP919" s="297" t="s">
        <v>2801</v>
      </c>
      <c r="AQ919" s="198"/>
      <c r="AR919" s="222">
        <v>6333.510000000002</v>
      </c>
      <c r="AS919" s="222">
        <f>AS917-AQ918</f>
        <v>28927.339</v>
      </c>
      <c r="AT919" s="226" t="s">
        <v>2802</v>
      </c>
      <c r="AU919" s="226" t="s">
        <v>2803</v>
      </c>
      <c r="AV919" s="132"/>
      <c r="AW919" s="189" t="s">
        <v>30</v>
      </c>
      <c r="AX919" s="191"/>
      <c r="AY919" s="223" t="s">
        <v>29</v>
      </c>
      <c r="AZ919" s="223" t="s">
        <v>100</v>
      </c>
      <c r="BA919" s="191"/>
      <c r="BB919" s="192"/>
      <c r="BC919" s="188"/>
      <c r="BD919" s="188"/>
      <c r="BE919" s="142">
        <v>3.8</v>
      </c>
      <c r="BF919" s="171"/>
      <c r="BG919" s="183" t="s">
        <v>120</v>
      </c>
      <c r="BH919" s="57"/>
      <c r="BI919" s="170"/>
      <c r="BJ919" s="169"/>
      <c r="BK919" s="181"/>
      <c r="BL919" s="36">
        <f>VLOOKUP($AP919,'[1]V1 V2'!$B$5:$BW$1894,74,0)</f>
        <v>0</v>
      </c>
      <c r="BM919" s="36" t="str">
        <f>IF('[1]V1 V2'!X918="","",'[1]V1 V2'!X918)</f>
        <v/>
      </c>
    </row>
    <row r="920" spans="1:65" ht="16" thickBot="1" x14ac:dyDescent="0.4">
      <c r="A920">
        <v>1</v>
      </c>
      <c r="B920" s="396"/>
      <c r="C920" s="397"/>
      <c r="D920" s="342"/>
      <c r="E920" s="36"/>
      <c r="F920" s="168"/>
      <c r="G920" s="169"/>
      <c r="H920" s="170"/>
      <c r="I920" s="57"/>
      <c r="J920" s="56"/>
      <c r="K920" s="171"/>
      <c r="L920" s="142"/>
      <c r="M920" s="188"/>
      <c r="N920" s="189"/>
      <c r="O920" s="190"/>
      <c r="P920" s="191"/>
      <c r="Q920" s="223"/>
      <c r="R920" s="223"/>
      <c r="S920" s="191"/>
      <c r="T920" s="189"/>
      <c r="U920" s="132"/>
      <c r="V920" s="226"/>
      <c r="W920" s="226"/>
      <c r="X920" s="226"/>
      <c r="Y920" s="222"/>
      <c r="Z920" s="198">
        <v>8</v>
      </c>
      <c r="AA920" s="398"/>
      <c r="AB920" s="21" t="s">
        <v>2</v>
      </c>
      <c r="AH920" s="63">
        <v>1</v>
      </c>
      <c r="AO920" s="10" t="s">
        <v>3</v>
      </c>
      <c r="AP920" s="401"/>
      <c r="AQ920" s="198">
        <v>8</v>
      </c>
      <c r="AR920" s="222"/>
      <c r="AS920" s="222"/>
      <c r="AT920" s="226"/>
      <c r="AU920" s="226"/>
      <c r="AV920" s="132"/>
      <c r="AW920" s="189"/>
      <c r="AX920" s="191"/>
      <c r="AY920" s="223"/>
      <c r="AZ920" s="223"/>
      <c r="BA920" s="191"/>
      <c r="BB920" s="192"/>
      <c r="BC920" s="188"/>
      <c r="BD920" s="188"/>
      <c r="BE920" s="142"/>
      <c r="BF920" s="171"/>
      <c r="BG920" s="56"/>
      <c r="BH920" s="57"/>
      <c r="BI920" s="170"/>
      <c r="BJ920" s="169"/>
      <c r="BK920" s="181"/>
      <c r="BL920" s="36"/>
      <c r="BM920" s="36" t="str">
        <f>IF('[1]V1 V2'!X919="","",'[1]V1 V2'!X919)</f>
        <v/>
      </c>
    </row>
    <row r="921" spans="1:65" ht="16" thickBot="1" x14ac:dyDescent="0.4">
      <c r="A921">
        <v>1</v>
      </c>
      <c r="B921" s="232" t="s">
        <v>2804</v>
      </c>
      <c r="C921" s="233"/>
      <c r="D921" s="234"/>
      <c r="E921" s="36">
        <f>VLOOKUP($B921,'[1]V1 V2'!$B$5:$BW$1894,74,0)</f>
        <v>0</v>
      </c>
      <c r="F921" s="168"/>
      <c r="G921" s="169"/>
      <c r="H921" s="170"/>
      <c r="I921" s="57"/>
      <c r="J921" s="183" t="s">
        <v>127</v>
      </c>
      <c r="K921" s="171"/>
      <c r="L921" s="142">
        <v>3.8</v>
      </c>
      <c r="M921" s="188"/>
      <c r="N921" s="189"/>
      <c r="O921" s="190"/>
      <c r="P921" s="191"/>
      <c r="Q921" s="223" t="s">
        <v>100</v>
      </c>
      <c r="R921" s="223" t="s">
        <v>29</v>
      </c>
      <c r="S921" s="191"/>
      <c r="T921" s="189" t="s">
        <v>30</v>
      </c>
      <c r="U921" s="132"/>
      <c r="V921" s="226" t="s">
        <v>2805</v>
      </c>
      <c r="W921" s="226" t="s">
        <v>2806</v>
      </c>
      <c r="X921" s="222">
        <v>28457.119000000013</v>
      </c>
      <c r="Y921" s="222">
        <v>6345.7099999999991</v>
      </c>
      <c r="Z921" s="198"/>
      <c r="AA921" s="238" t="s">
        <v>2804</v>
      </c>
      <c r="AB921" s="21" t="s">
        <v>2</v>
      </c>
      <c r="AC921" s="112"/>
      <c r="AD921" s="113"/>
      <c r="AE921" s="113"/>
      <c r="AF921" s="113"/>
      <c r="AG921" s="113"/>
      <c r="AH921" s="166">
        <f>Y920</f>
        <v>0</v>
      </c>
      <c r="AI921" s="113"/>
      <c r="AJ921" s="113"/>
      <c r="AK921" s="113"/>
      <c r="AL921" s="113"/>
      <c r="AM921" s="113"/>
      <c r="AN921" s="115"/>
      <c r="AO921" s="10" t="s">
        <v>3</v>
      </c>
      <c r="AP921" s="297" t="s">
        <v>2807</v>
      </c>
      <c r="AQ921" s="198"/>
      <c r="AR921" s="222">
        <v>6341.510000000002</v>
      </c>
      <c r="AS921" s="222">
        <f>AS919-AQ920</f>
        <v>28919.339</v>
      </c>
      <c r="AT921" s="226" t="s">
        <v>2808</v>
      </c>
      <c r="AU921" s="226" t="s">
        <v>2809</v>
      </c>
      <c r="AV921" s="132"/>
      <c r="AW921" s="189" t="s">
        <v>30</v>
      </c>
      <c r="AX921" s="191"/>
      <c r="AY921" s="223" t="s">
        <v>29</v>
      </c>
      <c r="AZ921" s="223" t="s">
        <v>100</v>
      </c>
      <c r="BA921" s="191"/>
      <c r="BB921" s="192"/>
      <c r="BC921" s="188"/>
      <c r="BD921" s="188"/>
      <c r="BE921" s="142">
        <v>3.8</v>
      </c>
      <c r="BF921" s="171"/>
      <c r="BG921" s="183" t="s">
        <v>127</v>
      </c>
      <c r="BH921" s="57"/>
      <c r="BI921" s="170"/>
      <c r="BJ921" s="169"/>
      <c r="BK921" s="181"/>
      <c r="BL921" s="36">
        <f>VLOOKUP($AP921,'[1]V1 V2'!$B$5:$BW$1894,74,0)</f>
        <v>0</v>
      </c>
      <c r="BM921" s="36" t="str">
        <f>IF('[1]V1 V2'!X920="","",'[1]V1 V2'!X920)</f>
        <v/>
      </c>
    </row>
    <row r="922" spans="1:65" ht="16" thickBot="1" x14ac:dyDescent="0.4">
      <c r="A922">
        <v>1</v>
      </c>
      <c r="B922" s="241"/>
      <c r="C922" s="242"/>
      <c r="D922" s="234"/>
      <c r="E922" s="36"/>
      <c r="F922" s="168"/>
      <c r="G922" s="169"/>
      <c r="H922" s="170"/>
      <c r="I922" s="57"/>
      <c r="J922" s="56"/>
      <c r="K922" s="171"/>
      <c r="L922" s="142"/>
      <c r="M922" s="188"/>
      <c r="N922" s="189"/>
      <c r="O922" s="190"/>
      <c r="P922" s="191"/>
      <c r="Q922" s="223"/>
      <c r="R922" s="223"/>
      <c r="S922" s="191"/>
      <c r="T922" s="189"/>
      <c r="U922" s="132"/>
      <c r="V922" s="226"/>
      <c r="W922" s="226"/>
      <c r="X922" s="226"/>
      <c r="Y922" s="222"/>
      <c r="Z922" s="198">
        <v>8</v>
      </c>
      <c r="AA922" s="239"/>
      <c r="AB922" s="21" t="s">
        <v>2</v>
      </c>
      <c r="AC922" s="120"/>
      <c r="AH922" s="63">
        <v>1</v>
      </c>
      <c r="AN922" s="121"/>
      <c r="AO922" s="10" t="s">
        <v>3</v>
      </c>
      <c r="AP922" s="380"/>
      <c r="AQ922" s="198">
        <v>8</v>
      </c>
      <c r="AR922" s="222"/>
      <c r="AS922" s="222"/>
      <c r="AT922" s="226"/>
      <c r="AU922" s="226"/>
      <c r="AV922" s="132">
        <v>-39791.19</v>
      </c>
      <c r="AW922" s="189"/>
      <c r="AX922" s="191"/>
      <c r="AY922" s="223"/>
      <c r="AZ922" s="223"/>
      <c r="BA922" s="191"/>
      <c r="BB922" s="192"/>
      <c r="BC922" s="188"/>
      <c r="BD922" s="188"/>
      <c r="BE922" s="142"/>
      <c r="BF922" s="171"/>
      <c r="BG922" s="56"/>
      <c r="BH922" s="57"/>
      <c r="BI922" s="170"/>
      <c r="BJ922" s="169"/>
      <c r="BK922" s="181"/>
      <c r="BL922" s="36"/>
      <c r="BM922" s="36" t="str">
        <f>IF('[1]V1 V2'!X921="","",'[1]V1 V2'!X921)</f>
        <v/>
      </c>
    </row>
    <row r="923" spans="1:65" ht="16" thickBot="1" x14ac:dyDescent="0.4">
      <c r="A923">
        <v>1</v>
      </c>
      <c r="B923" s="304" t="s">
        <v>2810</v>
      </c>
      <c r="C923" s="305"/>
      <c r="D923" s="306"/>
      <c r="E923" s="36">
        <f>VLOOKUP($B923,'[1]V1 V2'!$B$5:$BW$1894,74,0)</f>
        <v>0</v>
      </c>
      <c r="F923" s="168"/>
      <c r="G923" s="169"/>
      <c r="H923" s="170"/>
      <c r="I923" s="57"/>
      <c r="J923" s="183" t="s">
        <v>120</v>
      </c>
      <c r="K923" s="171"/>
      <c r="L923" s="142">
        <v>3.8</v>
      </c>
      <c r="M923" s="172"/>
      <c r="N923" s="173"/>
      <c r="O923" s="174"/>
      <c r="P923" s="175"/>
      <c r="Q923" s="182" t="s">
        <v>100</v>
      </c>
      <c r="R923" s="182" t="s">
        <v>29</v>
      </c>
      <c r="S923" s="175"/>
      <c r="T923" s="173" t="s">
        <v>30</v>
      </c>
      <c r="U923" s="62"/>
      <c r="V923" s="230" t="s">
        <v>2811</v>
      </c>
      <c r="W923" s="230" t="s">
        <v>2812</v>
      </c>
      <c r="X923" s="177">
        <v>28449.119000000013</v>
      </c>
      <c r="Y923" s="177">
        <v>6353.7099999999991</v>
      </c>
      <c r="Z923" s="178"/>
      <c r="AA923" s="297" t="s">
        <v>2810</v>
      </c>
      <c r="AB923" s="21" t="s">
        <v>2</v>
      </c>
      <c r="AC923" s="120"/>
      <c r="AH923" s="63">
        <v>1</v>
      </c>
      <c r="AN923" s="121"/>
      <c r="AO923" s="10" t="s">
        <v>3</v>
      </c>
      <c r="AP923" s="297" t="s">
        <v>2813</v>
      </c>
      <c r="AQ923" s="198"/>
      <c r="AR923" s="222">
        <v>6349.510000000002</v>
      </c>
      <c r="AS923" s="222">
        <f>AS921-AQ922</f>
        <v>28911.339</v>
      </c>
      <c r="AT923" s="417" t="s">
        <v>2814</v>
      </c>
      <c r="AU923" s="417" t="s">
        <v>2815</v>
      </c>
      <c r="AV923" s="132"/>
      <c r="AW923" s="189" t="s">
        <v>30</v>
      </c>
      <c r="AX923" s="191"/>
      <c r="AY923" s="223" t="s">
        <v>29</v>
      </c>
      <c r="AZ923" s="223" t="s">
        <v>100</v>
      </c>
      <c r="BA923" s="191"/>
      <c r="BB923" s="192"/>
      <c r="BC923" s="188"/>
      <c r="BD923" s="188"/>
      <c r="BE923" s="142">
        <v>3.8</v>
      </c>
      <c r="BF923" s="171"/>
      <c r="BG923" s="183" t="s">
        <v>127</v>
      </c>
      <c r="BH923" s="57"/>
      <c r="BI923" s="170"/>
      <c r="BJ923" s="169"/>
      <c r="BK923" s="181"/>
      <c r="BL923" s="36">
        <f>VLOOKUP($AP923,'[1]V1 V2'!$B$5:$BW$1894,74,0)</f>
        <v>0</v>
      </c>
      <c r="BM923" s="36" t="str">
        <f>IF('[1]V1 V2'!X922="","",'[1]V1 V2'!X922)</f>
        <v/>
      </c>
    </row>
    <row r="924" spans="1:65" ht="28.5" thickBot="1" x14ac:dyDescent="0.4">
      <c r="A924">
        <v>1</v>
      </c>
      <c r="B924" s="399" t="s">
        <v>2816</v>
      </c>
      <c r="C924" s="400"/>
      <c r="D924" s="334"/>
      <c r="E924" s="36">
        <f>VLOOKUP($B924,'[1]V1 V2'!$B$5:$BW$1894,74,0)</f>
        <v>0</v>
      </c>
      <c r="F924" s="168"/>
      <c r="G924" s="169"/>
      <c r="H924" s="170"/>
      <c r="I924" s="168"/>
      <c r="J924" s="418"/>
      <c r="K924" s="171"/>
      <c r="L924" s="142"/>
      <c r="M924" s="172"/>
      <c r="N924" s="173"/>
      <c r="O924" s="174"/>
      <c r="P924" s="175"/>
      <c r="Q924" s="182"/>
      <c r="R924" s="182"/>
      <c r="S924" s="175"/>
      <c r="T924" s="173"/>
      <c r="U924" s="62"/>
      <c r="V924" s="177" t="s">
        <v>89</v>
      </c>
      <c r="W924" s="177" t="s">
        <v>89</v>
      </c>
      <c r="X924" s="230"/>
      <c r="Y924" s="177"/>
      <c r="Z924" s="178">
        <v>7.2</v>
      </c>
      <c r="AA924" s="401" t="s">
        <v>2816</v>
      </c>
      <c r="AB924" s="21" t="s">
        <v>2</v>
      </c>
      <c r="AC924" s="120"/>
      <c r="AH924" s="63">
        <v>1</v>
      </c>
      <c r="AN924" s="121"/>
      <c r="AO924" s="10" t="s">
        <v>3</v>
      </c>
      <c r="AP924" s="401" t="s">
        <v>2816</v>
      </c>
      <c r="AQ924" s="198">
        <v>8.1999999999999993</v>
      </c>
      <c r="AR924" s="222"/>
      <c r="AS924" s="222"/>
      <c r="AT924" s="226" t="s">
        <v>89</v>
      </c>
      <c r="AU924" s="226" t="s">
        <v>89</v>
      </c>
      <c r="AV924" s="132"/>
      <c r="AW924" s="189"/>
      <c r="AX924" s="191"/>
      <c r="AY924" s="223"/>
      <c r="AZ924" s="223"/>
      <c r="BA924" s="191"/>
      <c r="BB924" s="192" t="s">
        <v>89</v>
      </c>
      <c r="BC924" s="188"/>
      <c r="BD924" s="188"/>
      <c r="BE924" s="142"/>
      <c r="BF924" s="171"/>
      <c r="BG924" s="56"/>
      <c r="BH924" s="57"/>
      <c r="BI924" s="170"/>
      <c r="BJ924" s="169"/>
      <c r="BK924" s="181"/>
      <c r="BL924" s="36">
        <f>VLOOKUP($AP924,'[1]V1 V2'!$B$5:$BW$1894,74,0)</f>
        <v>0</v>
      </c>
      <c r="BM924" s="36" t="str">
        <f>IF('[1]V1 V2'!X923="","",'[1]V1 V2'!X923)</f>
        <v/>
      </c>
    </row>
    <row r="925" spans="1:65" ht="16" thickBot="1" x14ac:dyDescent="0.4">
      <c r="A925">
        <v>1</v>
      </c>
      <c r="B925" s="304" t="s">
        <v>2817</v>
      </c>
      <c r="C925" s="305"/>
      <c r="D925" s="306"/>
      <c r="E925" s="36">
        <f>VLOOKUP($B925,'[1]V1 V2'!$B$5:$BW$1894,74,0)</f>
        <v>0</v>
      </c>
      <c r="F925" s="168"/>
      <c r="G925" s="169"/>
      <c r="H925" s="170"/>
      <c r="I925" s="136"/>
      <c r="J925" s="225" t="s">
        <v>127</v>
      </c>
      <c r="K925" s="171"/>
      <c r="L925" s="187">
        <v>3.8</v>
      </c>
      <c r="M925" s="172"/>
      <c r="N925" s="173"/>
      <c r="O925" s="192"/>
      <c r="P925" s="191"/>
      <c r="Q925" s="274" t="s">
        <v>2712</v>
      </c>
      <c r="R925" s="223" t="s">
        <v>29</v>
      </c>
      <c r="S925" s="175"/>
      <c r="T925" s="173" t="s">
        <v>30</v>
      </c>
      <c r="U925" s="62">
        <v>-30</v>
      </c>
      <c r="V925" s="177" t="s">
        <v>2818</v>
      </c>
      <c r="W925" s="177" t="s">
        <v>2819</v>
      </c>
      <c r="X925" s="177">
        <v>28441.919000000013</v>
      </c>
      <c r="Y925" s="177">
        <v>6360.8099999999986</v>
      </c>
      <c r="Z925" s="178"/>
      <c r="AA925" s="297" t="s">
        <v>2817</v>
      </c>
      <c r="AB925" s="21" t="s">
        <v>2</v>
      </c>
      <c r="AC925" s="120"/>
      <c r="AH925" s="63">
        <v>1</v>
      </c>
      <c r="AN925" s="121"/>
      <c r="AO925" s="10" t="s">
        <v>3</v>
      </c>
      <c r="AP925" s="238" t="s">
        <v>2820</v>
      </c>
      <c r="AQ925" s="198"/>
      <c r="AR925" s="222">
        <v>6357.7</v>
      </c>
      <c r="AS925" s="222">
        <f>AS923-AQ924</f>
        <v>28903.138999999999</v>
      </c>
      <c r="AT925" s="419" t="s">
        <v>2821</v>
      </c>
      <c r="AU925" s="419" t="s">
        <v>2822</v>
      </c>
      <c r="AV925" s="132">
        <v>-30</v>
      </c>
      <c r="AW925" s="189" t="s">
        <v>30</v>
      </c>
      <c r="AX925" s="191"/>
      <c r="AY925" s="223" t="s">
        <v>29</v>
      </c>
      <c r="AZ925" s="274" t="s">
        <v>2712</v>
      </c>
      <c r="BA925" s="191"/>
      <c r="BB925" s="192"/>
      <c r="BC925" s="188"/>
      <c r="BD925" s="188"/>
      <c r="BE925" s="187">
        <v>3.8</v>
      </c>
      <c r="BF925" s="187"/>
      <c r="BG925" s="225" t="s">
        <v>127</v>
      </c>
      <c r="BH925" s="136"/>
      <c r="BI925" s="186"/>
      <c r="BJ925" s="185"/>
      <c r="BK925" s="193"/>
      <c r="BL925" s="36">
        <f>VLOOKUP($AP925,'[1]V1 V2'!$B$5:$BW$1894,74,0)</f>
        <v>0</v>
      </c>
      <c r="BM925" s="36" t="str">
        <f>IF('[1]V1 V2'!X924="","",'[1]V1 V2'!X924)</f>
        <v/>
      </c>
    </row>
    <row r="926" spans="1:65" ht="16" thickBot="1" x14ac:dyDescent="0.4">
      <c r="A926">
        <v>1</v>
      </c>
      <c r="B926" s="304"/>
      <c r="C926" s="305"/>
      <c r="D926" s="306"/>
      <c r="E926" s="36"/>
      <c r="F926" s="168"/>
      <c r="G926" s="169"/>
      <c r="H926" s="170"/>
      <c r="I926" s="136"/>
      <c r="J926" s="135"/>
      <c r="K926" s="171"/>
      <c r="L926" s="224"/>
      <c r="M926" s="172"/>
      <c r="N926" s="173"/>
      <c r="O926" s="192" t="s">
        <v>89</v>
      </c>
      <c r="P926" s="191"/>
      <c r="Q926" s="223"/>
      <c r="R926" s="223"/>
      <c r="S926" s="175"/>
      <c r="T926" s="173"/>
      <c r="U926" s="62"/>
      <c r="V926" s="177" t="s">
        <v>89</v>
      </c>
      <c r="W926" s="177" t="s">
        <v>89</v>
      </c>
      <c r="X926" s="230"/>
      <c r="Y926" s="222"/>
      <c r="Z926" s="198">
        <v>8.3900000000012369</v>
      </c>
      <c r="AA926" s="297"/>
      <c r="AB926" s="21" t="s">
        <v>2</v>
      </c>
      <c r="AC926" s="120"/>
      <c r="AH926" s="63">
        <v>1</v>
      </c>
      <c r="AN926" s="121"/>
      <c r="AO926" s="10" t="s">
        <v>3</v>
      </c>
      <c r="AP926" s="238"/>
      <c r="AQ926" s="198">
        <v>9.1999999999999993</v>
      </c>
      <c r="AR926" s="222"/>
      <c r="AS926" s="222"/>
      <c r="AT926" s="222" t="s">
        <v>89</v>
      </c>
      <c r="AU926" s="222" t="s">
        <v>89</v>
      </c>
      <c r="AV926" s="132"/>
      <c r="AW926" s="189"/>
      <c r="AX926" s="191"/>
      <c r="AY926" s="223"/>
      <c r="AZ926" s="223"/>
      <c r="BA926" s="191"/>
      <c r="BB926" s="192" t="s">
        <v>89</v>
      </c>
      <c r="BC926" s="188"/>
      <c r="BD926" s="188"/>
      <c r="BE926" s="224"/>
      <c r="BF926" s="187"/>
      <c r="BG926" s="135"/>
      <c r="BH926" s="136"/>
      <c r="BI926" s="186"/>
      <c r="BJ926" s="185"/>
      <c r="BK926" s="193"/>
      <c r="BL926" s="36"/>
      <c r="BM926" s="36" t="str">
        <f>IF('[1]V1 V2'!X925="","",'[1]V1 V2'!X925)</f>
        <v/>
      </c>
    </row>
    <row r="927" spans="1:65" ht="16" thickBot="1" x14ac:dyDescent="0.4">
      <c r="A927">
        <v>1</v>
      </c>
      <c r="B927" s="304" t="s">
        <v>2823</v>
      </c>
      <c r="C927" s="305"/>
      <c r="D927" s="306"/>
      <c r="E927" s="36">
        <f>VLOOKUP($B927,'[1]V1 V2'!$B$5:$BW$1894,74,0)</f>
        <v>0</v>
      </c>
      <c r="F927" s="168"/>
      <c r="G927" s="169"/>
      <c r="H927" s="170"/>
      <c r="I927" s="136"/>
      <c r="J927" s="225" t="s">
        <v>127</v>
      </c>
      <c r="K927" s="171"/>
      <c r="L927" s="187">
        <v>3.8</v>
      </c>
      <c r="M927" s="172"/>
      <c r="N927" s="173"/>
      <c r="O927" s="192"/>
      <c r="P927" s="191"/>
      <c r="Q927" s="274" t="s">
        <v>2712</v>
      </c>
      <c r="R927" s="223" t="s">
        <v>29</v>
      </c>
      <c r="S927" s="175"/>
      <c r="T927" s="173" t="s">
        <v>30</v>
      </c>
      <c r="U927" s="62">
        <v>-30</v>
      </c>
      <c r="V927" s="177" t="s">
        <v>2824</v>
      </c>
      <c r="W927" s="177" t="s">
        <v>2825</v>
      </c>
      <c r="X927" s="177">
        <v>28433.52900000001</v>
      </c>
      <c r="Y927" s="222">
        <v>6369.2</v>
      </c>
      <c r="Z927" s="198"/>
      <c r="AA927" s="297" t="s">
        <v>2823</v>
      </c>
      <c r="AB927" s="21" t="s">
        <v>2</v>
      </c>
      <c r="AC927" s="120"/>
      <c r="AH927" s="52"/>
      <c r="AN927" s="121"/>
      <c r="AO927" s="10" t="s">
        <v>3</v>
      </c>
      <c r="AP927" s="238" t="s">
        <v>2826</v>
      </c>
      <c r="AQ927" s="198"/>
      <c r="AR927" s="222">
        <v>6366.9</v>
      </c>
      <c r="AS927" s="222">
        <f>AS925-AQ926</f>
        <v>28893.938999999998</v>
      </c>
      <c r="AT927" s="419" t="s">
        <v>2827</v>
      </c>
      <c r="AU927" s="419" t="s">
        <v>2828</v>
      </c>
      <c r="AV927" s="132">
        <v>-30</v>
      </c>
      <c r="AW927" s="189" t="s">
        <v>30</v>
      </c>
      <c r="AX927" s="191"/>
      <c r="AY927" s="223" t="s">
        <v>29</v>
      </c>
      <c r="AZ927" s="274" t="s">
        <v>2712</v>
      </c>
      <c r="BA927" s="191"/>
      <c r="BB927" s="192"/>
      <c r="BC927" s="188"/>
      <c r="BD927" s="188"/>
      <c r="BE927" s="187">
        <v>3.8</v>
      </c>
      <c r="BF927" s="187"/>
      <c r="BG927" s="225" t="s">
        <v>127</v>
      </c>
      <c r="BH927" s="136"/>
      <c r="BI927" s="186"/>
      <c r="BJ927" s="185"/>
      <c r="BK927" s="193"/>
      <c r="BL927" s="36">
        <f>VLOOKUP($AP927,'[1]V1 V2'!$B$5:$BW$1894,74,0)</f>
        <v>0</v>
      </c>
      <c r="BM927" s="36" t="str">
        <f>IF('[1]V1 V2'!X926="","",'[1]V1 V2'!X926)</f>
        <v/>
      </c>
    </row>
    <row r="928" spans="1:65" ht="16" thickBot="1" x14ac:dyDescent="0.4">
      <c r="A928">
        <v>1</v>
      </c>
      <c r="B928" s="310"/>
      <c r="C928" s="311"/>
      <c r="D928" s="312"/>
      <c r="E928" s="36"/>
      <c r="F928" s="144"/>
      <c r="G928" s="145" t="s">
        <v>592</v>
      </c>
      <c r="H928" s="98" t="s">
        <v>593</v>
      </c>
      <c r="I928" s="257"/>
      <c r="J928" s="158"/>
      <c r="K928" s="147"/>
      <c r="L928" s="148"/>
      <c r="M928" s="149"/>
      <c r="N928" s="150"/>
      <c r="O928" s="157" t="s">
        <v>89</v>
      </c>
      <c r="P928" s="152"/>
      <c r="Q928" s="153"/>
      <c r="R928" s="153"/>
      <c r="S928" s="152"/>
      <c r="T928" s="150"/>
      <c r="U928" s="80"/>
      <c r="V928" s="154" t="s">
        <v>89</v>
      </c>
      <c r="W928" s="154" t="s">
        <v>89</v>
      </c>
      <c r="X928" s="253"/>
      <c r="Y928" s="154"/>
      <c r="Z928" s="155">
        <v>9.3000000000001819</v>
      </c>
      <c r="AA928" s="315"/>
      <c r="AB928" s="21" t="s">
        <v>2</v>
      </c>
      <c r="AC928" s="120"/>
      <c r="AH928" s="63">
        <v>1</v>
      </c>
      <c r="AN928" s="121"/>
      <c r="AO928" s="10" t="s">
        <v>3</v>
      </c>
      <c r="AP928" s="315"/>
      <c r="AQ928" s="420">
        <v>10</v>
      </c>
      <c r="AR928" s="153"/>
      <c r="AS928" s="154"/>
      <c r="AT928" s="153"/>
      <c r="AU928" s="153"/>
      <c r="AV928" s="153"/>
      <c r="AW928" s="153"/>
      <c r="AX928" s="152"/>
      <c r="AY928" s="153"/>
      <c r="AZ928" s="153"/>
      <c r="BA928" s="152"/>
      <c r="BB928" s="157" t="s">
        <v>89</v>
      </c>
      <c r="BC928" s="149"/>
      <c r="BD928" s="149"/>
      <c r="BE928" s="148"/>
      <c r="BF928" s="147"/>
      <c r="BG928" s="158"/>
      <c r="BH928" s="257"/>
      <c r="BI928" s="98" t="s">
        <v>593</v>
      </c>
      <c r="BJ928" s="145" t="s">
        <v>592</v>
      </c>
      <c r="BK928" s="160"/>
      <c r="BL928" s="36"/>
      <c r="BM928" s="36" t="str">
        <f>IF('[1]V1 V2'!X927="","",'[1]V1 V2'!X927)</f>
        <v/>
      </c>
    </row>
    <row r="929" spans="1:65" ht="16" thickBot="1" x14ac:dyDescent="0.4">
      <c r="A929">
        <v>1</v>
      </c>
      <c r="B929" s="304" t="s">
        <v>2829</v>
      </c>
      <c r="C929" s="305"/>
      <c r="D929" s="306"/>
      <c r="E929" s="36" t="str">
        <f>VLOOKUP($B929,'[1]V1 V2'!$B$5:$BW$1894,74,0)</f>
        <v>C.C.3.A</v>
      </c>
      <c r="F929" s="168"/>
      <c r="G929" s="169"/>
      <c r="H929" s="170"/>
      <c r="I929" s="136"/>
      <c r="J929" s="225" t="s">
        <v>127</v>
      </c>
      <c r="K929" s="187"/>
      <c r="L929" s="224">
        <v>3.86</v>
      </c>
      <c r="M929" s="172"/>
      <c r="N929" s="173"/>
      <c r="O929" s="180" t="s">
        <v>2830</v>
      </c>
      <c r="P929" s="287" t="s">
        <v>622</v>
      </c>
      <c r="Q929" s="223" t="s">
        <v>184</v>
      </c>
      <c r="R929" s="223" t="s">
        <v>2831</v>
      </c>
      <c r="S929" s="175" t="s">
        <v>2832</v>
      </c>
      <c r="T929" s="173" t="s">
        <v>30</v>
      </c>
      <c r="U929" s="62">
        <v>-30</v>
      </c>
      <c r="V929" s="177" t="s">
        <v>2833</v>
      </c>
      <c r="W929" s="177" t="s">
        <v>2834</v>
      </c>
      <c r="X929" s="177">
        <v>28424.22900000001</v>
      </c>
      <c r="Y929" s="177">
        <v>6378.5</v>
      </c>
      <c r="Z929" s="178"/>
      <c r="AA929" s="297" t="s">
        <v>2829</v>
      </c>
      <c r="AB929" s="21" t="s">
        <v>2</v>
      </c>
      <c r="AC929" s="120"/>
      <c r="AF929" t="s">
        <v>940</v>
      </c>
      <c r="AH929" s="63">
        <v>1</v>
      </c>
      <c r="AK929" t="s">
        <v>940</v>
      </c>
      <c r="AN929" s="121"/>
      <c r="AO929" s="10" t="s">
        <v>3</v>
      </c>
      <c r="AP929" s="238" t="s">
        <v>184</v>
      </c>
      <c r="AQ929" s="198"/>
      <c r="AR929" s="421">
        <v>6376.9</v>
      </c>
      <c r="AS929" s="222">
        <f>AS927-AQ928</f>
        <v>28883.938999999998</v>
      </c>
      <c r="AT929" s="421" t="s">
        <v>2835</v>
      </c>
      <c r="AU929" s="421" t="s">
        <v>2836</v>
      </c>
      <c r="AV929" s="132">
        <v>-30</v>
      </c>
      <c r="AW929" s="234" t="s">
        <v>30</v>
      </c>
      <c r="AX929" s="191" t="s">
        <v>2837</v>
      </c>
      <c r="AY929" s="223" t="s">
        <v>2831</v>
      </c>
      <c r="AZ929" s="223" t="s">
        <v>184</v>
      </c>
      <c r="BA929" s="287" t="s">
        <v>622</v>
      </c>
      <c r="BB929" s="422" t="s">
        <v>1111</v>
      </c>
      <c r="BC929" s="188"/>
      <c r="BD929" s="188"/>
      <c r="BE929" s="224">
        <v>3.86</v>
      </c>
      <c r="BF929" s="187"/>
      <c r="BG929" s="135" t="s">
        <v>127</v>
      </c>
      <c r="BH929" s="136"/>
      <c r="BI929" s="186"/>
      <c r="BJ929" s="185"/>
      <c r="BK929" s="193"/>
      <c r="BL929" s="36">
        <f>VLOOKUP($AP929,'[1]V1 V2'!$B$5:$BW$1894,74,0)</f>
        <v>0</v>
      </c>
      <c r="BM929" s="36" t="str">
        <f>IF('[1]V1 V2'!X928="","",'[1]V1 V2'!X928)</f>
        <v/>
      </c>
    </row>
    <row r="930" spans="1:65" ht="16" thickBot="1" x14ac:dyDescent="0.4">
      <c r="A930">
        <v>1</v>
      </c>
      <c r="B930" s="304"/>
      <c r="C930" s="305"/>
      <c r="D930" s="306"/>
      <c r="E930" s="36"/>
      <c r="F930" s="168"/>
      <c r="G930" s="169"/>
      <c r="H930" s="170"/>
      <c r="I930" s="136"/>
      <c r="J930" s="135"/>
      <c r="K930" s="187"/>
      <c r="L930" s="187"/>
      <c r="M930" s="172"/>
      <c r="N930" s="173"/>
      <c r="O930" s="192" t="s">
        <v>89</v>
      </c>
      <c r="P930" s="234"/>
      <c r="Q930" s="223"/>
      <c r="R930" s="221"/>
      <c r="S930" s="175"/>
      <c r="T930" s="173"/>
      <c r="U930" s="62"/>
      <c r="V930" s="177" t="s">
        <v>89</v>
      </c>
      <c r="W930" s="177" t="s">
        <v>89</v>
      </c>
      <c r="X930" s="230"/>
      <c r="Y930" s="177"/>
      <c r="Z930" s="198">
        <v>7.6000000000003638</v>
      </c>
      <c r="AA930" s="297"/>
      <c r="AB930" s="21" t="s">
        <v>2</v>
      </c>
      <c r="AC930" s="120"/>
      <c r="AH930" s="63">
        <v>1</v>
      </c>
      <c r="AN930" s="121"/>
      <c r="AO930" s="10" t="s">
        <v>3</v>
      </c>
      <c r="AP930" s="238"/>
      <c r="AQ930" s="198">
        <f>AR931-AR929</f>
        <v>10</v>
      </c>
      <c r="AR930" s="222"/>
      <c r="AS930" s="222"/>
      <c r="AT930" s="417" t="s">
        <v>89</v>
      </c>
      <c r="AU930" s="419" t="s">
        <v>89</v>
      </c>
      <c r="AV930" s="132"/>
      <c r="AW930" s="423"/>
      <c r="AX930" s="234"/>
      <c r="AY930" s="223"/>
      <c r="AZ930" s="223"/>
      <c r="BA930" s="234"/>
      <c r="BB930" s="290" t="s">
        <v>89</v>
      </c>
      <c r="BC930" s="188"/>
      <c r="BD930" s="188"/>
      <c r="BE930" s="187"/>
      <c r="BF930" s="187"/>
      <c r="BG930" s="135"/>
      <c r="BH930" s="136"/>
      <c r="BI930" s="186"/>
      <c r="BJ930" s="424"/>
      <c r="BK930" s="193"/>
      <c r="BL930" s="36"/>
      <c r="BM930" s="36" t="str">
        <f>IF('[1]V1 V2'!X929="","",'[1]V1 V2'!X929)</f>
        <v/>
      </c>
    </row>
    <row r="931" spans="1:65" ht="16" thickBot="1" x14ac:dyDescent="0.4">
      <c r="A931">
        <v>1</v>
      </c>
      <c r="B931" s="232" t="s">
        <v>2838</v>
      </c>
      <c r="C931" s="425" t="s">
        <v>2839</v>
      </c>
      <c r="D931" s="234"/>
      <c r="E931" s="36" t="str">
        <f>VLOOKUP($B931,'[1]V1 V2'!$B$5:$BW$1894,74,0)</f>
        <v>C.C,2</v>
      </c>
      <c r="F931" s="184"/>
      <c r="G931" s="185"/>
      <c r="H931" s="186"/>
      <c r="I931" s="136"/>
      <c r="J931" s="225" t="s">
        <v>127</v>
      </c>
      <c r="K931" s="187"/>
      <c r="L931" s="224">
        <v>3.92</v>
      </c>
      <c r="M931" s="188"/>
      <c r="N931" s="188"/>
      <c r="O931" s="180" t="s">
        <v>1111</v>
      </c>
      <c r="P931" s="287" t="s">
        <v>638</v>
      </c>
      <c r="Q931" s="223" t="s">
        <v>1050</v>
      </c>
      <c r="R931" s="223" t="s">
        <v>1112</v>
      </c>
      <c r="S931" s="234" t="s">
        <v>2840</v>
      </c>
      <c r="T931" s="423" t="s">
        <v>30</v>
      </c>
      <c r="U931" s="132">
        <v>-30</v>
      </c>
      <c r="V931" s="222" t="s">
        <v>2841</v>
      </c>
      <c r="W931" s="222" t="s">
        <v>2842</v>
      </c>
      <c r="X931" s="222">
        <v>28448.93899999998</v>
      </c>
      <c r="Y931" s="222">
        <v>6386.1</v>
      </c>
      <c r="Z931" s="198"/>
      <c r="AA931" s="238" t="s">
        <v>2838</v>
      </c>
      <c r="AB931" s="21" t="s">
        <v>2</v>
      </c>
      <c r="AC931" s="120"/>
      <c r="AH931" s="63">
        <v>1</v>
      </c>
      <c r="AN931" s="121"/>
      <c r="AO931" s="10" t="s">
        <v>3</v>
      </c>
      <c r="AP931" s="238" t="s">
        <v>2838</v>
      </c>
      <c r="AQ931" s="198"/>
      <c r="AR931" s="222">
        <v>6386.9</v>
      </c>
      <c r="AS931" s="222">
        <f>AS929-AQ930</f>
        <v>28873.938999999998</v>
      </c>
      <c r="AT931" s="222" t="s">
        <v>2842</v>
      </c>
      <c r="AU931" s="222" t="s">
        <v>2841</v>
      </c>
      <c r="AV931" s="132">
        <v>-30</v>
      </c>
      <c r="AW931" s="423" t="s">
        <v>30</v>
      </c>
      <c r="AX931" s="234" t="s">
        <v>2843</v>
      </c>
      <c r="AY931" s="223" t="s">
        <v>1112</v>
      </c>
      <c r="AZ931" s="223" t="s">
        <v>1050</v>
      </c>
      <c r="BA931" s="287" t="s">
        <v>638</v>
      </c>
      <c r="BB931" s="422" t="s">
        <v>1111</v>
      </c>
      <c r="BC931" s="188"/>
      <c r="BD931" s="188"/>
      <c r="BE931" s="224">
        <v>3.92</v>
      </c>
      <c r="BF931" s="187"/>
      <c r="BG931" s="135" t="s">
        <v>127</v>
      </c>
      <c r="BH931" s="136"/>
      <c r="BI931" s="186"/>
      <c r="BJ931" s="185"/>
      <c r="BK931" s="193"/>
      <c r="BL931" s="36" t="str">
        <f>VLOOKUP($AP931,'[1]V1 V2'!$B$5:$BW$1894,74,0)</f>
        <v>C.C,2</v>
      </c>
      <c r="BM931" s="36" t="str">
        <f>IF('[1]V1 V2'!X930="","",'[1]V1 V2'!X930)</f>
        <v/>
      </c>
    </row>
    <row r="932" spans="1:65" ht="16" thickBot="1" x14ac:dyDescent="0.4">
      <c r="A932">
        <v>1</v>
      </c>
      <c r="B932" s="232"/>
      <c r="C932" s="233"/>
      <c r="D932" s="234"/>
      <c r="E932" s="36"/>
      <c r="F932" s="184"/>
      <c r="G932" s="185"/>
      <c r="H932" s="186"/>
      <c r="I932" s="136"/>
      <c r="J932" s="135"/>
      <c r="K932" s="187"/>
      <c r="L932" s="187"/>
      <c r="M932" s="188"/>
      <c r="N932" s="188"/>
      <c r="O932" s="192" t="s">
        <v>89</v>
      </c>
      <c r="P932" s="234"/>
      <c r="Q932" s="223"/>
      <c r="R932" s="223"/>
      <c r="S932" s="234"/>
      <c r="T932" s="423"/>
      <c r="U932" s="132"/>
      <c r="V932" s="419" t="s">
        <v>89</v>
      </c>
      <c r="W932" s="417" t="s">
        <v>89</v>
      </c>
      <c r="X932" s="222"/>
      <c r="Y932" s="222"/>
      <c r="Z932" s="198">
        <v>5.8999999999996362</v>
      </c>
      <c r="AA932" s="238"/>
      <c r="AB932" s="21" t="s">
        <v>2</v>
      </c>
      <c r="AC932" s="120"/>
      <c r="AH932" s="63">
        <v>1</v>
      </c>
      <c r="AN932" s="121"/>
      <c r="AO932" s="10" t="s">
        <v>3</v>
      </c>
      <c r="AP932" s="238"/>
      <c r="AQ932" s="198">
        <f>AR933-AR931</f>
        <v>5.1000000000003638</v>
      </c>
      <c r="AR932" s="222"/>
      <c r="AS932" s="222"/>
      <c r="AT932" s="417" t="s">
        <v>89</v>
      </c>
      <c r="AU932" s="419" t="s">
        <v>89</v>
      </c>
      <c r="AV932" s="132"/>
      <c r="AW932" s="423"/>
      <c r="AX932" s="234"/>
      <c r="AY932" s="223"/>
      <c r="AZ932" s="223"/>
      <c r="BA932" s="234"/>
      <c r="BB932" s="290" t="s">
        <v>89</v>
      </c>
      <c r="BC932" s="188"/>
      <c r="BD932" s="188"/>
      <c r="BE932" s="187"/>
      <c r="BF932" s="187"/>
      <c r="BG932" s="135"/>
      <c r="BH932" s="136"/>
      <c r="BI932" s="186"/>
      <c r="BJ932" s="185"/>
      <c r="BK932" s="193"/>
      <c r="BL932" s="36"/>
      <c r="BM932" s="36" t="str">
        <f>IF('[1]V1 V2'!X931="","",'[1]V1 V2'!X931)</f>
        <v/>
      </c>
    </row>
    <row r="933" spans="1:65" ht="16" thickBot="1" x14ac:dyDescent="0.4">
      <c r="A933">
        <v>1</v>
      </c>
      <c r="B933" s="304" t="s">
        <v>2844</v>
      </c>
      <c r="C933" s="305"/>
      <c r="D933" s="306"/>
      <c r="E933" s="36" t="str">
        <f>VLOOKUP($B933,'[1]V1 V2'!$B$5:$BW$1894,74,0)</f>
        <v>C.C.2</v>
      </c>
      <c r="F933" s="168"/>
      <c r="G933" s="185" t="s">
        <v>2845</v>
      </c>
      <c r="H933" s="170"/>
      <c r="I933" s="136"/>
      <c r="J933" s="135" t="s">
        <v>184</v>
      </c>
      <c r="K933" s="187"/>
      <c r="L933" s="224">
        <v>4.2</v>
      </c>
      <c r="M933" s="172"/>
      <c r="N933" s="173"/>
      <c r="O933" s="192"/>
      <c r="P933" s="287" t="s">
        <v>638</v>
      </c>
      <c r="Q933" s="223" t="s">
        <v>2846</v>
      </c>
      <c r="R933" s="223" t="s">
        <v>184</v>
      </c>
      <c r="S933" s="175" t="s">
        <v>1495</v>
      </c>
      <c r="T933" s="173" t="s">
        <v>585</v>
      </c>
      <c r="U933" s="62"/>
      <c r="V933" s="177" t="s">
        <v>2847</v>
      </c>
      <c r="W933" s="230" t="s">
        <v>2848</v>
      </c>
      <c r="X933" s="177">
        <v>28416.629000000008</v>
      </c>
      <c r="Y933" s="177">
        <v>6392</v>
      </c>
      <c r="Z933" s="198"/>
      <c r="AA933" s="297" t="s">
        <v>2844</v>
      </c>
      <c r="AB933" s="21" t="s">
        <v>2</v>
      </c>
      <c r="AC933" s="120"/>
      <c r="AH933" s="63">
        <v>1</v>
      </c>
      <c r="AN933" s="121"/>
      <c r="AO933" s="10" t="s">
        <v>3</v>
      </c>
      <c r="AP933" s="238" t="s">
        <v>2849</v>
      </c>
      <c r="AQ933" s="198"/>
      <c r="AR933" s="222">
        <v>6392</v>
      </c>
      <c r="AS933" s="222">
        <f>AS931-AQ932</f>
        <v>28868.839</v>
      </c>
      <c r="AT933" s="222" t="s">
        <v>2850</v>
      </c>
      <c r="AU933" s="222" t="s">
        <v>2851</v>
      </c>
      <c r="AV933" s="132"/>
      <c r="AW933" s="189" t="s">
        <v>2852</v>
      </c>
      <c r="AX933" s="191" t="s">
        <v>2843</v>
      </c>
      <c r="AY933" s="223" t="s">
        <v>184</v>
      </c>
      <c r="AZ933" s="223" t="s">
        <v>2846</v>
      </c>
      <c r="BA933" s="287" t="s">
        <v>638</v>
      </c>
      <c r="BB933" s="290"/>
      <c r="BC933" s="188"/>
      <c r="BD933" s="188"/>
      <c r="BE933" s="224">
        <v>4.2</v>
      </c>
      <c r="BF933" s="187"/>
      <c r="BG933" s="135" t="s">
        <v>184</v>
      </c>
      <c r="BH933" s="136"/>
      <c r="BI933" s="186"/>
      <c r="BJ933" s="185" t="s">
        <v>2845</v>
      </c>
      <c r="BK933" s="193"/>
      <c r="BL933" s="36">
        <f>VLOOKUP($AP933,'[1]V1 V2'!$B$5:$BW$1894,74,0)</f>
        <v>0</v>
      </c>
      <c r="BM933" s="36" t="str">
        <f>IF('[1]V1 V2'!X932="","",'[1]V1 V2'!X932)</f>
        <v/>
      </c>
    </row>
    <row r="934" spans="1:65" ht="16" thickBot="1" x14ac:dyDescent="0.4">
      <c r="A934">
        <v>1</v>
      </c>
      <c r="B934" s="304"/>
      <c r="C934" s="305"/>
      <c r="D934" s="306"/>
      <c r="E934" s="36"/>
      <c r="F934" s="168"/>
      <c r="G934" s="169"/>
      <c r="H934" s="170"/>
      <c r="I934" s="248"/>
      <c r="J934" s="246"/>
      <c r="K934" s="187"/>
      <c r="L934" s="187"/>
      <c r="M934" s="172"/>
      <c r="N934" s="173"/>
      <c r="O934" s="192" t="s">
        <v>89</v>
      </c>
      <c r="P934" s="234"/>
      <c r="Q934" s="223"/>
      <c r="R934" s="221"/>
      <c r="S934" s="175"/>
      <c r="T934" s="173"/>
      <c r="U934" s="62"/>
      <c r="V934" s="177" t="s">
        <v>89</v>
      </c>
      <c r="W934" s="177" t="s">
        <v>89</v>
      </c>
      <c r="X934" s="230"/>
      <c r="Y934" s="177"/>
      <c r="Z934" s="198">
        <v>10.010000000000218</v>
      </c>
      <c r="AA934" s="297"/>
      <c r="AB934" s="21" t="s">
        <v>2</v>
      </c>
      <c r="AC934" s="120"/>
      <c r="AH934" s="63">
        <v>1</v>
      </c>
      <c r="AN934" s="121"/>
      <c r="AO934" s="10" t="s">
        <v>3</v>
      </c>
      <c r="AP934" s="238"/>
      <c r="AQ934" s="198">
        <f>AR935-AR933</f>
        <v>10.899999999999636</v>
      </c>
      <c r="AR934" s="222"/>
      <c r="AS934" s="222"/>
      <c r="AT934" s="417" t="s">
        <v>89</v>
      </c>
      <c r="AU934" s="419" t="s">
        <v>89</v>
      </c>
      <c r="AV934" s="132"/>
      <c r="AW934" s="189"/>
      <c r="AX934" s="191"/>
      <c r="AY934" s="223"/>
      <c r="AZ934" s="223"/>
      <c r="BA934" s="234"/>
      <c r="BB934" s="290" t="s">
        <v>89</v>
      </c>
      <c r="BC934" s="188"/>
      <c r="BD934" s="188"/>
      <c r="BE934" s="187"/>
      <c r="BF934" s="187"/>
      <c r="BG934" s="135"/>
      <c r="BH934" s="136"/>
      <c r="BI934" s="186"/>
      <c r="BJ934" s="185"/>
      <c r="BK934" s="193"/>
      <c r="BL934" s="36"/>
      <c r="BM934" s="36" t="str">
        <f>IF('[1]V1 V2'!X933="","",'[1]V1 V2'!X933)</f>
        <v/>
      </c>
    </row>
    <row r="935" spans="1:65" ht="16" thickBot="1" x14ac:dyDescent="0.4">
      <c r="A935">
        <v>1</v>
      </c>
      <c r="B935" s="304" t="s">
        <v>2853</v>
      </c>
      <c r="C935" s="305"/>
      <c r="D935" s="306"/>
      <c r="E935" s="36">
        <f>VLOOKUP($B935,'[1]V1 V2'!$B$5:$BW$1894,74,0)</f>
        <v>0</v>
      </c>
      <c r="F935" s="168"/>
      <c r="G935" s="169"/>
      <c r="H935" s="170"/>
      <c r="I935" s="426" t="s">
        <v>127</v>
      </c>
      <c r="J935" s="427">
        <v>0</v>
      </c>
      <c r="K935" s="187">
        <v>4.16</v>
      </c>
      <c r="L935" s="224">
        <v>4.0199999999999996</v>
      </c>
      <c r="M935" s="172"/>
      <c r="N935" s="173"/>
      <c r="O935" s="180" t="s">
        <v>1111</v>
      </c>
      <c r="P935" s="287" t="s">
        <v>638</v>
      </c>
      <c r="Q935" s="221" t="s">
        <v>1050</v>
      </c>
      <c r="R935" s="223" t="s">
        <v>1112</v>
      </c>
      <c r="S935" s="175" t="s">
        <v>1495</v>
      </c>
      <c r="T935" s="173" t="s">
        <v>607</v>
      </c>
      <c r="U935" s="62"/>
      <c r="V935" s="177" t="s">
        <v>2854</v>
      </c>
      <c r="W935" s="230" t="s">
        <v>2855</v>
      </c>
      <c r="X935" s="177">
        <v>28406.619000000006</v>
      </c>
      <c r="Y935" s="177">
        <v>6402.01</v>
      </c>
      <c r="Z935" s="198"/>
      <c r="AA935" s="297" t="s">
        <v>2853</v>
      </c>
      <c r="AB935" s="21" t="s">
        <v>2</v>
      </c>
      <c r="AC935" s="120"/>
      <c r="AH935" s="63">
        <v>1</v>
      </c>
      <c r="AN935" s="121"/>
      <c r="AO935" s="10" t="s">
        <v>3</v>
      </c>
      <c r="AP935" s="238" t="s">
        <v>2856</v>
      </c>
      <c r="AQ935" s="198"/>
      <c r="AR935" s="222">
        <v>6402.9</v>
      </c>
      <c r="AS935" s="222">
        <f>AS933-AQ934</f>
        <v>28857.938999999998</v>
      </c>
      <c r="AT935" s="222" t="s">
        <v>2857</v>
      </c>
      <c r="AU935" s="222" t="s">
        <v>2858</v>
      </c>
      <c r="AV935" s="132"/>
      <c r="AW935" s="189" t="s">
        <v>30</v>
      </c>
      <c r="AX935" s="191" t="s">
        <v>2843</v>
      </c>
      <c r="AY935" s="223" t="s">
        <v>1112</v>
      </c>
      <c r="AZ935" s="223" t="s">
        <v>1050</v>
      </c>
      <c r="BA935" s="287" t="s">
        <v>638</v>
      </c>
      <c r="BB935" s="422" t="s">
        <v>1111</v>
      </c>
      <c r="BC935" s="188"/>
      <c r="BD935" s="188"/>
      <c r="BE935" s="224">
        <v>4.0199999999999996</v>
      </c>
      <c r="BF935" s="187"/>
      <c r="BG935" s="135" t="s">
        <v>127</v>
      </c>
      <c r="BH935" s="136">
        <v>0</v>
      </c>
      <c r="BI935" s="186"/>
      <c r="BJ935" s="185"/>
      <c r="BK935" s="193"/>
      <c r="BL935" s="36">
        <f>VLOOKUP($AP935,'[1]V1 V2'!$B$5:$BW$1894,74,0)</f>
        <v>0</v>
      </c>
      <c r="BM935" s="36" t="str">
        <f>IF('[1]V1 V2'!X934="","",'[1]V1 V2'!X934)</f>
        <v/>
      </c>
    </row>
    <row r="936" spans="1:65" ht="16" thickBot="1" x14ac:dyDescent="0.4">
      <c r="A936">
        <v>1</v>
      </c>
      <c r="B936" s="304"/>
      <c r="C936" s="305"/>
      <c r="D936" s="306"/>
      <c r="E936" s="36"/>
      <c r="F936" s="168"/>
      <c r="G936" s="169"/>
      <c r="H936" s="170"/>
      <c r="I936" s="428"/>
      <c r="J936" s="427"/>
      <c r="K936" s="187"/>
      <c r="L936" s="187"/>
      <c r="M936" s="172"/>
      <c r="N936" s="173"/>
      <c r="O936" s="192" t="s">
        <v>89</v>
      </c>
      <c r="P936" s="234"/>
      <c r="Q936" s="223"/>
      <c r="R936" s="221"/>
      <c r="S936" s="175"/>
      <c r="T936" s="173"/>
      <c r="U936" s="62"/>
      <c r="V936" s="177" t="s">
        <v>89</v>
      </c>
      <c r="W936" s="177" t="s">
        <v>89</v>
      </c>
      <c r="X936" s="230"/>
      <c r="Y936" s="177"/>
      <c r="Z936" s="198">
        <v>18.989999999999782</v>
      </c>
      <c r="AA936" s="297"/>
      <c r="AB936" s="21" t="s">
        <v>2</v>
      </c>
      <c r="AC936" s="120"/>
      <c r="AH936" s="63">
        <v>1</v>
      </c>
      <c r="AN936" s="121"/>
      <c r="AO936" s="10" t="s">
        <v>3</v>
      </c>
      <c r="AP936" s="238"/>
      <c r="AQ936" s="198">
        <f>AR937-AR935</f>
        <v>17.700000000000728</v>
      </c>
      <c r="AR936" s="222"/>
      <c r="AS936" s="222"/>
      <c r="AT936" s="417" t="s">
        <v>89</v>
      </c>
      <c r="AU936" s="419" t="s">
        <v>89</v>
      </c>
      <c r="AV936" s="132"/>
      <c r="AW936" s="189"/>
      <c r="AX936" s="191"/>
      <c r="AY936" s="223"/>
      <c r="AZ936" s="223"/>
      <c r="BA936" s="234"/>
      <c r="BB936" s="290" t="s">
        <v>89</v>
      </c>
      <c r="BC936" s="188"/>
      <c r="BD936" s="188"/>
      <c r="BE936" s="224"/>
      <c r="BF936" s="187"/>
      <c r="BG936" s="427"/>
      <c r="BH936" s="428"/>
      <c r="BI936" s="186"/>
      <c r="BJ936" s="185"/>
      <c r="BK936" s="193"/>
      <c r="BL936" s="36"/>
      <c r="BM936" s="36" t="str">
        <f>IF('[1]V1 V2'!X935="","",'[1]V1 V2'!X935)</f>
        <v/>
      </c>
    </row>
    <row r="937" spans="1:65" ht="16" thickBot="1" x14ac:dyDescent="0.4">
      <c r="A937">
        <v>1</v>
      </c>
      <c r="B937" s="304" t="s">
        <v>2859</v>
      </c>
      <c r="C937" s="336" t="s">
        <v>2860</v>
      </c>
      <c r="D937" s="306"/>
      <c r="E937" s="36" t="str">
        <f>VLOOKUP($B937,'[1]V1 V2'!$B$5:$BW$1894,74,0)</f>
        <v>C.C.6</v>
      </c>
      <c r="F937" s="168"/>
      <c r="G937" s="169"/>
      <c r="H937" s="170"/>
      <c r="I937" s="429"/>
      <c r="J937" s="427">
        <v>10</v>
      </c>
      <c r="K937" s="187"/>
      <c r="L937" s="224">
        <v>4.12</v>
      </c>
      <c r="M937" s="172"/>
      <c r="N937" s="173" t="s">
        <v>1048</v>
      </c>
      <c r="O937" s="180" t="s">
        <v>2830</v>
      </c>
      <c r="P937" s="287" t="s">
        <v>638</v>
      </c>
      <c r="Q937" s="221" t="s">
        <v>1050</v>
      </c>
      <c r="R937" s="223" t="s">
        <v>2831</v>
      </c>
      <c r="S937" s="175" t="s">
        <v>1495</v>
      </c>
      <c r="T937" s="173" t="s">
        <v>75</v>
      </c>
      <c r="U937" s="62"/>
      <c r="V937" s="177" t="s">
        <v>2861</v>
      </c>
      <c r="W937" s="226" t="s">
        <v>2862</v>
      </c>
      <c r="X937" s="177">
        <v>28387.629000000008</v>
      </c>
      <c r="Y937" s="177">
        <v>6421</v>
      </c>
      <c r="Z937" s="198"/>
      <c r="AA937" s="297" t="s">
        <v>2859</v>
      </c>
      <c r="AB937" s="21" t="s">
        <v>2</v>
      </c>
      <c r="AC937" s="120"/>
      <c r="AH937" s="63">
        <v>1</v>
      </c>
      <c r="AN937" s="121"/>
      <c r="AO937" s="10" t="s">
        <v>3</v>
      </c>
      <c r="AP937" s="238" t="s">
        <v>2863</v>
      </c>
      <c r="AQ937" s="198"/>
      <c r="AR937" s="222">
        <v>6420.6</v>
      </c>
      <c r="AS937" s="222">
        <f>AS935-AQ936</f>
        <v>28840.238999999998</v>
      </c>
      <c r="AT937" s="222" t="s">
        <v>2864</v>
      </c>
      <c r="AU937" s="222" t="s">
        <v>2865</v>
      </c>
      <c r="AV937" s="132"/>
      <c r="AW937" s="189" t="s">
        <v>75</v>
      </c>
      <c r="AX937" s="191" t="s">
        <v>2843</v>
      </c>
      <c r="AY937" s="223" t="s">
        <v>2831</v>
      </c>
      <c r="AZ937" s="223" t="s">
        <v>1050</v>
      </c>
      <c r="BA937" s="287" t="s">
        <v>638</v>
      </c>
      <c r="BB937" s="422" t="s">
        <v>1111</v>
      </c>
      <c r="BC937" s="188"/>
      <c r="BD937" s="188"/>
      <c r="BE937" s="224">
        <v>4.12</v>
      </c>
      <c r="BF937" s="187">
        <v>4.12</v>
      </c>
      <c r="BG937" s="135">
        <v>10</v>
      </c>
      <c r="BH937" s="136" t="s">
        <v>127</v>
      </c>
      <c r="BI937" s="186"/>
      <c r="BJ937" s="185"/>
      <c r="BK937" s="193"/>
      <c r="BL937" s="36">
        <f>VLOOKUP($AP937,'[1]V1 V2'!$B$5:$BW$1894,74,0)</f>
        <v>0</v>
      </c>
      <c r="BM937" s="36" t="str">
        <f>IF('[1]V1 V2'!X936="","",'[1]V1 V2'!X936)</f>
        <v/>
      </c>
    </row>
    <row r="938" spans="1:65" ht="16" thickBot="1" x14ac:dyDescent="0.4">
      <c r="A938">
        <v>1</v>
      </c>
      <c r="B938" s="304"/>
      <c r="C938" s="305"/>
      <c r="D938" s="306"/>
      <c r="E938" s="36"/>
      <c r="F938" s="168"/>
      <c r="G938" s="169"/>
      <c r="H938" s="170"/>
      <c r="I938" s="428"/>
      <c r="J938" s="427"/>
      <c r="K938" s="187"/>
      <c r="L938" s="224"/>
      <c r="M938" s="172"/>
      <c r="N938" s="173"/>
      <c r="O938" s="192"/>
      <c r="P938" s="191"/>
      <c r="Q938" s="223"/>
      <c r="R938" s="221"/>
      <c r="S938" s="175"/>
      <c r="T938" s="173"/>
      <c r="U938" s="62"/>
      <c r="V938" s="177" t="s">
        <v>89</v>
      </c>
      <c r="W938" s="177" t="s">
        <v>89</v>
      </c>
      <c r="X938" s="230"/>
      <c r="Y938" s="177"/>
      <c r="Z938" s="198">
        <v>17.899999999999636</v>
      </c>
      <c r="AA938" s="297"/>
      <c r="AB938" s="21" t="s">
        <v>2</v>
      </c>
      <c r="AC938" s="120"/>
      <c r="AH938" s="63">
        <v>1</v>
      </c>
      <c r="AN938" s="121"/>
      <c r="AO938" s="10" t="s">
        <v>3</v>
      </c>
      <c r="AP938" s="238"/>
      <c r="AQ938" s="198">
        <f>AR939-AR937</f>
        <v>20.899999999999636</v>
      </c>
      <c r="AR938" s="222"/>
      <c r="AS938" s="222"/>
      <c r="AT938" s="419" t="s">
        <v>89</v>
      </c>
      <c r="AU938" s="419" t="s">
        <v>89</v>
      </c>
      <c r="AV938" s="132"/>
      <c r="AW938" s="189"/>
      <c r="AX938" s="191"/>
      <c r="AY938" s="223"/>
      <c r="AZ938" s="223"/>
      <c r="BA938" s="234"/>
      <c r="BB938" s="290"/>
      <c r="BC938" s="188"/>
      <c r="BD938" s="188"/>
      <c r="BE938" s="224"/>
      <c r="BF938" s="187"/>
      <c r="BG938" s="427"/>
      <c r="BH938" s="430"/>
      <c r="BI938" s="186"/>
      <c r="BJ938" s="185"/>
      <c r="BK938" s="193"/>
      <c r="BL938" s="36"/>
      <c r="BM938" s="36" t="str">
        <f>IF('[1]V1 V2'!X937="","",'[1]V1 V2'!X937)</f>
        <v/>
      </c>
    </row>
    <row r="939" spans="1:65" ht="16" thickBot="1" x14ac:dyDescent="0.4">
      <c r="A939">
        <v>1</v>
      </c>
      <c r="B939" s="304" t="s">
        <v>2866</v>
      </c>
      <c r="C939" s="305"/>
      <c r="D939" s="306"/>
      <c r="E939" s="36">
        <f>VLOOKUP($B939,'[1]V1 V2'!$B$5:$BW$1894,74,0)</f>
        <v>0</v>
      </c>
      <c r="F939" s="168"/>
      <c r="G939" s="169"/>
      <c r="H939" s="170"/>
      <c r="I939" s="426" t="s">
        <v>774</v>
      </c>
      <c r="J939" s="300" t="s">
        <v>696</v>
      </c>
      <c r="K939" s="187">
        <v>4.22</v>
      </c>
      <c r="L939" s="224">
        <v>4.22</v>
      </c>
      <c r="M939" s="172"/>
      <c r="N939" s="173" t="s">
        <v>1048</v>
      </c>
      <c r="O939" s="180" t="s">
        <v>1111</v>
      </c>
      <c r="P939" s="191" t="s">
        <v>2867</v>
      </c>
      <c r="Q939" s="176"/>
      <c r="R939" s="223" t="s">
        <v>1112</v>
      </c>
      <c r="S939" s="175" t="s">
        <v>2868</v>
      </c>
      <c r="T939" s="173" t="s">
        <v>75</v>
      </c>
      <c r="U939" s="62"/>
      <c r="V939" s="177" t="s">
        <v>2869</v>
      </c>
      <c r="W939" s="177" t="s">
        <v>2870</v>
      </c>
      <c r="X939" s="177">
        <v>28369.729000000007</v>
      </c>
      <c r="Y939" s="177">
        <v>6438.9</v>
      </c>
      <c r="Z939" s="198"/>
      <c r="AA939" s="297" t="s">
        <v>2866</v>
      </c>
      <c r="AB939" s="21" t="s">
        <v>2</v>
      </c>
      <c r="AC939" s="120"/>
      <c r="AH939" s="63">
        <v>1</v>
      </c>
      <c r="AN939" s="121"/>
      <c r="AO939" s="10" t="s">
        <v>3</v>
      </c>
      <c r="AP939" s="238" t="s">
        <v>2871</v>
      </c>
      <c r="AQ939" s="198"/>
      <c r="AR939" s="222">
        <v>6441.5</v>
      </c>
      <c r="AS939" s="222">
        <f>AS937-AQ938</f>
        <v>28819.339</v>
      </c>
      <c r="AT939" s="222" t="s">
        <v>2872</v>
      </c>
      <c r="AU939" s="222" t="s">
        <v>2873</v>
      </c>
      <c r="AV939" s="132"/>
      <c r="AW939" s="189" t="s">
        <v>75</v>
      </c>
      <c r="AX939" s="191" t="s">
        <v>2874</v>
      </c>
      <c r="AY939" s="223" t="s">
        <v>1112</v>
      </c>
      <c r="AZ939" s="223" t="s">
        <v>1050</v>
      </c>
      <c r="BA939" s="234" t="s">
        <v>2875</v>
      </c>
      <c r="BB939" s="422" t="s">
        <v>1111</v>
      </c>
      <c r="BC939" s="172"/>
      <c r="BD939" s="172"/>
      <c r="BE939" s="224">
        <v>4.22</v>
      </c>
      <c r="BF939" s="224"/>
      <c r="BG939" s="135">
        <v>0</v>
      </c>
      <c r="BH939" s="57"/>
      <c r="BI939" s="170"/>
      <c r="BJ939" s="169"/>
      <c r="BK939" s="181"/>
      <c r="BL939" s="36">
        <f>VLOOKUP($AP939,'[1]V1 V2'!$B$5:$BW$1894,74,0)</f>
        <v>0</v>
      </c>
      <c r="BM939" s="36" t="str">
        <f>IF('[1]V1 V2'!X938="","",'[1]V1 V2'!X938)</f>
        <v/>
      </c>
    </row>
    <row r="940" spans="1:65" ht="16" thickBot="1" x14ac:dyDescent="0.4">
      <c r="A940">
        <v>1</v>
      </c>
      <c r="B940" s="304"/>
      <c r="C940" s="305"/>
      <c r="D940" s="306"/>
      <c r="E940" s="36"/>
      <c r="F940" s="168"/>
      <c r="G940" s="169"/>
      <c r="H940" s="170"/>
      <c r="I940" s="136"/>
      <c r="J940" s="135"/>
      <c r="K940" s="187"/>
      <c r="L940" s="224"/>
      <c r="M940" s="172"/>
      <c r="N940" s="173"/>
      <c r="O940" s="180"/>
      <c r="P940" s="175"/>
      <c r="Q940" s="182"/>
      <c r="R940" s="176"/>
      <c r="S940" s="175"/>
      <c r="T940" s="173"/>
      <c r="U940" s="62"/>
      <c r="V940" s="177"/>
      <c r="W940" s="177"/>
      <c r="X940" s="177"/>
      <c r="Y940" s="177"/>
      <c r="Z940" s="198"/>
      <c r="AA940" s="297"/>
      <c r="AB940" s="21" t="s">
        <v>2</v>
      </c>
      <c r="AC940" s="120"/>
      <c r="AH940" s="63">
        <v>1</v>
      </c>
      <c r="AN940" s="121"/>
      <c r="AO940" s="10" t="s">
        <v>3</v>
      </c>
      <c r="AP940" s="431"/>
      <c r="AQ940" s="432" t="s">
        <v>184</v>
      </c>
      <c r="AR940" s="433"/>
      <c r="AS940" s="222"/>
      <c r="AT940" s="433"/>
      <c r="AU940" s="433"/>
      <c r="AV940" s="434"/>
      <c r="AW940" s="435"/>
      <c r="AX940" s="436"/>
      <c r="AY940" s="182"/>
      <c r="AZ940" s="182"/>
      <c r="BA940" s="306"/>
      <c r="BB940" s="437"/>
      <c r="BC940" s="438"/>
      <c r="BD940" s="438"/>
      <c r="BE940" s="439"/>
      <c r="BF940" s="440"/>
      <c r="BG940" s="441"/>
      <c r="BH940" s="442"/>
      <c r="BI940" s="443"/>
      <c r="BJ940" s="444"/>
      <c r="BK940" s="445"/>
      <c r="BL940" s="36"/>
      <c r="BM940" s="36"/>
    </row>
    <row r="941" spans="1:65" x14ac:dyDescent="0.35">
      <c r="AC941" s="120"/>
      <c r="AH941" s="63">
        <v>1</v>
      </c>
      <c r="AN941" s="121"/>
    </row>
    <row r="942" spans="1:65" x14ac:dyDescent="0.35">
      <c r="T942" s="338" t="s">
        <v>1065</v>
      </c>
      <c r="U942" s="446"/>
      <c r="V942" s="447"/>
      <c r="W942" s="447"/>
      <c r="X942" s="447">
        <f>X940-V941</f>
        <v>0</v>
      </c>
      <c r="Y942" s="447">
        <v>2527.9099999999989</v>
      </c>
      <c r="Z942" s="448"/>
      <c r="AA942" s="449" t="s">
        <v>1110</v>
      </c>
    </row>
    <row r="943" spans="1:65" x14ac:dyDescent="0.35">
      <c r="T943" s="1" t="s">
        <v>2876</v>
      </c>
    </row>
  </sheetData>
  <mergeCells count="2">
    <mergeCell ref="AB1:AN1"/>
    <mergeCell ref="AB2:A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Sinóptico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GUERRERO EGIDO</dc:creator>
  <cp:lastModifiedBy>ALEJANDRO GUERRERO EGIDO</cp:lastModifiedBy>
  <dcterms:created xsi:type="dcterms:W3CDTF">2026-09-14T15:13:13Z</dcterms:created>
  <dcterms:modified xsi:type="dcterms:W3CDTF">2026-09-14T15:14:15Z</dcterms:modified>
</cp:coreProperties>
</file>